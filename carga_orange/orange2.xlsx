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osmos.es.ftgroup\ores$\Area B2B\VENTA INDIRECTA\_Privada\ESTRATEGIA DE VENTAS\CONFIGURADOR\2025\ENERO\"/>
    </mc:Choice>
  </mc:AlternateContent>
  <xr:revisionPtr revIDLastSave="0" documentId="13_ncr:1_{1FEE0112-E036-4D77-9C46-1D3DCF7C7194}" xr6:coauthVersionLast="47" xr6:coauthVersionMax="47" xr10:uidLastSave="{00000000-0000-0000-0000-000000000000}"/>
  <bookViews>
    <workbookView xWindow="-110" yWindow="-110" windowWidth="19420" windowHeight="10420" tabRatio="858" activeTab="1" xr2:uid="{00000000-000D-0000-FFFF-FFFF00000000}"/>
  </bookViews>
  <sheets>
    <sheet name="LEEME" sheetId="126" r:id="rId1"/>
    <sheet name="Configurador Operaciones" sheetId="111" r:id="rId2"/>
    <sheet name="PVP VaP - Pyme" sheetId="120" r:id="rId3"/>
    <sheet name="PVP VaP IEW Pro - Pyme" sheetId="121" r:id="rId4"/>
    <sheet name="PVP Subv - Optima Pyme" sheetId="112" r:id="rId5"/>
    <sheet name="PVP Subv - Optima Pyme 36" sheetId="128" r:id="rId6"/>
    <sheet name="PVP Subv - Optima Pyme AAPP" sheetId="122" r:id="rId7"/>
    <sheet name="PVP Subv - Sol Pers Pyme" sheetId="118" r:id="rId8"/>
    <sheet name="PVP Subv - Sol Pers Pyme AAPP" sheetId="123" r:id="rId9"/>
    <sheet name="PVP Subv IEW - Pyme" sheetId="115" r:id="rId10"/>
    <sheet name="PVP Subv IEW - Pyme AAPP" sheetId="124" r:id="rId11"/>
    <sheet name="MR" sheetId="109" r:id="rId12"/>
    <sheet name="MODULOS OT MULTILINEA" sheetId="113" state="hidden" r:id="rId13"/>
    <sheet name="MODULOS OT IEW" sheetId="116" state="hidden" r:id="rId14"/>
  </sheets>
  <definedNames>
    <definedName name="_xlnm._FilterDatabase" localSheetId="12" hidden="1">'MODULOS OT MULTILINEA'!$A$1:$F$387</definedName>
    <definedName name="_xlnm._FilterDatabase" localSheetId="4" hidden="1">'PVP Subv - Optima Pyme'!$B$25:$BP$192</definedName>
    <definedName name="_xlnm._FilterDatabase" localSheetId="5" hidden="1">'PVP Subv - Optima Pyme 36'!$B$25:$C$200</definedName>
    <definedName name="_xlnm._FilterDatabase" localSheetId="6" hidden="1">'PVP Subv - Optima Pyme AAPP'!$B$25:$C$25</definedName>
    <definedName name="_xlnm._FilterDatabase" localSheetId="7" hidden="1">'PVP Subv - Sol Pers Pyme'!$B$25:$BC$25</definedName>
    <definedName name="_xlnm._FilterDatabase" localSheetId="8" hidden="1">'PVP Subv - Sol Pers Pyme AAPP'!$B$25:$C$25</definedName>
    <definedName name="_xlnm._FilterDatabase" localSheetId="9" hidden="1">'PVP Subv IEW - Pyme'!$B$23:$C$23</definedName>
    <definedName name="_xlnm._FilterDatabase" localSheetId="10" hidden="1">'PVP Subv IEW - Pyme AAPP'!$B$24:$C$24</definedName>
    <definedName name="_xlnm._FilterDatabase" localSheetId="2" hidden="1">'PVP VaP - Pyme'!$A$24:$WWL$24</definedName>
    <definedName name="_xlnm._FilterDatabase" localSheetId="3" hidden="1">'PVP VaP IEW Pro - Pyme'!$B$24:$C$24</definedName>
    <definedName name="_xlnm.Print_Area" localSheetId="4">'PVP Subv - Optima Pyme'!$B$2:$S$93</definedName>
    <definedName name="_xlnm.Print_Area" localSheetId="5">'PVP Subv - Optima Pyme 36'!$B$2:$S$96</definedName>
    <definedName name="_xlnm.Print_Area" localSheetId="6">'PVP Subv - Optima Pyme AAPP'!$B$2:$S$96</definedName>
    <definedName name="_xlnm.Print_Area" localSheetId="7">'PVP Subv - Sol Pers Pyme'!$B$2:$S$93</definedName>
    <definedName name="_xlnm.Print_Area" localSheetId="8">'PVP Subv - Sol Pers Pyme AAPP'!$B$2:$AE$96</definedName>
    <definedName name="_xlnm.Print_Area" localSheetId="9">'PVP Subv IEW - Pyme'!$B$2:$K$40</definedName>
    <definedName name="_xlnm.Print_Area" localSheetId="10">'PVP Subv IEW - Pyme AAPP'!$B$2:$K$35</definedName>
    <definedName name="_xlnm.Print_Area" localSheetId="2">'PVP VaP - Pyme'!$B$2:$V$95</definedName>
    <definedName name="_xlnm.Print_Area" localSheetId="3">'PVP VaP IEW Pro - Pyme'!$B$2:$T$41</definedName>
    <definedName name="CeldadeinicioDxCcaptaCP36">'PVP Subv - Optima Pyme'!$BE$18</definedName>
    <definedName name="CeldadeinicioDxCportaCP36">'PVP Subv - Optima Pyme'!$BK$1</definedName>
    <definedName name="CeldaInicioDxCCapta">'PVP Subv - Optima Pyme'!$U$1</definedName>
    <definedName name="CeldaInicioDxCCapta9MAS">'PVP Subv - Sol Pers Pyme'!$U$1</definedName>
    <definedName name="CeldaInicioDxCCapta9MASAAPP">'PVP Subv - Sol Pers Pyme AAPP'!$I$1</definedName>
    <definedName name="CeldaInicioDxCCaptaAAPP">'PVP Subv - Optima Pyme AAPP'!$I$1</definedName>
    <definedName name="CeldaInicioDxCIEW">'PVP Subv IEW - Pyme'!$N$1</definedName>
    <definedName name="CeldaInicioDxCIEWAAPP">'PVP Subv IEW - Pyme AAPP'!$N$1</definedName>
    <definedName name="CeldaInicioDxCPorta">'PVP Subv - Optima Pyme'!$AA$1</definedName>
    <definedName name="CeldaInicioDxCPorta_36">'PVP Subv - Optima Pyme 36'!$O$1</definedName>
    <definedName name="CeldaInicioDxCPorta36">'PVP Subv - Optima Pyme 36'!$O$18</definedName>
    <definedName name="CeldaInicioDxCPorta9MAS">'PVP Subv - Sol Pers Pyme'!$AA$1</definedName>
    <definedName name="CeldaInicioDxCPorta9MASAAPP">'PVP Subv - Sol Pers Pyme AAPP'!$O$1</definedName>
    <definedName name="CeldaInicioDxCPortaAAPP">'PVP Subv - Optima Pyme AAPP'!$O$1</definedName>
    <definedName name="CeldaInicioDxCVAP">'PVP VaP - Pyme'!$Z$1</definedName>
    <definedName name="CeldaInicioDxCVAPIEW">'PVP VaP IEW Pro - Pyme'!$AA$1</definedName>
    <definedName name="CeldaInicioPrecioCesión" localSheetId="7">'PVP Subv - Sol Pers Pyme'!$D$1</definedName>
    <definedName name="CeldaInicioPrecioCesión">'PVP Subv - Optima Pyme'!$D$1</definedName>
    <definedName name="CeldaInicioPrecioCesiónIEW">'PVP Subv IEW - Pyme'!$D$1</definedName>
    <definedName name="CeldaInicioPVPRCapta" localSheetId="7">'PVP Subv - Sol Pers Pyme'!$I$1</definedName>
    <definedName name="CeldaInicioPVPRCapta">'PVP Subv - Optima Pyme'!$I$1</definedName>
    <definedName name="CeldaInicioPVPRIEW">'PVP Subv IEW - Pyme'!$I$1</definedName>
    <definedName name="CeldaInicioPVPRPorta" localSheetId="7">'PVP Subv - Sol Pers Pyme'!$O$1</definedName>
    <definedName name="CeldaInicioPVPRPorta">'PVP Subv - Optima Pyme'!$O$1</definedName>
    <definedName name="CeldaInicioPVPRVAP">'PVP VaP - Pyme'!$J$1</definedName>
    <definedName name="CeldaInicioPVPRVAPIEW">'PVP VaP IEW Pro - Pyme'!$M$1</definedName>
    <definedName name="cualquiera">MR!$W$5</definedName>
    <definedName name="k">Tabla3[]</definedName>
    <definedName name="MinoraciónPROMOS">#REF!</definedName>
    <definedName name="no_aplica">MR!$W$4</definedName>
    <definedName name="SIoNO">MR!$X$4:$X$5</definedName>
    <definedName name="ValoresPaqueteVozDatos">MR!$U$4:$U$11</definedName>
    <definedName name="ValoresSVA">MR!$V$4:$V$5</definedName>
    <definedName name="valoresTarifa">MR!$S$4:$S$15</definedName>
    <definedName name="valoresTerminal" localSheetId="7">'PVP Subv - Sol Pers Pyme'!$C$26:$C$244</definedName>
    <definedName name="valoresTerminal">'PVP Subv - Optima Pyme'!$C$26:$C$238</definedName>
    <definedName name="valoresTerminalIEW">'PVP Subv IEW - Pyme'!$C$25:$C$48</definedName>
    <definedName name="valoresTipoAlta">MR!$T$4:$T$5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19" i="111" l="1"/>
  <c r="S140" i="111"/>
  <c r="S133" i="111"/>
  <c r="S126" i="111"/>
  <c r="N19" i="109"/>
  <c r="N18" i="109"/>
  <c r="N17" i="109"/>
  <c r="D68" i="109" l="1"/>
  <c r="D69" i="109"/>
  <c r="D70" i="109"/>
  <c r="D71" i="109"/>
  <c r="D72" i="109"/>
  <c r="D73" i="109"/>
  <c r="D74" i="109"/>
  <c r="D75" i="109"/>
  <c r="D76" i="109"/>
  <c r="D77" i="109"/>
  <c r="D78" i="109"/>
  <c r="L22" i="109" l="1"/>
  <c r="L23" i="109"/>
  <c r="L24" i="109"/>
  <c r="AG140" i="111"/>
  <c r="AF140" i="111"/>
  <c r="AE140" i="111"/>
  <c r="AG139" i="111"/>
  <c r="AF139" i="111"/>
  <c r="AE139" i="111"/>
  <c r="AG133" i="111"/>
  <c r="AF133" i="111"/>
  <c r="AE133" i="111"/>
  <c r="AG132" i="111"/>
  <c r="AF132" i="111"/>
  <c r="AE132" i="111"/>
  <c r="AG126" i="111"/>
  <c r="AF126" i="111"/>
  <c r="AE126" i="111"/>
  <c r="AG125" i="111"/>
  <c r="AF125" i="111"/>
  <c r="AE125" i="111"/>
  <c r="AG119" i="111"/>
  <c r="AF119" i="111"/>
  <c r="AE119" i="111"/>
  <c r="AG118" i="111"/>
  <c r="AF118" i="111"/>
  <c r="AE118" i="111"/>
  <c r="J143" i="111"/>
  <c r="J142" i="111"/>
  <c r="J136" i="111"/>
  <c r="J135" i="111"/>
  <c r="J129" i="111"/>
  <c r="J128" i="111"/>
  <c r="J122" i="111"/>
  <c r="J121" i="111"/>
  <c r="B142" i="109"/>
  <c r="B141" i="109"/>
  <c r="B140" i="109"/>
  <c r="Y140" i="111"/>
  <c r="Y133" i="111"/>
  <c r="Y126" i="111"/>
  <c r="Z119" i="111"/>
  <c r="Y119" i="111"/>
  <c r="Z126" i="111"/>
  <c r="AA119" i="111"/>
  <c r="AB119" i="111"/>
  <c r="Z140" i="111"/>
  <c r="Z133" i="111"/>
  <c r="I13" i="109"/>
  <c r="D139" i="109" s="1"/>
  <c r="K95" i="111"/>
  <c r="K85" i="111"/>
  <c r="K75" i="111"/>
  <c r="K65" i="111"/>
  <c r="K55" i="111"/>
  <c r="K45" i="111"/>
  <c r="K35" i="111"/>
  <c r="K25" i="111"/>
  <c r="K15" i="111"/>
  <c r="B136" i="109"/>
  <c r="AD140" i="111"/>
  <c r="AC140" i="111"/>
  <c r="AD139" i="111"/>
  <c r="AC139" i="111"/>
  <c r="AD133" i="111"/>
  <c r="AC133" i="111"/>
  <c r="AD132" i="111"/>
  <c r="AC132" i="111"/>
  <c r="AD125" i="111"/>
  <c r="AC125" i="111"/>
  <c r="AD118" i="111"/>
  <c r="AC118" i="111"/>
  <c r="AD126" i="111"/>
  <c r="AC126" i="111"/>
  <c r="AB126" i="111"/>
  <c r="AA126" i="111"/>
  <c r="AD119" i="111"/>
  <c r="AC119" i="111"/>
  <c r="D141" i="109" l="1"/>
  <c r="D142" i="109"/>
  <c r="D140" i="109"/>
  <c r="K9" i="111"/>
  <c r="L9" i="111" s="1"/>
  <c r="D137" i="109"/>
  <c r="D138" i="109"/>
  <c r="AB140" i="111"/>
  <c r="AA140" i="111"/>
  <c r="AB133" i="111"/>
  <c r="AA133" i="111"/>
  <c r="K143" i="111"/>
  <c r="K142" i="111"/>
  <c r="K136" i="111"/>
  <c r="K135" i="111"/>
  <c r="K129" i="111"/>
  <c r="K128" i="111"/>
  <c r="K121" i="111"/>
  <c r="D130" i="109"/>
  <c r="D55" i="109"/>
  <c r="D56" i="109"/>
  <c r="D57" i="109"/>
  <c r="D58" i="109"/>
  <c r="D59" i="109"/>
  <c r="D60" i="109"/>
  <c r="D61" i="109"/>
  <c r="D54" i="109"/>
  <c r="D94" i="109"/>
  <c r="D93" i="109"/>
  <c r="D92" i="109"/>
  <c r="D91" i="109"/>
  <c r="D90" i="109"/>
  <c r="D89" i="109"/>
  <c r="D88" i="109"/>
  <c r="D87" i="109"/>
  <c r="D86" i="109"/>
  <c r="D85" i="109"/>
  <c r="D84" i="109"/>
  <c r="D83" i="109"/>
  <c r="D82" i="109"/>
  <c r="D81" i="109"/>
  <c r="D103" i="109"/>
  <c r="D102" i="109"/>
  <c r="D101" i="109"/>
  <c r="D100" i="109"/>
  <c r="D114" i="109"/>
  <c r="D113" i="109"/>
  <c r="D112" i="109"/>
  <c r="D111" i="109"/>
  <c r="D110" i="109"/>
  <c r="D109" i="109"/>
  <c r="D108" i="109"/>
  <c r="D134" i="109"/>
  <c r="D133" i="109"/>
  <c r="D132" i="109"/>
  <c r="D131" i="109"/>
  <c r="W140" i="111"/>
  <c r="W133" i="111"/>
  <c r="W126" i="111" l="1"/>
  <c r="W119" i="111"/>
  <c r="T140" i="111"/>
  <c r="X140" i="111"/>
  <c r="X133" i="111"/>
  <c r="X126" i="111"/>
  <c r="X119" i="111"/>
  <c r="V140" i="111"/>
  <c r="U140" i="111"/>
  <c r="V133" i="111"/>
  <c r="U133" i="111"/>
  <c r="T133" i="111"/>
  <c r="T134" i="111" s="1"/>
  <c r="V126" i="111"/>
  <c r="U126" i="111"/>
  <c r="T126" i="111"/>
  <c r="V119" i="111"/>
  <c r="U119" i="111"/>
  <c r="T119" i="111"/>
  <c r="T141" i="111" l="1"/>
  <c r="T127" i="111"/>
  <c r="T120" i="111"/>
  <c r="B134" i="109"/>
  <c r="B133" i="109"/>
  <c r="B132" i="109"/>
  <c r="B131" i="109"/>
  <c r="B130" i="109"/>
  <c r="K10" i="111" l="1"/>
  <c r="P93" i="111"/>
  <c r="P83" i="111"/>
  <c r="P73" i="111"/>
  <c r="P63" i="111"/>
  <c r="P53" i="111"/>
  <c r="P43" i="111"/>
  <c r="P33" i="111"/>
  <c r="P23" i="111"/>
  <c r="P13" i="111"/>
  <c r="H27" i="111"/>
  <c r="H37" i="111" l="1"/>
  <c r="D139" i="111" l="1"/>
  <c r="D132" i="111"/>
  <c r="D125" i="111"/>
  <c r="D118" i="111"/>
  <c r="C121" i="111" s="1"/>
  <c r="G4" i="111" l="1"/>
  <c r="F142" i="111" l="1"/>
  <c r="F135" i="111"/>
  <c r="F128" i="111"/>
  <c r="F121" i="111"/>
  <c r="H97" i="111"/>
  <c r="H87" i="111"/>
  <c r="H77" i="111"/>
  <c r="H67" i="111"/>
  <c r="H57" i="111"/>
  <c r="H47" i="111"/>
  <c r="H17" i="111"/>
  <c r="N93" i="111"/>
  <c r="N83" i="111"/>
  <c r="N73" i="111"/>
  <c r="N63" i="111"/>
  <c r="N53" i="111"/>
  <c r="N43" i="111"/>
  <c r="H46" i="111" s="1"/>
  <c r="H48" i="111" s="1"/>
  <c r="N33" i="111"/>
  <c r="H36" i="111" s="1"/>
  <c r="H38" i="111" s="1"/>
  <c r="N23" i="111"/>
  <c r="N13" i="111"/>
  <c r="B4" i="118"/>
  <c r="C143" i="111"/>
  <c r="C136" i="111"/>
  <c r="O140" i="111"/>
  <c r="N140" i="111"/>
  <c r="O133" i="111"/>
  <c r="N133" i="111"/>
  <c r="O126" i="111"/>
  <c r="N126" i="111"/>
  <c r="O119" i="111"/>
  <c r="N119" i="111"/>
  <c r="Q119" i="111"/>
  <c r="P119" i="111"/>
  <c r="H129" i="111"/>
  <c r="E128" i="111"/>
  <c r="E129" i="111"/>
  <c r="G143" i="111"/>
  <c r="G142" i="111"/>
  <c r="R140" i="111"/>
  <c r="H143" i="111"/>
  <c r="C142" i="111"/>
  <c r="F143" i="111"/>
  <c r="Q140" i="111"/>
  <c r="M140" i="111"/>
  <c r="P140" i="111"/>
  <c r="H142" i="111"/>
  <c r="I143" i="111"/>
  <c r="E143" i="111"/>
  <c r="I142" i="111"/>
  <c r="E142" i="111"/>
  <c r="L140" i="111"/>
  <c r="G136" i="111"/>
  <c r="G135" i="111"/>
  <c r="Q133" i="111"/>
  <c r="M133" i="111"/>
  <c r="F136" i="111"/>
  <c r="P133" i="111"/>
  <c r="L133" i="111"/>
  <c r="I136" i="111"/>
  <c r="E136" i="111"/>
  <c r="I135" i="111"/>
  <c r="E135" i="111"/>
  <c r="H136" i="111"/>
  <c r="H135" i="111"/>
  <c r="C135" i="111"/>
  <c r="R133" i="111"/>
  <c r="R126" i="111"/>
  <c r="L126" i="111"/>
  <c r="K7" i="111"/>
  <c r="L7" i="111" s="1"/>
  <c r="C129" i="111"/>
  <c r="B4" i="124"/>
  <c r="B4" i="123"/>
  <c r="B4" i="122"/>
  <c r="B4" i="115"/>
  <c r="B4" i="112"/>
  <c r="B4" i="121"/>
  <c r="A188" i="113"/>
  <c r="A189" i="113"/>
  <c r="A190" i="113"/>
  <c r="A191" i="113"/>
  <c r="A192" i="113"/>
  <c r="A193" i="113"/>
  <c r="A194" i="113"/>
  <c r="A195" i="113"/>
  <c r="A196" i="113"/>
  <c r="A197" i="113"/>
  <c r="A198" i="113"/>
  <c r="A199" i="113"/>
  <c r="A200" i="113"/>
  <c r="A201" i="113"/>
  <c r="A202" i="113"/>
  <c r="A203" i="113"/>
  <c r="A204" i="113"/>
  <c r="A205" i="113"/>
  <c r="A206" i="113"/>
  <c r="A207" i="113"/>
  <c r="A208" i="113"/>
  <c r="A209" i="113"/>
  <c r="M93" i="111"/>
  <c r="D95" i="111" s="1"/>
  <c r="M83" i="111"/>
  <c r="D85" i="111" s="1"/>
  <c r="M73" i="111"/>
  <c r="D75" i="111" s="1"/>
  <c r="M63" i="111"/>
  <c r="C66" i="111" s="1"/>
  <c r="B66" i="111" s="1"/>
  <c r="F67" i="111" s="1"/>
  <c r="M53" i="111"/>
  <c r="D55" i="111" s="1"/>
  <c r="M43" i="111"/>
  <c r="D45" i="111" s="1"/>
  <c r="M33" i="111"/>
  <c r="D35" i="111" s="1"/>
  <c r="M23" i="111"/>
  <c r="D25" i="111" s="1"/>
  <c r="M13" i="111"/>
  <c r="D15" i="111" s="1"/>
  <c r="A56" i="113"/>
  <c r="A57" i="113"/>
  <c r="D13" i="111"/>
  <c r="A387" i="113"/>
  <c r="A386" i="113"/>
  <c r="A385" i="113"/>
  <c r="A384" i="113"/>
  <c r="A383" i="113"/>
  <c r="A382" i="113"/>
  <c r="A381" i="113"/>
  <c r="A380" i="113"/>
  <c r="A379" i="113"/>
  <c r="A378" i="113"/>
  <c r="A377" i="113"/>
  <c r="A376" i="113"/>
  <c r="A375" i="113"/>
  <c r="A374" i="113"/>
  <c r="A373" i="113"/>
  <c r="A372" i="113"/>
  <c r="A371" i="113"/>
  <c r="A370" i="113"/>
  <c r="A369" i="113"/>
  <c r="A368" i="113"/>
  <c r="A367" i="113"/>
  <c r="A366" i="113"/>
  <c r="A365" i="113"/>
  <c r="A364" i="113"/>
  <c r="A363" i="113"/>
  <c r="A362" i="113"/>
  <c r="A361" i="113"/>
  <c r="A360" i="113"/>
  <c r="A359" i="113"/>
  <c r="A358" i="113"/>
  <c r="A357" i="113"/>
  <c r="A356" i="113"/>
  <c r="A355" i="113"/>
  <c r="A354" i="113"/>
  <c r="A353" i="113"/>
  <c r="A352" i="113"/>
  <c r="A351" i="113"/>
  <c r="A350" i="113"/>
  <c r="A349" i="113"/>
  <c r="A348" i="113"/>
  <c r="A347" i="113"/>
  <c r="A346" i="113"/>
  <c r="A345" i="113"/>
  <c r="A344" i="113"/>
  <c r="A343" i="113"/>
  <c r="A342" i="113"/>
  <c r="A341" i="113"/>
  <c r="A340" i="113"/>
  <c r="A339" i="113"/>
  <c r="A338" i="113"/>
  <c r="A337" i="113"/>
  <c r="A336" i="113"/>
  <c r="A335" i="113"/>
  <c r="A334" i="113"/>
  <c r="A333" i="113"/>
  <c r="A332" i="113"/>
  <c r="A331" i="113"/>
  <c r="A330" i="113"/>
  <c r="A329" i="113"/>
  <c r="A328" i="113"/>
  <c r="A327" i="113"/>
  <c r="A326" i="113"/>
  <c r="A325" i="113"/>
  <c r="A324" i="113"/>
  <c r="A323" i="113"/>
  <c r="A322" i="113"/>
  <c r="A321" i="113"/>
  <c r="A320" i="113"/>
  <c r="A319" i="113"/>
  <c r="A318" i="113"/>
  <c r="A317" i="113"/>
  <c r="A316" i="113"/>
  <c r="A315" i="113"/>
  <c r="A314" i="113"/>
  <c r="A313" i="113"/>
  <c r="A312" i="113"/>
  <c r="A311" i="113"/>
  <c r="A310" i="113"/>
  <c r="A309" i="113"/>
  <c r="A308" i="113"/>
  <c r="A307" i="113"/>
  <c r="A306" i="113"/>
  <c r="A305" i="113"/>
  <c r="A304" i="113"/>
  <c r="A303" i="113"/>
  <c r="A302" i="113"/>
  <c r="A301" i="113"/>
  <c r="A300" i="113"/>
  <c r="A299" i="113"/>
  <c r="A298" i="113"/>
  <c r="A297" i="113"/>
  <c r="A296" i="113"/>
  <c r="A295" i="113"/>
  <c r="A294" i="113"/>
  <c r="A293" i="113"/>
  <c r="A292" i="113"/>
  <c r="A291" i="113"/>
  <c r="A290" i="113"/>
  <c r="A289" i="113"/>
  <c r="A288" i="113"/>
  <c r="A287" i="113"/>
  <c r="A286" i="113"/>
  <c r="A285" i="113"/>
  <c r="A284" i="113"/>
  <c r="A283" i="113"/>
  <c r="A282" i="113"/>
  <c r="A281" i="113"/>
  <c r="A280" i="113"/>
  <c r="A279" i="113"/>
  <c r="A278" i="113"/>
  <c r="A277" i="113"/>
  <c r="A276" i="113"/>
  <c r="A275" i="113"/>
  <c r="A274" i="113"/>
  <c r="A273" i="113"/>
  <c r="A272" i="113"/>
  <c r="A271" i="113"/>
  <c r="A270" i="113"/>
  <c r="A269" i="113"/>
  <c r="A268" i="113"/>
  <c r="A267" i="113"/>
  <c r="A266" i="113"/>
  <c r="A265" i="113"/>
  <c r="A264" i="113"/>
  <c r="A263" i="113"/>
  <c r="A262" i="113"/>
  <c r="A261" i="113"/>
  <c r="A260" i="113"/>
  <c r="A259" i="113"/>
  <c r="A258" i="113"/>
  <c r="A257" i="113"/>
  <c r="A256" i="113"/>
  <c r="A255" i="113"/>
  <c r="A254" i="113"/>
  <c r="A253" i="113"/>
  <c r="A252" i="113"/>
  <c r="A251" i="113"/>
  <c r="A250" i="113"/>
  <c r="A249" i="113"/>
  <c r="A248" i="113"/>
  <c r="A247" i="113"/>
  <c r="A246" i="113"/>
  <c r="A245" i="113"/>
  <c r="A244" i="113"/>
  <c r="A243" i="113"/>
  <c r="A242" i="113"/>
  <c r="A241" i="113"/>
  <c r="A240" i="113"/>
  <c r="A239" i="113"/>
  <c r="A238" i="113"/>
  <c r="A237" i="113"/>
  <c r="A236" i="113"/>
  <c r="A235" i="113"/>
  <c r="A234" i="113"/>
  <c r="A233" i="113"/>
  <c r="A232" i="113"/>
  <c r="A231" i="113"/>
  <c r="A230" i="113"/>
  <c r="A229" i="113"/>
  <c r="A228" i="113"/>
  <c r="A227" i="113"/>
  <c r="A226" i="113"/>
  <c r="A225" i="113"/>
  <c r="A224" i="113"/>
  <c r="A223" i="113"/>
  <c r="A222" i="113"/>
  <c r="A221" i="113"/>
  <c r="A220" i="113"/>
  <c r="A219" i="113"/>
  <c r="A218" i="113"/>
  <c r="A217" i="113"/>
  <c r="A216" i="113"/>
  <c r="A215" i="113"/>
  <c r="A214" i="113"/>
  <c r="A213" i="113"/>
  <c r="A212" i="113"/>
  <c r="A211" i="113"/>
  <c r="A210" i="113"/>
  <c r="A187" i="113"/>
  <c r="A186" i="113"/>
  <c r="A185" i="113"/>
  <c r="A184" i="113"/>
  <c r="A183" i="113"/>
  <c r="A182" i="113"/>
  <c r="A181" i="113"/>
  <c r="A180" i="113"/>
  <c r="A179" i="113"/>
  <c r="A178" i="113"/>
  <c r="A177" i="113"/>
  <c r="A176" i="113"/>
  <c r="A175" i="113"/>
  <c r="A174" i="113"/>
  <c r="A173" i="113"/>
  <c r="A172" i="113"/>
  <c r="A171" i="113"/>
  <c r="A170" i="113"/>
  <c r="A169" i="113"/>
  <c r="A168" i="113"/>
  <c r="A167" i="113"/>
  <c r="A166" i="113"/>
  <c r="A165" i="113"/>
  <c r="A164" i="113"/>
  <c r="A163" i="113"/>
  <c r="A162" i="113"/>
  <c r="A161" i="113"/>
  <c r="A160" i="113"/>
  <c r="A159" i="113"/>
  <c r="A158" i="113"/>
  <c r="A157" i="113"/>
  <c r="A156" i="113"/>
  <c r="A155" i="113"/>
  <c r="A154" i="113"/>
  <c r="A153" i="113"/>
  <c r="A152" i="113"/>
  <c r="A151" i="113"/>
  <c r="A150" i="113"/>
  <c r="A149" i="113"/>
  <c r="A148" i="113"/>
  <c r="A147" i="113"/>
  <c r="A146" i="113"/>
  <c r="A145" i="113"/>
  <c r="A144" i="113"/>
  <c r="A143" i="113"/>
  <c r="A142" i="113"/>
  <c r="A141" i="113"/>
  <c r="A140" i="113"/>
  <c r="A139" i="113"/>
  <c r="A138" i="113"/>
  <c r="A137" i="113"/>
  <c r="A136" i="113"/>
  <c r="A135" i="113"/>
  <c r="A134" i="113"/>
  <c r="A133" i="113"/>
  <c r="A132" i="113"/>
  <c r="A131" i="113"/>
  <c r="A130" i="113"/>
  <c r="A129" i="113"/>
  <c r="A128" i="113"/>
  <c r="A127" i="113"/>
  <c r="A126" i="113"/>
  <c r="A125" i="113"/>
  <c r="A124" i="113"/>
  <c r="A123" i="113"/>
  <c r="A122" i="113"/>
  <c r="A121" i="113"/>
  <c r="A120" i="113"/>
  <c r="A119" i="113"/>
  <c r="A118" i="113"/>
  <c r="A117" i="113"/>
  <c r="A116" i="113"/>
  <c r="A115" i="113"/>
  <c r="A114" i="113"/>
  <c r="A113" i="113"/>
  <c r="A112" i="113"/>
  <c r="A111" i="113"/>
  <c r="A110" i="113"/>
  <c r="A109" i="113"/>
  <c r="A108" i="113"/>
  <c r="A107" i="113"/>
  <c r="A106" i="113"/>
  <c r="A105" i="113"/>
  <c r="A104" i="113"/>
  <c r="A103" i="113"/>
  <c r="A102" i="113"/>
  <c r="A101" i="113"/>
  <c r="A100" i="113"/>
  <c r="A99" i="113"/>
  <c r="A98" i="113"/>
  <c r="A97" i="113"/>
  <c r="A96" i="113"/>
  <c r="A95" i="113"/>
  <c r="A94" i="113"/>
  <c r="A93" i="113"/>
  <c r="A92" i="113"/>
  <c r="A91" i="113"/>
  <c r="A90" i="113"/>
  <c r="A89" i="113"/>
  <c r="A88" i="113"/>
  <c r="A87" i="113"/>
  <c r="A86" i="113"/>
  <c r="A85" i="113"/>
  <c r="A84" i="113"/>
  <c r="A83" i="113"/>
  <c r="A82" i="113"/>
  <c r="A81" i="113"/>
  <c r="A80" i="113"/>
  <c r="A79" i="113"/>
  <c r="A78" i="113"/>
  <c r="A77" i="113"/>
  <c r="A76" i="113"/>
  <c r="A75" i="113"/>
  <c r="A74" i="113"/>
  <c r="A73" i="113"/>
  <c r="A72" i="113"/>
  <c r="A71" i="113"/>
  <c r="A70" i="113"/>
  <c r="A69" i="113"/>
  <c r="A68" i="113"/>
  <c r="A67" i="113"/>
  <c r="A66" i="113"/>
  <c r="A65" i="113"/>
  <c r="A64" i="113"/>
  <c r="A63" i="113"/>
  <c r="A62" i="113"/>
  <c r="A61" i="113"/>
  <c r="A60" i="113"/>
  <c r="A59" i="113"/>
  <c r="A58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A2" i="113"/>
  <c r="A9" i="116"/>
  <c r="A8" i="116"/>
  <c r="A7" i="116"/>
  <c r="A6" i="116"/>
  <c r="A5" i="116"/>
  <c r="A4" i="116"/>
  <c r="A3" i="116"/>
  <c r="A2" i="116"/>
  <c r="G109" i="111"/>
  <c r="B97" i="111"/>
  <c r="K93" i="111"/>
  <c r="F95" i="111" s="1"/>
  <c r="D93" i="111"/>
  <c r="B87" i="111"/>
  <c r="K83" i="111"/>
  <c r="F85" i="111" s="1"/>
  <c r="D83" i="111"/>
  <c r="B77" i="111"/>
  <c r="K73" i="111"/>
  <c r="F75" i="111" s="1"/>
  <c r="D73" i="111"/>
  <c r="I75" i="111" s="1"/>
  <c r="J75" i="111" s="1"/>
  <c r="B67" i="111"/>
  <c r="K63" i="111"/>
  <c r="F65" i="111" s="1"/>
  <c r="D63" i="111"/>
  <c r="B57" i="111"/>
  <c r="D53" i="111"/>
  <c r="B47" i="111"/>
  <c r="K43" i="111"/>
  <c r="F45" i="111" s="1"/>
  <c r="D43" i="111"/>
  <c r="B37" i="111"/>
  <c r="D33" i="111"/>
  <c r="B27" i="111"/>
  <c r="D23" i="111"/>
  <c r="E25" i="111" s="1"/>
  <c r="B17" i="111"/>
  <c r="K53" i="111"/>
  <c r="F55" i="111" s="1"/>
  <c r="E75" i="111" l="1"/>
  <c r="H16" i="111"/>
  <c r="H18" i="111" s="1"/>
  <c r="B142" i="111"/>
  <c r="D135" i="109"/>
  <c r="D136" i="109"/>
  <c r="D116" i="109"/>
  <c r="K122" i="111" s="1"/>
  <c r="D115" i="109"/>
  <c r="B135" i="111"/>
  <c r="C76" i="111"/>
  <c r="B76" i="111" s="1"/>
  <c r="F77" i="111" s="1"/>
  <c r="B143" i="111"/>
  <c r="B136" i="111"/>
  <c r="C86" i="111"/>
  <c r="B86" i="111" s="1"/>
  <c r="F87" i="111" s="1"/>
  <c r="I85" i="111"/>
  <c r="J85" i="111" s="1"/>
  <c r="D65" i="111"/>
  <c r="I6" i="109"/>
  <c r="I18" i="109"/>
  <c r="E65" i="111"/>
  <c r="I65" i="111"/>
  <c r="J65" i="111" s="1"/>
  <c r="C38" i="111"/>
  <c r="B38" i="111" s="1"/>
  <c r="K13" i="111"/>
  <c r="F15" i="111" s="1"/>
  <c r="N54" i="111"/>
  <c r="H56" i="111"/>
  <c r="H58" i="111" s="1"/>
  <c r="N94" i="111"/>
  <c r="H96" i="111"/>
  <c r="H98" i="111" s="1"/>
  <c r="N24" i="111"/>
  <c r="H26" i="111"/>
  <c r="H28" i="111" s="1"/>
  <c r="N64" i="111"/>
  <c r="H66" i="111"/>
  <c r="H68" i="111" s="1"/>
  <c r="H39" i="111"/>
  <c r="N74" i="111"/>
  <c r="H76" i="111"/>
  <c r="H78" i="111" s="1"/>
  <c r="H49" i="111"/>
  <c r="N84" i="111"/>
  <c r="H86" i="111"/>
  <c r="H88" i="111" s="1"/>
  <c r="K33" i="111"/>
  <c r="N34" i="111"/>
  <c r="K5" i="111"/>
  <c r="L5" i="111" s="1"/>
  <c r="C98" i="111"/>
  <c r="B98" i="111" s="1"/>
  <c r="F122" i="111"/>
  <c r="E121" i="111"/>
  <c r="G121" i="111"/>
  <c r="R119" i="111"/>
  <c r="C48" i="111"/>
  <c r="B48" i="111" s="1"/>
  <c r="G75" i="111"/>
  <c r="C88" i="111"/>
  <c r="B88" i="111" s="1"/>
  <c r="P126" i="111"/>
  <c r="K3" i="111" s="1"/>
  <c r="I128" i="111"/>
  <c r="F129" i="111"/>
  <c r="M126" i="111"/>
  <c r="C128" i="111"/>
  <c r="G129" i="111"/>
  <c r="G95" i="111"/>
  <c r="Q126" i="111"/>
  <c r="K8" i="111" s="1"/>
  <c r="H128" i="111"/>
  <c r="I129" i="111"/>
  <c r="G128" i="111"/>
  <c r="K23" i="111"/>
  <c r="F25" i="111" s="1"/>
  <c r="E35" i="111"/>
  <c r="L83" i="111"/>
  <c r="O83" i="111" s="1"/>
  <c r="F86" i="111" s="1"/>
  <c r="E86" i="111" s="1"/>
  <c r="C18" i="111"/>
  <c r="B18" i="111" s="1"/>
  <c r="N44" i="111"/>
  <c r="B5" i="111"/>
  <c r="E122" i="111"/>
  <c r="L119" i="111"/>
  <c r="K4" i="111" s="1"/>
  <c r="G122" i="111"/>
  <c r="I121" i="111"/>
  <c r="I122" i="111"/>
  <c r="H121" i="111"/>
  <c r="M119" i="111"/>
  <c r="H122" i="111"/>
  <c r="I7" i="109"/>
  <c r="I11" i="109"/>
  <c r="I22" i="109"/>
  <c r="I8" i="109"/>
  <c r="I19" i="109"/>
  <c r="I23" i="109"/>
  <c r="I9" i="109"/>
  <c r="I20" i="109"/>
  <c r="D128" i="109"/>
  <c r="I10" i="109"/>
  <c r="I21" i="109"/>
  <c r="D129" i="109"/>
  <c r="E45" i="111"/>
  <c r="G65" i="111"/>
  <c r="G85" i="111"/>
  <c r="G45" i="111"/>
  <c r="G55" i="111"/>
  <c r="C78" i="111"/>
  <c r="B78" i="111" s="1"/>
  <c r="N14" i="111"/>
  <c r="G35" i="111"/>
  <c r="C28" i="111"/>
  <c r="B28" i="111" s="1"/>
  <c r="E85" i="111"/>
  <c r="G25" i="111"/>
  <c r="G15" i="111"/>
  <c r="C68" i="111"/>
  <c r="B68" i="111" s="1"/>
  <c r="E15" i="111"/>
  <c r="E55" i="111"/>
  <c r="C58" i="111"/>
  <c r="B58" i="111" s="1"/>
  <c r="E95" i="111"/>
  <c r="L63" i="111"/>
  <c r="O63" i="111" s="1"/>
  <c r="F66" i="111" s="1"/>
  <c r="E66" i="111" s="1"/>
  <c r="L43" i="111"/>
  <c r="O43" i="111" s="1"/>
  <c r="F46" i="111" s="1"/>
  <c r="E46" i="111" s="1"/>
  <c r="L93" i="111"/>
  <c r="O93" i="111" s="1"/>
  <c r="F96" i="111" s="1"/>
  <c r="E96" i="111" s="1"/>
  <c r="L73" i="111"/>
  <c r="O73" i="111" s="1"/>
  <c r="F76" i="111" s="1"/>
  <c r="E76" i="111" s="1"/>
  <c r="L53" i="111"/>
  <c r="O53" i="111" s="1"/>
  <c r="F56" i="111" s="1"/>
  <c r="E56" i="111" s="1"/>
  <c r="G5" i="111"/>
  <c r="G6" i="111" s="1"/>
  <c r="K6" i="111" l="1"/>
  <c r="L6" i="111" s="1"/>
  <c r="L8" i="111"/>
  <c r="C56" i="111"/>
  <c r="B56" i="111" s="1"/>
  <c r="F57" i="111" s="1"/>
  <c r="C46" i="111"/>
  <c r="B46" i="111" s="1"/>
  <c r="F47" i="111" s="1"/>
  <c r="C96" i="111"/>
  <c r="B96" i="111" s="1"/>
  <c r="F97" i="111" s="1"/>
  <c r="H19" i="111"/>
  <c r="E97" i="111"/>
  <c r="E87" i="111"/>
  <c r="E77" i="111"/>
  <c r="E67" i="111"/>
  <c r="E57" i="111"/>
  <c r="E47" i="111"/>
  <c r="L33" i="111"/>
  <c r="C36" i="111" s="1"/>
  <c r="B36" i="111" s="1"/>
  <c r="F37" i="111" s="1"/>
  <c r="F35" i="111"/>
  <c r="B128" i="111"/>
  <c r="L13" i="111"/>
  <c r="O13" i="111" s="1"/>
  <c r="B121" i="111"/>
  <c r="B129" i="111"/>
  <c r="C122" i="111"/>
  <c r="B122" i="111" s="1"/>
  <c r="H69" i="111"/>
  <c r="H89" i="111"/>
  <c r="H99" i="111"/>
  <c r="C75" i="111"/>
  <c r="B75" i="111" s="1"/>
  <c r="H29" i="111"/>
  <c r="H59" i="111"/>
  <c r="H79" i="111"/>
  <c r="L23" i="111"/>
  <c r="L3" i="111"/>
  <c r="C85" i="111"/>
  <c r="B85" i="111" s="1"/>
  <c r="B6" i="111"/>
  <c r="C6" i="111" s="1"/>
  <c r="C65" i="111"/>
  <c r="B65" i="111" s="1"/>
  <c r="H3" i="111"/>
  <c r="L10" i="111" l="1"/>
  <c r="O33" i="111"/>
  <c r="F36" i="111" s="1"/>
  <c r="E36" i="111" s="1"/>
  <c r="B110" i="111"/>
  <c r="B113" i="111" s="1"/>
  <c r="C79" i="111"/>
  <c r="F79" i="111" s="1"/>
  <c r="E79" i="111" s="1"/>
  <c r="B109" i="111"/>
  <c r="C26" i="111"/>
  <c r="B26" i="111" s="1"/>
  <c r="F27" i="111" s="1"/>
  <c r="O23" i="111"/>
  <c r="F26" i="111" s="1"/>
  <c r="E26" i="111" s="1"/>
  <c r="F16" i="111"/>
  <c r="C89" i="111"/>
  <c r="F89" i="111" s="1"/>
  <c r="C69" i="111"/>
  <c r="F69" i="111" s="1"/>
  <c r="E37" i="111" l="1"/>
  <c r="B79" i="111"/>
  <c r="B89" i="111"/>
  <c r="E89" i="111"/>
  <c r="B69" i="111"/>
  <c r="E69" i="111"/>
  <c r="E27" i="111"/>
  <c r="E16" i="111"/>
  <c r="B111" i="111"/>
  <c r="K2" i="111" s="1"/>
  <c r="G7" i="111" l="1"/>
  <c r="H8" i="111" s="1"/>
  <c r="H9" i="111" l="1"/>
  <c r="F9" i="111" s="1"/>
  <c r="I95" i="111" l="1"/>
  <c r="J95" i="111" s="1"/>
  <c r="C95" i="111" l="1"/>
  <c r="B95" i="111" l="1"/>
  <c r="C99" i="111"/>
  <c r="C16" i="111"/>
  <c r="B16" i="111" s="1"/>
  <c r="F17" i="111" s="1"/>
  <c r="B99" i="111" l="1"/>
  <c r="F99" i="111"/>
  <c r="E99" i="111" s="1"/>
  <c r="B4" i="111"/>
  <c r="E17" i="111"/>
  <c r="C4" i="111" l="1"/>
  <c r="I55" i="111" l="1"/>
  <c r="J55" i="111" s="1"/>
  <c r="I35" i="111"/>
  <c r="J35" i="111" s="1"/>
  <c r="I45" i="111"/>
  <c r="J45" i="111" s="1"/>
  <c r="I25" i="111"/>
  <c r="J25" i="111" s="1"/>
  <c r="C55" i="111" l="1"/>
  <c r="B55" i="111" s="1"/>
  <c r="C35" i="111"/>
  <c r="B35" i="111" s="1"/>
  <c r="C45" i="111"/>
  <c r="C25" i="111"/>
  <c r="C59" i="111" l="1"/>
  <c r="F59" i="111" s="1"/>
  <c r="E59" i="111" s="1"/>
  <c r="C39" i="111"/>
  <c r="F39" i="111" s="1"/>
  <c r="E39" i="111" s="1"/>
  <c r="B45" i="111"/>
  <c r="C49" i="111"/>
  <c r="C29" i="111"/>
  <c r="B25" i="111"/>
  <c r="B59" i="111" l="1"/>
  <c r="B39" i="111"/>
  <c r="F49" i="111"/>
  <c r="E49" i="111" s="1"/>
  <c r="B49" i="111"/>
  <c r="F29" i="111"/>
  <c r="E29" i="111" s="1"/>
  <c r="B29" i="111"/>
  <c r="I15" i="111" l="1"/>
  <c r="C15" i="111" s="1"/>
  <c r="C19" i="111" l="1"/>
  <c r="B15" i="111"/>
  <c r="B3" i="111" s="1"/>
  <c r="C3" i="111" s="1"/>
  <c r="C7" i="111" s="1"/>
  <c r="J15" i="111"/>
  <c r="H10" i="111" s="1"/>
  <c r="I10" i="111" s="1"/>
  <c r="I9" i="111"/>
  <c r="C10" i="111" l="1"/>
  <c r="B19" i="111"/>
  <c r="B7" i="111" s="1"/>
  <c r="B10" i="111" s="1"/>
  <c r="F19" i="111"/>
  <c r="E19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ARIAS, Carmen</author>
  </authors>
  <commentList>
    <comment ref="J6" authorId="0" shapeId="0" xr:uid="{B620FBC1-A0FB-4534-8700-E13CFFD6CBE2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Si lleva Cpyme tiene que llevar también N+ para ser estratética</t>
        </r>
      </text>
    </comment>
    <comment ref="J9" authorId="0" shapeId="0" xr:uid="{100BD1B2-1660-4B11-8D3F-EC9CB8C4FDA9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Tienen que solicitar más de 3
 licencias</t>
        </r>
      </text>
    </comment>
    <comment ref="H16" authorId="0" shapeId="0" xr:uid="{37944895-54C9-4511-A547-7AF307F570E1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18" authorId="0" shapeId="0" xr:uid="{37B720D2-AC6E-4AC4-A85F-07F7007E285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26" authorId="0" shapeId="0" xr:uid="{6868D70E-ADD7-426F-BECD-9EE0612DED1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28" authorId="0" shapeId="0" xr:uid="{97A76BC1-AC1C-4F26-996F-0DF0984BA0C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36" authorId="0" shapeId="0" xr:uid="{9262BC64-9605-429D-9392-FB1F31A9AB1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38" authorId="0" shapeId="0" xr:uid="{9D5E3828-348C-49A2-B32D-1F46665E9BDD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46" authorId="0" shapeId="0" xr:uid="{B1A787E3-C21B-4B40-9D9B-3E5E10B26A7A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48" authorId="0" shapeId="0" xr:uid="{5273B123-7CF0-4836-916C-9591D2653160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56" authorId="0" shapeId="0" xr:uid="{81648F45-0E23-451A-9674-8E91FF0C0B04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58" authorId="0" shapeId="0" xr:uid="{177A10FE-8E5F-43AF-8F29-65B0036CD457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66" authorId="0" shapeId="0" xr:uid="{276F800B-C142-4002-8678-2339FAD8997E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68" authorId="0" shapeId="0" xr:uid="{F567C7AF-694B-45AD-81FA-F35AE766D60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76" authorId="0" shapeId="0" xr:uid="{13BDCD01-A3AA-4B5E-872C-AB9F5082E618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78" authorId="0" shapeId="0" xr:uid="{34CE7588-785C-45F0-8EA9-8E787C66E7C0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86" authorId="0" shapeId="0" xr:uid="{19A87F28-48EF-498A-BD49-56BDB7ED10BF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88" authorId="0" shapeId="0" xr:uid="{5A6097D9-D6D0-4244-9CEB-3B5E5D3D0696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  <comment ref="H96" authorId="0" shapeId="0" xr:uid="{AAB58EA1-F7AF-4DAA-AB05-535833B182F1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24 meses</t>
        </r>
      </text>
    </comment>
    <comment ref="H98" authorId="0" shapeId="0" xr:uid="{30703623-47E9-4067-8675-2C57DC653F59}">
      <text>
        <r>
          <rPr>
            <b/>
            <sz val="9"/>
            <color indexed="81"/>
            <rFont val="Tahoma"/>
            <family val="2"/>
          </rPr>
          <t>SANCHEZ ARIAS, Carmen:</t>
        </r>
        <r>
          <rPr>
            <sz val="9"/>
            <color indexed="81"/>
            <rFont val="Tahoma"/>
            <family val="2"/>
          </rPr>
          <t xml:space="preserve">
minoración a 36 meses
</t>
        </r>
      </text>
    </comment>
  </commentList>
</comments>
</file>

<file path=xl/sharedStrings.xml><?xml version="1.0" encoding="utf-8"?>
<sst xmlns="http://schemas.openxmlformats.org/spreadsheetml/2006/main" count="8654" uniqueCount="643">
  <si>
    <t>TERMINAL</t>
  </si>
  <si>
    <t>SI</t>
  </si>
  <si>
    <t>NO</t>
  </si>
  <si>
    <t>PORTABILIDAD</t>
  </si>
  <si>
    <t>VOZ</t>
  </si>
  <si>
    <t>IEW</t>
  </si>
  <si>
    <t>FIX</t>
  </si>
  <si>
    <t>CONFIGURADOR DE MARGENES</t>
  </si>
  <si>
    <t>Mes:</t>
  </si>
  <si>
    <t>Versión:</t>
  </si>
  <si>
    <t>1.- Este configurador es una herramienta de apoyo para el análisis y viabilidad de las operaciones</t>
  </si>
  <si>
    <t>2.- La información que se obtenga de esta herramienta es meramente orientativa</t>
  </si>
  <si>
    <t>3.- Los datos obtenidos de la utilización de esta herramienta en ningún caso tendrán carácter vinculante</t>
  </si>
  <si>
    <r>
      <t>Condicionantes del Configurador</t>
    </r>
    <r>
      <rPr>
        <sz val="12"/>
        <rFont val="Arial"/>
        <family val="2"/>
      </rPr>
      <t xml:space="preserve">. </t>
    </r>
    <r>
      <rPr>
        <sz val="10"/>
        <rFont val="Arial"/>
        <family val="2"/>
      </rPr>
      <t>El configurador contempla la estructura de Marco Retributivo y de Oferta Táctica con las siguientes excepciones / supuestos:</t>
    </r>
  </si>
  <si>
    <t>TARIFA</t>
  </si>
  <si>
    <t>-</t>
  </si>
  <si>
    <t>Acerca del Configurador</t>
  </si>
  <si>
    <t>IEW Pro 10GB</t>
  </si>
  <si>
    <t>SPH-4G</t>
  </si>
  <si>
    <t>TIPO DE ALTA</t>
  </si>
  <si>
    <t>IMPORTE</t>
  </si>
  <si>
    <t>EXTRACOMISIÓN POR ALTA CON TERMINAL</t>
  </si>
  <si>
    <t>ÁREA DE IMPORTES</t>
  </si>
  <si>
    <t>PAQUETE DE VOZ Y DATOS</t>
  </si>
  <si>
    <t>SVA</t>
  </si>
  <si>
    <t>CV usuario</t>
  </si>
  <si>
    <t>MFO fijo portado</t>
  </si>
  <si>
    <t>COMISIÓN POR SVAs</t>
  </si>
  <si>
    <t>PERFIL DE ALTA</t>
  </si>
  <si>
    <t>MFO CON FIJO PORTADO</t>
  </si>
  <si>
    <t>CV USUARIO</t>
  </si>
  <si>
    <t>Nº ALTAS CON ESTE PERFIL</t>
  </si>
  <si>
    <t>*</t>
  </si>
  <si>
    <t>VENTA A PLAZOS</t>
  </si>
  <si>
    <t>OFERTA TÁCTICA EMPRESAS</t>
  </si>
  <si>
    <t>CAPTA</t>
  </si>
  <si>
    <t>ENTRADA
PRO</t>
  </si>
  <si>
    <t>NORMAL 
PRO</t>
  </si>
  <si>
    <t>VALOR
PRO</t>
  </si>
  <si>
    <t>PREMIUM
PRO</t>
  </si>
  <si>
    <r>
      <rPr>
        <b/>
        <sz val="26"/>
        <color indexed="53"/>
        <rFont val="Arial"/>
        <family val="2"/>
      </rPr>
      <t xml:space="preserve"> 1. </t>
    </r>
    <r>
      <rPr>
        <b/>
        <sz val="18"/>
        <color indexed="53"/>
        <rFont val="Arial"/>
        <family val="2"/>
      </rPr>
      <t xml:space="preserve"> </t>
    </r>
    <r>
      <rPr>
        <b/>
        <sz val="18"/>
        <rFont val="Arial"/>
        <family val="2"/>
      </rPr>
      <t xml:space="preserve">CONDICIONES DE LA OFERTA SUBVENCIONADA
</t>
    </r>
    <r>
      <rPr>
        <sz val="12"/>
        <rFont val="Arial"/>
        <family val="2"/>
      </rPr>
      <t>(según tarifa y situación del cliente)</t>
    </r>
  </si>
  <si>
    <t>Tarifas</t>
  </si>
  <si>
    <r>
      <t xml:space="preserve">Ampliaciones
</t>
    </r>
    <r>
      <rPr>
        <sz val="12"/>
        <color indexed="9"/>
        <rFont val="Arial"/>
        <family val="2"/>
      </rPr>
      <t>(meses antigüedad)</t>
    </r>
  </si>
  <si>
    <t>Todos</t>
  </si>
  <si>
    <r>
      <t xml:space="preserve">Origen 
</t>
    </r>
    <r>
      <rPr>
        <sz val="12"/>
        <color indexed="9"/>
        <rFont val="Arial"/>
        <family val="2"/>
      </rPr>
      <t>(Portabilidad / Migración)</t>
    </r>
  </si>
  <si>
    <t>Pospago</t>
  </si>
  <si>
    <t>CP Tarifa Voz</t>
  </si>
  <si>
    <t>12 M</t>
  </si>
  <si>
    <t>CP Tarifa Datos</t>
  </si>
  <si>
    <t>24 M</t>
  </si>
  <si>
    <t>24 M Plus</t>
  </si>
  <si>
    <t>CP Operador</t>
  </si>
  <si>
    <r>
      <rPr>
        <b/>
        <sz val="26"/>
        <color indexed="53"/>
        <rFont val="Arial"/>
        <family val="2"/>
      </rPr>
      <t xml:space="preserve">2.  </t>
    </r>
    <r>
      <rPr>
        <b/>
        <sz val="18"/>
        <rFont val="Arial"/>
        <family val="2"/>
      </rPr>
      <t>PRECIO DEL TERMINAL POR GRUPO DE TARIFAS</t>
    </r>
  </si>
  <si>
    <t>DxC CAPTA</t>
  </si>
  <si>
    <t>DxC PORTABILIDAD</t>
  </si>
  <si>
    <t>GRUPOS DE TARIFAS MOVIL</t>
  </si>
  <si>
    <t>MARCA</t>
  </si>
  <si>
    <r>
      <t xml:space="preserve">Modelo </t>
    </r>
    <r>
      <rPr>
        <sz val="10"/>
        <color indexed="12"/>
        <rFont val="Arial"/>
        <family val="2"/>
      </rPr>
      <t>(Novedades)</t>
    </r>
  </si>
  <si>
    <t>Precio Cesión</t>
  </si>
  <si>
    <t>Gama</t>
  </si>
  <si>
    <t>ALCATEL</t>
  </si>
  <si>
    <t>HUAWEI</t>
  </si>
  <si>
    <t>APPLE</t>
  </si>
  <si>
    <t>LG</t>
  </si>
  <si>
    <t>ORANGE</t>
  </si>
  <si>
    <t>SAMSUNG</t>
  </si>
  <si>
    <t>GAMA DE TERMINAL</t>
  </si>
  <si>
    <t>MÓDULO OT</t>
  </si>
  <si>
    <t>TARIFA MULTILÍNEA</t>
  </si>
  <si>
    <t>CLAVE DE BÚSQUEDA</t>
  </si>
  <si>
    <t>portabilidad</t>
  </si>
  <si>
    <t>capta</t>
  </si>
  <si>
    <t>COMISIONES</t>
  </si>
  <si>
    <t>SVAs</t>
  </si>
  <si>
    <t>SUBVENCIÓN TERMINAL</t>
  </si>
  <si>
    <t>GAMA</t>
  </si>
  <si>
    <t>PRECIO CESIÓN TERMINAL</t>
  </si>
  <si>
    <t>IMPORTE UNITARIO</t>
  </si>
  <si>
    <t>IMPORTE TOTAL</t>
  </si>
  <si>
    <t>RENTABILIDAD DE LA OPERACIÓN</t>
  </si>
  <si>
    <t>CAPTA / PORTABILIDAD</t>
  </si>
  <si>
    <t>Captación
Pos / Pre
Migración</t>
  </si>
  <si>
    <t>CP Tarifa</t>
  </si>
  <si>
    <t>12 M / 24 M (Tablet)</t>
  </si>
  <si>
    <t>PVPR CAPTA / PORTABILIDAD</t>
  </si>
  <si>
    <t>DxC CAPTA / PORTABILIDAD</t>
  </si>
  <si>
    <t>GRUPOS DE TARIFAS IEW Pro</t>
  </si>
  <si>
    <t>DxC</t>
  </si>
  <si>
    <t>IEW-4G</t>
  </si>
  <si>
    <t>TIPO DE TARIFA</t>
  </si>
  <si>
    <t>ÁREA DE GRUPOS</t>
  </si>
  <si>
    <t>multilínea</t>
  </si>
  <si>
    <t>COMODINES</t>
  </si>
  <si>
    <t>no aplica</t>
  </si>
  <si>
    <t>cualquiera</t>
  </si>
  <si>
    <t>SI/NO</t>
  </si>
  <si>
    <t>RESUMEN DE LA OPERACIÓN</t>
  </si>
  <si>
    <t>voz sin datos</t>
  </si>
  <si>
    <t>voz con datos</t>
  </si>
  <si>
    <t>IEW Pro</t>
  </si>
  <si>
    <t>Capta
Prepago
Migracion</t>
  </si>
  <si>
    <t>WIFI</t>
  </si>
  <si>
    <t>TAB-4G</t>
  </si>
  <si>
    <t>Las condiciones de los modulos Entrada Pro y Normal Pro aplican para los terminales VOZ y FIX tanto si activan sólo voz como si activan el paquete de voz + datos</t>
  </si>
  <si>
    <t>Soluciones Personalizadas RPV</t>
  </si>
  <si>
    <t>PVPR CAPTA</t>
  </si>
  <si>
    <t>PVPR PORTABILIDAD</t>
  </si>
  <si>
    <t>Internet 4G en tu Oficina</t>
  </si>
  <si>
    <t>ENTRADA PRO</t>
  </si>
  <si>
    <t>NORMAL PRO</t>
  </si>
  <si>
    <t>VALOR PRO</t>
  </si>
  <si>
    <t>PREMIUM PRO</t>
  </si>
  <si>
    <t>MARGEN</t>
  </si>
  <si>
    <t>PARQUE ESPERADO DEL CLIENTE A FINAL DE MES</t>
  </si>
  <si>
    <t>TAMAÑO CLIENTE</t>
  </si>
  <si>
    <t>SPC</t>
  </si>
  <si>
    <t>NEXTIVITY</t>
  </si>
  <si>
    <t>Internet Móvil Pro 8GB</t>
  </si>
  <si>
    <t>PVPR TERMINAL (sin IVA)</t>
  </si>
  <si>
    <t>PVP
(sin IVA)</t>
  </si>
  <si>
    <r>
      <t xml:space="preserve">PVP
</t>
    </r>
    <r>
      <rPr>
        <b/>
        <sz val="9"/>
        <rFont val="Arial"/>
        <family val="2"/>
      </rPr>
      <t>(sin IVA)</t>
    </r>
  </si>
  <si>
    <t>ÁREA DE VALIDACIÓN DE DATOS (PARA DESPLEGABLES)</t>
  </si>
  <si>
    <t>2.- El configurador sólo contempla comisiones de alta para captación y portabilidad. No contempla comisión de alta para migraciones</t>
  </si>
  <si>
    <t>Canon Digital</t>
  </si>
  <si>
    <t>OC</t>
  </si>
  <si>
    <t>Pago
Único</t>
  </si>
  <si>
    <r>
      <rPr>
        <b/>
        <sz val="26"/>
        <color indexed="53"/>
        <rFont val="Arial"/>
        <family val="2"/>
      </rPr>
      <t xml:space="preserve"> 1. </t>
    </r>
    <r>
      <rPr>
        <b/>
        <sz val="18"/>
        <color indexed="53"/>
        <rFont val="Arial"/>
        <family val="2"/>
      </rPr>
      <t xml:space="preserve"> </t>
    </r>
    <r>
      <rPr>
        <b/>
        <sz val="18"/>
        <rFont val="Arial"/>
        <family val="2"/>
      </rPr>
      <t xml:space="preserve">CONDICIONES DE LA OFERTA VENTA A PLAZOS
</t>
    </r>
    <r>
      <rPr>
        <sz val="12"/>
        <rFont val="Arial"/>
        <family val="2"/>
      </rPr>
      <t>(según tarifa y situación del cliente)</t>
    </r>
  </si>
  <si>
    <t>Todas
Tarifas</t>
  </si>
  <si>
    <t>Pos</t>
  </si>
  <si>
    <r>
      <t xml:space="preserve">PVPR CAPTA
</t>
    </r>
    <r>
      <rPr>
        <sz val="11"/>
        <color indexed="9"/>
        <rFont val="Arial"/>
        <family val="2"/>
      </rPr>
      <t>(tarifas móvil y convergentes)</t>
    </r>
  </si>
  <si>
    <t>DxC
Pago
Único</t>
  </si>
  <si>
    <r>
      <t xml:space="preserve">DxC CAPTA
</t>
    </r>
    <r>
      <rPr>
        <sz val="11"/>
        <color indexed="9"/>
        <rFont val="Arial"/>
        <family val="2"/>
      </rPr>
      <t>(tarifas móvil y convergentes)</t>
    </r>
  </si>
  <si>
    <t>GRUPOS DE TARIFAS MÓVIL</t>
  </si>
  <si>
    <t>Meses
Cuota</t>
  </si>
  <si>
    <t>DxC
Pago
Unico</t>
  </si>
  <si>
    <t>DxC
Precio</t>
  </si>
  <si>
    <t>DxC
VaP</t>
  </si>
  <si>
    <t>+ 4 M
 - 4 M doble capta</t>
  </si>
  <si>
    <t>+ 4 M
- 4 M doble capta</t>
  </si>
  <si>
    <t>Capta
Pos / Pre
Migra</t>
  </si>
  <si>
    <t xml:space="preserve"> (*) Capta 
de cliente nuevo o de cliente -4 M, solo tienen acceso a Pago Único</t>
  </si>
  <si>
    <t>Pos / 
Migra</t>
  </si>
  <si>
    <t>Pos /
Migra</t>
  </si>
  <si>
    <t>12 M / 24 M</t>
  </si>
  <si>
    <r>
      <t xml:space="preserve">(*) Para Capta de cliente nuevo o cliente de -4 meses que activen en el </t>
    </r>
    <r>
      <rPr>
        <b/>
        <sz val="11"/>
        <rFont val="Arial"/>
        <family val="2"/>
      </rPr>
      <t>mismo acto comercial</t>
    </r>
    <r>
      <rPr>
        <sz val="11"/>
        <rFont val="Arial"/>
        <family val="2"/>
      </rPr>
      <t xml:space="preserve"> tarifas de voz y tarifas de IEW Pro, aplican las condiciones de Portabilidad origen Pospago</t>
    </r>
  </si>
  <si>
    <t>SIN OFERTA</t>
  </si>
  <si>
    <t>TOP PRO</t>
  </si>
  <si>
    <t>1.- El configurador contempla tanto la oferta VAP como la oferta subvencionada para tarifas multilínea, independientemente del tamaño y tipo de cliente, y para tarifas iew pro e internet 4G en clientes CIF 10+ y NIF 10+</t>
  </si>
  <si>
    <t>150 min / 1GB</t>
  </si>
  <si>
    <t>ilimitada 2GB</t>
  </si>
  <si>
    <t>ilimitada 5GB</t>
  </si>
  <si>
    <t>ilimitada 12GB</t>
  </si>
  <si>
    <t>ilimitada 30GB</t>
  </si>
  <si>
    <t>Internet Móvil 3GB Empresas</t>
  </si>
  <si>
    <t>5.- SOLO LAS CELDAS MARCADAS EN AMARILLO SON MODIFICABLES PARA CONFIGURAR LA OFERTA</t>
  </si>
  <si>
    <t>6.- ASEGURATE DE VOLVER CAMBIAR EL TIPO DE TERMINAL CUANDO CAMBIES ENTRE TARIFAS DE VOZ Y DATOS Y TARIFAS DE IEW</t>
  </si>
  <si>
    <t>7.- POR FAVOR, COMUNICA A TU SUPERVISOR CUALQUIER POSIBLE ANOMALIA O ERROR DETECTADO</t>
  </si>
  <si>
    <t>4.- El configurador no contempla la oferta de bundles ni segundos dispositivos</t>
  </si>
  <si>
    <t>+ 4 M</t>
  </si>
  <si>
    <t>cliente -4 M, solo accede a Pago Único</t>
  </si>
  <si>
    <t>Capta 
de cliente nuevo, solo accede a Pago Único</t>
  </si>
  <si>
    <t>3.- La subvención para ampliaciones de clientes con antigüedad igual o superior a 4 meses en VAP es igual a la subvención para portabilidades</t>
  </si>
  <si>
    <t>Sol P. RPV
T. Optima
T. Optima RPV
+
Tarifa 150min+1GB (en term VOZ / FIX solo tarifa voz)</t>
  </si>
  <si>
    <t>Sol P. RPV
T. Optima
T. Optima RPV
+
Tarifa ilimitada+2GB (en term VOZ / FIX solo tarifa voz)</t>
  </si>
  <si>
    <t>Sol P. RPV
T. Optima
T. Optima RPV
+
Tarifa ilimitada+5GB</t>
  </si>
  <si>
    <t>Sol P. RPV
T. Optima
T. Optima RPV
+
Tarifa ilimitada+12GB</t>
  </si>
  <si>
    <t>Sol P. RPV
T. Optima
T. Optima RPV
+
Tarifa ilimitada+30GB</t>
  </si>
  <si>
    <t>LENOVO</t>
  </si>
  <si>
    <r>
      <t xml:space="preserve">DxC
</t>
    </r>
    <r>
      <rPr>
        <sz val="9"/>
        <rFont val="Arial"/>
        <family val="2"/>
      </rPr>
      <t>(sin IVA)</t>
    </r>
  </si>
  <si>
    <r>
      <t xml:space="preserve">Pago
Unico
</t>
    </r>
    <r>
      <rPr>
        <sz val="9"/>
        <rFont val="Arial"/>
        <family val="2"/>
      </rPr>
      <t>(sin IVA)</t>
    </r>
  </si>
  <si>
    <r>
      <t xml:space="preserve">Pago
Inicial 
</t>
    </r>
    <r>
      <rPr>
        <sz val="9"/>
        <rFont val="Arial"/>
        <family val="2"/>
      </rPr>
      <t>(sin IVA)</t>
    </r>
  </si>
  <si>
    <r>
      <t xml:space="preserve">Cuota
Mes 
</t>
    </r>
    <r>
      <rPr>
        <sz val="9"/>
        <rFont val="Arial"/>
        <family val="2"/>
      </rPr>
      <t>(sin IVA)</t>
    </r>
  </si>
  <si>
    <r>
      <t xml:space="preserve">Cuota
Mes
</t>
    </r>
    <r>
      <rPr>
        <sz val="9"/>
        <rFont val="Arial"/>
        <family val="2"/>
      </rPr>
      <t>(sin IVA)</t>
    </r>
  </si>
  <si>
    <r>
      <t xml:space="preserve">PVP
</t>
    </r>
    <r>
      <rPr>
        <sz val="9"/>
        <rFont val="Arial"/>
        <family val="2"/>
      </rPr>
      <t>(sin IVA)</t>
    </r>
  </si>
  <si>
    <t>DIFERENCIAS Vs MES ANTERIOR</t>
  </si>
  <si>
    <t>TOP
PRO</t>
  </si>
  <si>
    <t>(**) La tarifa Fibra Oro solo puede activarse con el router Alctel Airbox 4G MW40 2018</t>
  </si>
  <si>
    <t>Internet 4G en tu Negocio</t>
  </si>
  <si>
    <t>24</t>
  </si>
  <si>
    <t>Orange</t>
  </si>
  <si>
    <t>TCL</t>
  </si>
  <si>
    <t>XIAOMI</t>
  </si>
  <si>
    <t>TP-LINK</t>
  </si>
  <si>
    <t>OPPO</t>
  </si>
  <si>
    <t>Soluciones Personalizadas Centrex</t>
  </si>
  <si>
    <t>ilimitada 1GB</t>
  </si>
  <si>
    <t>tarifa infinita</t>
  </si>
  <si>
    <t>Internet Movil 25GB Empresa</t>
  </si>
  <si>
    <t>Internet Movil 90GB Empresa</t>
  </si>
  <si>
    <t>AD HOC H3 CESIÓN</t>
  </si>
  <si>
    <t>SMARTPHONE</t>
  </si>
  <si>
    <t>TABLET</t>
  </si>
  <si>
    <t>SMARTWATCH</t>
  </si>
  <si>
    <t>PC</t>
  </si>
  <si>
    <t>BUN PC + OC</t>
  </si>
  <si>
    <t>SMART TV</t>
  </si>
  <si>
    <t>ORANGE GAMA 803 CESIÓN</t>
  </si>
  <si>
    <t>Internet Movil 3GB Empresa</t>
  </si>
  <si>
    <t>Internet Movil 10GB Empresa</t>
  </si>
  <si>
    <t>Internet Movil 25GB Empresa
Fibra Oro (**)</t>
  </si>
  <si>
    <t>HUAWEI AIRBOX E5576-320 IEW 4G</t>
  </si>
  <si>
    <t>ROUTER TPLINK MR200 IEW 4G</t>
  </si>
  <si>
    <t>TP-LINK FLYBOX 4G (1)</t>
  </si>
  <si>
    <t>ROUTER TPLINK MR200 IEW 4G (2)</t>
  </si>
  <si>
    <t>ÓPTIMA</t>
  </si>
  <si>
    <t>Cliente 20-39 líneas</t>
  </si>
  <si>
    <t>Cliente &gt; 40 líneas</t>
  </si>
  <si>
    <t>BUN SPH + OC</t>
  </si>
  <si>
    <t>CON CP DE 12 MESES</t>
  </si>
  <si>
    <t>CON CP DE 24 MESES</t>
  </si>
  <si>
    <t>TABLETS</t>
  </si>
  <si>
    <t>Internet Movil Pro 8GB</t>
  </si>
  <si>
    <r>
      <t xml:space="preserve">Internet Movil 90GB Empresa
Internet 4G en tu Negocio
</t>
    </r>
    <r>
      <rPr>
        <sz val="10"/>
        <color indexed="12"/>
        <rFont val="Arial"/>
        <family val="2"/>
      </rPr>
      <t xml:space="preserve">
Internet Empresa Ilimitado</t>
    </r>
  </si>
  <si>
    <t xml:space="preserve">12 M </t>
  </si>
  <si>
    <t>¿ Es Administración Pública ?</t>
  </si>
  <si>
    <t>Internet Empresa Ilimitado</t>
  </si>
  <si>
    <t>100% - 109,99%</t>
  </si>
  <si>
    <t>cumplimiento</t>
  </si>
  <si>
    <t>110% - 119,99%</t>
  </si>
  <si>
    <t>PROVINCIA</t>
  </si>
  <si>
    <t>No aplica</t>
  </si>
  <si>
    <t>Coste Muy Alto</t>
  </si>
  <si>
    <t>Coste Alto</t>
  </si>
  <si>
    <t>OPTIMA</t>
  </si>
  <si>
    <t>COMISIÓN POR PAQUETE DE VOZ Y DATOS</t>
  </si>
  <si>
    <t>EXTRACOMISIÓN DE ACTIVACIÓN DE VOZ</t>
  </si>
  <si>
    <t>base</t>
  </si>
  <si>
    <t>Captación</t>
  </si>
  <si>
    <t>Portabilidad</t>
  </si>
  <si>
    <t>módulo</t>
  </si>
  <si>
    <t>&gt;40</t>
  </si>
  <si>
    <t>SOL PER</t>
  </si>
  <si>
    <t>Comisión base</t>
  </si>
  <si>
    <t>Tarifa</t>
  </si>
  <si>
    <t>Por alta</t>
  </si>
  <si>
    <t>ACTIVACION</t>
  </si>
  <si>
    <r>
      <t xml:space="preserve">Internet Movil 90GB Empresa
Internet 4G en tu Negocio (excepto router)
</t>
    </r>
    <r>
      <rPr>
        <sz val="10"/>
        <color indexed="12"/>
        <rFont val="Arial"/>
        <family val="2"/>
      </rPr>
      <t>Internet Empresa Ilimitado</t>
    </r>
  </si>
  <si>
    <t>(2) Solo oferta en Pago único para 4G en tu Negocio e Internet Empresas Ilimitado</t>
  </si>
  <si>
    <t>Cliente 1-19 líneas</t>
  </si>
  <si>
    <t>&lt; 80%</t>
  </si>
  <si>
    <t>80% - 84,99%</t>
  </si>
  <si>
    <t>85% - 89,99%</t>
  </si>
  <si>
    <t>90% - 94,99%</t>
  </si>
  <si>
    <t>95% - 99,99%</t>
  </si>
  <si>
    <t>120% - 129,99%</t>
  </si>
  <si>
    <t>130% - 139,99%</t>
  </si>
  <si>
    <t>&gt; = 140%</t>
  </si>
  <si>
    <t>CONECTA PYMES</t>
  </si>
  <si>
    <t>COMISION POR ALTA CONECTA PYMES</t>
  </si>
  <si>
    <t>Conecta Pymes</t>
  </si>
  <si>
    <t>CPymes 1A Directo</t>
  </si>
  <si>
    <t>CPymes 1A Indirecto</t>
  </si>
  <si>
    <t>CPymes 2A ADSL</t>
  </si>
  <si>
    <t>CPymes 2A Fibra Propia 100MB</t>
  </si>
  <si>
    <t>CPymes 2A Fibra NEBA/VULA 100MB</t>
  </si>
  <si>
    <t>CPymes 2A Fibra Propia 600MB / GPON+</t>
  </si>
  <si>
    <t>CPymes 2A Fibra NEBA/VULA 600MB</t>
  </si>
  <si>
    <t>CPymes 2A Fibra Propia 1GB</t>
  </si>
  <si>
    <t>CONECTA PYMES CENTRALITA</t>
  </si>
  <si>
    <t>COMISION POR ALTA CONECTA PYMES CENTRALITA</t>
  </si>
  <si>
    <t>Acceso Big Pyme ADSL (2-N puestos)</t>
  </si>
  <si>
    <t>Acceso Big Pyme Fibra Propia 100MB (2-N puestos)</t>
  </si>
  <si>
    <t>Acceso Big Pyme NEBA/VULA 100MB (2-N puestos)</t>
  </si>
  <si>
    <t>Acceso Big Pyme Fibra Propia 600MB / GPON+ (2-N puestos)</t>
  </si>
  <si>
    <t>Acceso Big Pyme Fibra NEBA/VULA 600MB (2-N puestos)</t>
  </si>
  <si>
    <t>Acceso Big Pyme Fibra Propia 1GB (2-N puestos)</t>
  </si>
  <si>
    <t>Acceso Móvil</t>
  </si>
  <si>
    <t>Puesto Analógico / Fax</t>
  </si>
  <si>
    <t>Puesto Básico</t>
  </si>
  <si>
    <t>Puesto Inalámbrico</t>
  </si>
  <si>
    <t>Puesto Recepcionista</t>
  </si>
  <si>
    <t>Puesto Avanzado</t>
  </si>
  <si>
    <t>Puesto Móvil Comunicator</t>
  </si>
  <si>
    <t>Puesto Móvil GCU</t>
  </si>
  <si>
    <t>Objetivos móvil y fijo</t>
  </si>
  <si>
    <t>BIG PYME</t>
  </si>
  <si>
    <t>Nº TOTAL DE FIJO</t>
  </si>
  <si>
    <t>Producto de Fijo</t>
  </si>
  <si>
    <t>TIPO DE FIJO</t>
  </si>
  <si>
    <t>Puestos fijos tipo 1</t>
  </si>
  <si>
    <t>Puestos móviles comunicator o GCU</t>
  </si>
  <si>
    <t>Puestos fijos tipo 2</t>
  </si>
  <si>
    <t>PERFIL DE ALTA FIJO</t>
  </si>
  <si>
    <t>Nº Puestos</t>
  </si>
  <si>
    <t>FIXED STYLE</t>
  </si>
  <si>
    <t>MBB</t>
  </si>
  <si>
    <t>GENERICO</t>
  </si>
  <si>
    <t>NETWORK PLUS</t>
  </si>
  <si>
    <t>Network Plus Seguridad Avanzada</t>
  </si>
  <si>
    <t>Network Plus SuperLAN</t>
  </si>
  <si>
    <t>COMISION SVAs</t>
  </si>
  <si>
    <t>CPymes 2A Fibra NEBA 1GB</t>
  </si>
  <si>
    <t>150 min</t>
  </si>
  <si>
    <t>ilimitada / 1GB</t>
  </si>
  <si>
    <t>ilimitada / 5GB</t>
  </si>
  <si>
    <t>ilimitada 20GB</t>
  </si>
  <si>
    <t>Ilimitada infinita GB sin internacional</t>
  </si>
  <si>
    <t>Ilimitada infinita GB con internacional</t>
  </si>
  <si>
    <t>ZTE</t>
  </si>
  <si>
    <t>ZTE AIRBOX MU5001 5G</t>
  </si>
  <si>
    <t>ZTE FLYBOX MC801A 5G</t>
  </si>
  <si>
    <t>SOLPER</t>
  </si>
  <si>
    <t>T. Optima Plus Empresas
T. Optima Plus Empresas Big
+
Empresas Voz y Empresas 1</t>
  </si>
  <si>
    <t>T. Optima Plus Empresas
T. Optima Plus Empresas Big
+
Empresas 5 y Empresas Intranet</t>
  </si>
  <si>
    <t>T. Optima Plus Empresas
T. Optima Plus Empresas Big
+
Empresas 20</t>
  </si>
  <si>
    <t>T. Optima Plus Empresas
T. Optima Plus Empresas Big
+
Empresas Infinita</t>
  </si>
  <si>
    <t>T. Optima Plus Empresas
T. Optima Plus Empresas Big
+
Empresas Internacional</t>
  </si>
  <si>
    <t xml:space="preserve">Sol P. RPV
+
Empresas Voz y Empresas 1 </t>
  </si>
  <si>
    <t>Sol P. RPV
+
Empresas 5</t>
  </si>
  <si>
    <t>Sol P. RPV
+
Empresas 20</t>
  </si>
  <si>
    <t>Sol P. RPV
+
Empresas Infinita</t>
  </si>
  <si>
    <t>Sol P. RPV
+
Empresas Internacional</t>
  </si>
  <si>
    <t>EMPRESAS 1</t>
  </si>
  <si>
    <t>EMPRESAS 5</t>
  </si>
  <si>
    <t>EMPRESAS 20</t>
  </si>
  <si>
    <t>EMPRESAS ILIMITADA</t>
  </si>
  <si>
    <t>EMPRESAS VOZ</t>
  </si>
  <si>
    <t>EMPRESAS VOZ -</t>
  </si>
  <si>
    <t>HONOR</t>
  </si>
  <si>
    <t>ALCATEL AIRBOX 4G MW45</t>
  </si>
  <si>
    <t>EMPRESAS INTERNACIONAL</t>
  </si>
  <si>
    <t>Óptima Plus Empresas</t>
  </si>
  <si>
    <t>Óptima Plus Empresas BIG</t>
  </si>
  <si>
    <t>Por CP 24 meses en terminal</t>
  </si>
  <si>
    <t>Promo captación 10x24</t>
  </si>
  <si>
    <t>Promo captación 20x24</t>
  </si>
  <si>
    <t>Promo captación 30x24</t>
  </si>
  <si>
    <t>PROMO</t>
  </si>
  <si>
    <t>ACTIVACION CP 24  POR TERMINAL</t>
  </si>
  <si>
    <t>REPETIDOR NEXTIVITY CELFI CONNECT C41</t>
  </si>
  <si>
    <t>IPHONE 14 128GB CON 5G</t>
  </si>
  <si>
    <t>ORANGE GAMA 704</t>
  </si>
  <si>
    <t>ORANGE GAMA 704 CESIÓN</t>
  </si>
  <si>
    <t>Condiciones especiales para Fibra Oro</t>
  </si>
  <si>
    <t>Total Puestos BIG</t>
  </si>
  <si>
    <t>Puestos BIG PYME</t>
  </si>
  <si>
    <t>NETWORKPLUS</t>
  </si>
  <si>
    <t>Total Network Plus</t>
  </si>
  <si>
    <t>nuevo</t>
  </si>
  <si>
    <t>BIG MOVIL</t>
  </si>
  <si>
    <t>Total Cpymes</t>
  </si>
  <si>
    <t>TOTAL BIG</t>
  </si>
  <si>
    <t>RENTABILIDAD DE LA OPERACIÓN MÓVIL</t>
  </si>
  <si>
    <t>RENTABILIDAD DE LA OPERACIÓN FIJO</t>
  </si>
  <si>
    <t>BIG PYME acceso Móvil</t>
  </si>
  <si>
    <t>(1) Solo oferta en VaP (cesión) para 4G en tu Negocio e Internet Empresas Ilimitado</t>
  </si>
  <si>
    <t>AD HOC</t>
  </si>
  <si>
    <t>ADOC SC01</t>
  </si>
  <si>
    <t>Puesto Móvil Comunicator / Webex</t>
  </si>
  <si>
    <t>Puesto Inalámbrico / Webex</t>
  </si>
  <si>
    <t>Tipo DHO</t>
  </si>
  <si>
    <t>LG SMART TV 32" LQ</t>
  </si>
  <si>
    <t>SAMSUNG GALAXY S23 256GB 5G</t>
  </si>
  <si>
    <t>COMISIÓN OPERACIÓN ESTRATEGICA</t>
  </si>
  <si>
    <t>ESTRATEGICA</t>
  </si>
  <si>
    <t>PUNTOS</t>
  </si>
  <si>
    <t>OPERACIÓN ESTRATEGICA</t>
  </si>
  <si>
    <t>Puntos</t>
  </si>
  <si>
    <t>Comisión estratégica</t>
  </si>
  <si>
    <t>TIPO1</t>
  </si>
  <si>
    <t>LINEAS ESTRATEGIA</t>
  </si>
  <si>
    <t>CLIENTE EN CARTERA</t>
  </si>
  <si>
    <t>Total O365</t>
  </si>
  <si>
    <t>MARGEN TOTAL DE LA OPERACIÓN F+M</t>
  </si>
  <si>
    <t>con tope de 6.000 € de estrategia</t>
  </si>
  <si>
    <t>TOTAL ESTRATEGIA</t>
  </si>
  <si>
    <t>CONECTA EMPRESAS</t>
  </si>
  <si>
    <t>Conecta Empresas</t>
  </si>
  <si>
    <t xml:space="preserve"> Conecta Empresas Sede Móvil</t>
  </si>
  <si>
    <t xml:space="preserve"> Conecta Empresas 100 MB</t>
  </si>
  <si>
    <t xml:space="preserve"> Conecta Empresas 500 MB</t>
  </si>
  <si>
    <t xml:space="preserve"> Conecta Empresas  1GB</t>
  </si>
  <si>
    <t>COMISION POR ALTA CONECTA EMPRESAS</t>
  </si>
  <si>
    <t>SVAs N+</t>
  </si>
  <si>
    <t>SVAs Conecta Empresas</t>
  </si>
  <si>
    <t>Total Cempresas</t>
  </si>
  <si>
    <t>Backup 4G Conecta Empresas</t>
  </si>
  <si>
    <t>20 Accesos Remotos Conecta Empresas</t>
  </si>
  <si>
    <t>IPVPN Conecta Empresas</t>
  </si>
  <si>
    <t>Puntos Fijo</t>
  </si>
  <si>
    <t>Total SVAs Cempresas</t>
  </si>
  <si>
    <t>Acceso Big Pyme Fibra Propia 10GB (XGSPON)</t>
  </si>
  <si>
    <t>CPymes 2A Fibra Propia 10GB (XGSPON)</t>
  </si>
  <si>
    <t>ORANGE GAMA 120 4G</t>
  </si>
  <si>
    <t>TCL 40 SE</t>
  </si>
  <si>
    <t>ADOC D30</t>
  </si>
  <si>
    <t>ADOC D30 CESIÓN</t>
  </si>
  <si>
    <t>AURICULARES AD HOC BT01</t>
  </si>
  <si>
    <t>AURICULARES AD HOC HC01</t>
  </si>
  <si>
    <t>O2O Optima captación</t>
  </si>
  <si>
    <t>5€ 6 meses</t>
  </si>
  <si>
    <t>10€ 6 meses</t>
  </si>
  <si>
    <t>6€ 24 meses</t>
  </si>
  <si>
    <t>5€ 24 meses</t>
  </si>
  <si>
    <t>O2O</t>
  </si>
  <si>
    <t>Nueva Localización</t>
  </si>
  <si>
    <t>Localización</t>
  </si>
  <si>
    <t>Control Horario</t>
  </si>
  <si>
    <t>Seguridad Avanzada</t>
  </si>
  <si>
    <t>Wifi Clientes</t>
  </si>
  <si>
    <t>SVAS</t>
  </si>
  <si>
    <t>COMISION POR SVAS</t>
  </si>
  <si>
    <t>APLICA</t>
  </si>
  <si>
    <t>Sin subvención</t>
  </si>
  <si>
    <t>Válida en módulos:</t>
  </si>
  <si>
    <t>Internacional  Ilimitida  Empresas 20  Empresas 5  Empresas 1</t>
  </si>
  <si>
    <t>Internacional  Ilimitada  Empresas 20  Empresas 5  Empresas 1  Empresas VOZ</t>
  </si>
  <si>
    <t>AURICULARES SPC BRAVE PRO</t>
  </si>
  <si>
    <t>AURICULARES SPC DREAMER PRO</t>
  </si>
  <si>
    <t>LG SMART TV 43" UR78 4K</t>
  </si>
  <si>
    <t>LENOVO IDEAPAD 3 15ITL6 CI5</t>
  </si>
  <si>
    <t>LG SMART TV 50" UR78 4K</t>
  </si>
  <si>
    <t>LG SMART TV 55" UR78 4K</t>
  </si>
  <si>
    <t>LG SMART TV 65" UR78 4K</t>
  </si>
  <si>
    <t>SAMSUNG GALAXY BOOK2 GO 14"</t>
  </si>
  <si>
    <t>Acceso Big Pyme Fibra Propia 500MB / GPON+ (2-N puestos)</t>
  </si>
  <si>
    <t>Acceso Big Pyme Fibra NEBA/VULA 500MB (2-N puestos)</t>
  </si>
  <si>
    <t>SAMSUNG SMART TV 65" OLED TQ65S92</t>
  </si>
  <si>
    <t>SAMSUNG GALAXY WATCH 6 CLASSIC 47MM BT</t>
  </si>
  <si>
    <t>Nº TOTAL DE LÍNEAS VOZ</t>
  </si>
  <si>
    <t>APPLE AIRPODS PRO 2a GENERACION MAGSAFE USBC</t>
  </si>
  <si>
    <t>DEF</t>
  </si>
  <si>
    <t>BALIZA CONECTADA DGT</t>
  </si>
  <si>
    <t>GOOGLE</t>
  </si>
  <si>
    <t>IPHONE 15 128GB CON 5G</t>
  </si>
  <si>
    <t>LENOVO IDEAPAD 1 15ADA7 4120 8+256GB</t>
  </si>
  <si>
    <t>MOTOROLA</t>
  </si>
  <si>
    <t>SAMSUNG GALAXY TAB S9 FE 10.9" WIFI</t>
  </si>
  <si>
    <t>TCL ONETOUCH 4042s</t>
  </si>
  <si>
    <t>TCL TAB 10 2a GEN WIFI</t>
  </si>
  <si>
    <t>XIAOMI PAD SE 11" WIFI</t>
  </si>
  <si>
    <t>ZTE AIRBOX MF920U 4G</t>
  </si>
  <si>
    <t>Optima Plus E.
Optima Plus E. Big
+
Tarifa 
Empresas Voz y Empresas 1</t>
  </si>
  <si>
    <t>Optima Plus E.
Optima Plus E. Big
+
Tarifa 
Empresas 5</t>
  </si>
  <si>
    <t>Optima Plus E.
Optima Plus E. Big
+
Tarifa 
Empresas 20</t>
  </si>
  <si>
    <t>Optima Plus E.
Optima Plus E. Big
+
Tarifa Infinita</t>
  </si>
  <si>
    <t>Optima Plus E.
Optima Plus E. Big
+
Tarifa Empresa Internacional</t>
  </si>
  <si>
    <t>36 M</t>
  </si>
  <si>
    <t>CP Terminal</t>
  </si>
  <si>
    <t>DIFERENCIAS Vs CP 24 MESES</t>
  </si>
  <si>
    <t xml:space="preserve"> </t>
  </si>
  <si>
    <t>36 m</t>
  </si>
  <si>
    <t>Dif. CP 24 m</t>
  </si>
  <si>
    <t>CP 36</t>
  </si>
  <si>
    <t>Conecta 2023 600MB</t>
  </si>
  <si>
    <t>Conecta 2023 1GB</t>
  </si>
  <si>
    <t>Conecta 2023 10GB</t>
  </si>
  <si>
    <t>IMPORTE TOTAL (36 meses)</t>
  </si>
  <si>
    <t>IMPORTE TOTAL (24 meses)</t>
  </si>
  <si>
    <t>MARGEN 36</t>
  </si>
  <si>
    <t>LENOVO LOQ 3 15IRH8 i5 RTX 2050</t>
  </si>
  <si>
    <t>XIAOMI MI ELECTRIC SCOOTER 4</t>
  </si>
  <si>
    <t>XIAOMI REDMI 13C</t>
  </si>
  <si>
    <t>3€ 36 meses</t>
  </si>
  <si>
    <t>2€ 36 meses</t>
  </si>
  <si>
    <t>2€ 24 meses / 36 meses</t>
  </si>
  <si>
    <t>3€ 24 meses / 36 meses</t>
  </si>
  <si>
    <t>dif. Cp 24</t>
  </si>
  <si>
    <t>OC_AURICULARES</t>
  </si>
  <si>
    <t>OC_SMART WATCH</t>
  </si>
  <si>
    <t>OC_OTROS DISPOSITIVOS</t>
  </si>
  <si>
    <t>HONOR MAGIC6 LITE 256GB 5G</t>
  </si>
  <si>
    <t>MOTOROLA MOTO G34 5G</t>
  </si>
  <si>
    <t>MOTOROLA MOTO G54 256GB 5G</t>
  </si>
  <si>
    <t>OC_TIEMPO LIBRE</t>
  </si>
  <si>
    <t>SAMSUNG GALAXY A15 5G</t>
  </si>
  <si>
    <t>SAMSUNG GALAXY A25 5G</t>
  </si>
  <si>
    <t>TCL ONETOUCH 4043</t>
  </si>
  <si>
    <t>XIAOMI REDMI NOTE 13 5G</t>
  </si>
  <si>
    <t>XIAOMI REDMI NOTE 13 PRO 5G</t>
  </si>
  <si>
    <t>ESTRAT</t>
  </si>
  <si>
    <t>svas</t>
  </si>
  <si>
    <t>Web Essentials</t>
  </si>
  <si>
    <t>Web Empresas</t>
  </si>
  <si>
    <t>E-commerce</t>
  </si>
  <si>
    <t>Posicionamiento Web</t>
  </si>
  <si>
    <t>Gestión de facturas y clientes 2</t>
  </si>
  <si>
    <t>SVAs office 365 / otros SVAs SME / Soluciones Digitales</t>
  </si>
  <si>
    <t>Gestión facturas</t>
  </si>
  <si>
    <t>O365 / OTROS SVAS</t>
  </si>
  <si>
    <t>SOLUCIONES DIGITALES</t>
  </si>
  <si>
    <t>MARGEN FIJO</t>
  </si>
  <si>
    <t>HUAWEI PC MATEBOOK D 14" I5 12 GEN</t>
  </si>
  <si>
    <t>SAMSUNG GALAXY BOOK4 PRO 16" i5</t>
  </si>
  <si>
    <t>XIAOMI 14 5G</t>
  </si>
  <si>
    <t>SAMSUNG GALAXY S24 128GB 5G</t>
  </si>
  <si>
    <t>SAMSUNG GALAXY S24 256GB 5G</t>
  </si>
  <si>
    <t>SAMSUNG GALAXY S24 ULTRA 1TB 5G</t>
  </si>
  <si>
    <t>SAMSUNG GALAXY S24 ULTRA 256GB 5G</t>
  </si>
  <si>
    <t>SAMSUNG GALAXY S24 ULTRA 512GB 5G</t>
  </si>
  <si>
    <t>SAMSUNG GALAXY S24+ 256GB 5G</t>
  </si>
  <si>
    <t>SAMSUNG GALAXY TAB A9 8,7" WIFI</t>
  </si>
  <si>
    <t>SAMSUNG GALAXY TAB A9+ 11" 5G</t>
  </si>
  <si>
    <t>SAMSUNG GALAXY TAB A9+ 11" WIFI</t>
  </si>
  <si>
    <t>PRODUCTOS DE FIJO PYME / SOLUCIONES DIGITALES / CIBERPROTECCIÓN</t>
  </si>
  <si>
    <t>Seguridad en tu Sede Estandar</t>
  </si>
  <si>
    <t>Seguridad en tu Sede Avanzada</t>
  </si>
  <si>
    <t>CIBERSEGURIDAD</t>
  </si>
  <si>
    <t>Ciberprotección Red Móvil</t>
  </si>
  <si>
    <t>SAMSUNG GALAXY A15</t>
  </si>
  <si>
    <t>SAMSUNG GALAXY XCOVER 7 5G</t>
  </si>
  <si>
    <t>XIAOMI 14 ULTRA 5G</t>
  </si>
  <si>
    <t>SVAs office 365 / otros SVAs SME / Soluciones Digitales /Ciberprotección</t>
  </si>
  <si>
    <t>solo App</t>
  </si>
  <si>
    <t>Ciberprotección Red Móvil + App</t>
  </si>
  <si>
    <t>Opcion Webex (Big Pyme)</t>
  </si>
  <si>
    <t>Presencia Digital</t>
  </si>
  <si>
    <t>Redes Sociales</t>
  </si>
  <si>
    <t>HONOR MAGIC6 PRO 5G</t>
  </si>
  <si>
    <t>HUAWEI PC MATEBOOK D 16" I5 12 GEN</t>
  </si>
  <si>
    <t>LG SMART TV 55" OLED C46 4K</t>
  </si>
  <si>
    <t>LG SMART TV 65" OLED C46 4K</t>
  </si>
  <si>
    <t>LG SMART TV 75" UT80 4K</t>
  </si>
  <si>
    <t>SAMSUNG GALAXY A35 5G</t>
  </si>
  <si>
    <t>SAMSUNG GALAXY A55 5G</t>
  </si>
  <si>
    <t>SAMSUNG SMART TV 43" DU7105</t>
  </si>
  <si>
    <t>SAMSUNG SMART TV 55" DU7105</t>
  </si>
  <si>
    <t>SAMSUNG SMART TV 65" DU7105</t>
  </si>
  <si>
    <t>SAMSUNG SMART TV 75" DU7105</t>
  </si>
  <si>
    <t>TCL 50 5G</t>
  </si>
  <si>
    <t>TCL ANDROID TV 32" S5400A</t>
  </si>
  <si>
    <t>XIAOMI GOOGLE TV 43" QLED A PRO</t>
  </si>
  <si>
    <t>XIAOMI GOOGLE TV 65" QLED A PRO</t>
  </si>
  <si>
    <t>XIAOMI SMART TV A 32"</t>
  </si>
  <si>
    <t>Seguridad en Tu Móvil</t>
  </si>
  <si>
    <t>Seguridad en Tu Correo</t>
  </si>
  <si>
    <t>Seguridad en Tu Dispositivo</t>
  </si>
  <si>
    <t>CIBERPROTECCIÓN RED FIJA</t>
  </si>
  <si>
    <t>CIBERPROTECCIÓN RED MÓVIL</t>
  </si>
  <si>
    <t>MOTOROLA EDGE 50 PRO 5G</t>
  </si>
  <si>
    <t>XIAOMI GOOGLE TV 55" QLED A PRO</t>
  </si>
  <si>
    <t>Office 365 Estandar</t>
  </si>
  <si>
    <t>Office 365 Básico</t>
  </si>
  <si>
    <t>ADOC</t>
  </si>
  <si>
    <t>ADOC SC04</t>
  </si>
  <si>
    <t>GOOGLE PIXEL 8A 128GB 5G</t>
  </si>
  <si>
    <t>GOOGLE PIXEL 8A 256GB 5G</t>
  </si>
  <si>
    <t>HONOR PAD X9 WIFI</t>
  </si>
  <si>
    <t>IPAD AIR M2 WIFI 11" 128GB</t>
  </si>
  <si>
    <t>IPAD AIR M2 WIFI 13" 128GB</t>
  </si>
  <si>
    <t>IPAD PRO M4 WIFI 11" 256GB</t>
  </si>
  <si>
    <t>XIAOMI PAD 6S PRO WIFI</t>
  </si>
  <si>
    <t>XIAOMI REDMI 13C 5G</t>
  </si>
  <si>
    <t>XIAOMI REDMI PAD PRO WIFI</t>
  </si>
  <si>
    <t>AURICULARES XIAOMI BUDS 5</t>
  </si>
  <si>
    <t>HONOR 200 512GB 5G</t>
  </si>
  <si>
    <t>HONOR 200 LITE 256GB 5G</t>
  </si>
  <si>
    <t>HONOR 200 PRO 512GB 5G</t>
  </si>
  <si>
    <t>LG ULTRA 16" U70R R5 16+512GB</t>
  </si>
  <si>
    <t>MOTOROLA RAZR 50 256GB 5G</t>
  </si>
  <si>
    <t>OPPO RENO12 256GB 5G</t>
  </si>
  <si>
    <t>OPPO RENO12 PRO 512GB 5G</t>
  </si>
  <si>
    <t>CP 36 m</t>
  </si>
  <si>
    <t>MOTOROLA MOTO G85 256GB 5G</t>
  </si>
  <si>
    <t>OPPO A80 256GB 5G</t>
  </si>
  <si>
    <t>ORANGE GAMA 402</t>
  </si>
  <si>
    <t>ORANGE GAMA 402 CESIÓN</t>
  </si>
  <si>
    <t>SAMSUNG GALAXY WATCH 7 FE 40MM BT</t>
  </si>
  <si>
    <t>TCL 50 NXTPAPER 256GB 5G</t>
  </si>
  <si>
    <t>XIAOMI MI ELECTRIC SCOOTER 4 PRO 2a GEN</t>
  </si>
  <si>
    <t>XIAOMI REDMI PAD SE 8.7" WIFI 4+128GB</t>
  </si>
  <si>
    <t>SUBVENCION GENERICA</t>
  </si>
  <si>
    <t>Internacional  Ilimitada</t>
  </si>
  <si>
    <t>Internacional  Ilimitada Empresas 20</t>
  </si>
  <si>
    <t>AURICULARES SAMSUNG GALAXY BUDS 3</t>
  </si>
  <si>
    <t>AURICULARES SAMSUNG GALAXY BUDS 3 PRO</t>
  </si>
  <si>
    <t>SAMSUNG GALAXY WATCH 7 40MM BT</t>
  </si>
  <si>
    <t>SAMSUNG GALAXY WATCH 7 44MM 4G</t>
  </si>
  <si>
    <t>SAMSUNG GALAXY WATCH 7 44MM BT</t>
  </si>
  <si>
    <t>SAMSUNG GALAXY WATCH ULTRA 47MM 4G</t>
  </si>
  <si>
    <t>SAMSUNG GALAXY Z FLIP6 256GB 5G</t>
  </si>
  <si>
    <t>SAMSUNG GALAXY Z FLIP6 512GB 5G</t>
  </si>
  <si>
    <t>SAMSUNG GALAXY Z FOLD6 1TB 5G</t>
  </si>
  <si>
    <t>SAMSUNG GALAXY Z FOLD6 256GB 5G</t>
  </si>
  <si>
    <t>SAMSUNG GALAXY Z FOLD6 512GB 5G</t>
  </si>
  <si>
    <t>4€ 36 meses</t>
  </si>
  <si>
    <t>Internacional  Ilimitida  Empresas 20</t>
  </si>
  <si>
    <t>4€ 24 meses / 36 meses</t>
  </si>
  <si>
    <t>GOOGLE PIXEL 9 128GB 5G</t>
  </si>
  <si>
    <t>GOOGLE PIXEL 9 PRO 256GB 5G</t>
  </si>
  <si>
    <t>GOOGLE PIXEL 9 PRO XL 512GB 5G</t>
  </si>
  <si>
    <t>HONOR MAGIC V3 512GB 5G</t>
  </si>
  <si>
    <t>MOTOROLA EDGE 50 NEO 512GB 5G</t>
  </si>
  <si>
    <t>ZTE A75 128GB 5G</t>
  </si>
  <si>
    <t>APPLE AIRPODS 4</t>
  </si>
  <si>
    <t>APPLE AIRPODS 4 CON CANCELACION ACTIVA RUIDO</t>
  </si>
  <si>
    <t>APPLE WATCH S10 CELLULAR 42MM</t>
  </si>
  <si>
    <t>APPLE WATCH S10 CELLULAR 46MM</t>
  </si>
  <si>
    <t>HONOR 200 SMART 256GB 5G</t>
  </si>
  <si>
    <t>IPHONE 16 128GB CON 5G</t>
  </si>
  <si>
    <t>IPHONE 16 256GB CON 5G</t>
  </si>
  <si>
    <t>IPHONE 16 PLUS 128GB CON 5G</t>
  </si>
  <si>
    <t>IPHONE 16 PLUS 256GB CON 5G</t>
  </si>
  <si>
    <t>IPHONE 16 PRO 128GB CON 5G</t>
  </si>
  <si>
    <t>IPHONE 16 PRO 256GB CON 5G</t>
  </si>
  <si>
    <t>IPHONE 16 PRO MAX 256 CON 5G</t>
  </si>
  <si>
    <t>IPHONE 16 PRO MAX 512 CON 5G</t>
  </si>
  <si>
    <t>LENOVO IDEAPAD 5 16IRL8 I7 13GEN 16GB+1TB</t>
  </si>
  <si>
    <t>MONITOR LENOVO 27" L27i-40 ALTAVOCES INTEGRADOS</t>
  </si>
  <si>
    <t>OC_PERIFERICOS INFORMATICA</t>
  </si>
  <si>
    <t>OPPO A60 128GB 5G</t>
  </si>
  <si>
    <t>OPPO RENO12 FS 512GB 5G</t>
  </si>
  <si>
    <t>SAMSUNG GALAXY S24 FE 128GB 5G</t>
  </si>
  <si>
    <t>XIAOMI 14C 128GB</t>
  </si>
  <si>
    <t>XIAOMI 14T 256GB 5G</t>
  </si>
  <si>
    <t>XIAOMI 14T PRO 256GB 5G</t>
  </si>
  <si>
    <t>XIAOMI 14T PRO 512GB 5G</t>
  </si>
  <si>
    <t>NOKIA</t>
  </si>
  <si>
    <t>FLYBOX NOKIA FASTMILE 5G</t>
  </si>
  <si>
    <t>N+ Ciberprotección Red Fija</t>
  </si>
  <si>
    <t>Orange Digital Empresas - Localización</t>
  </si>
  <si>
    <t>Orange Digital Empresas - Nueva Localización</t>
  </si>
  <si>
    <t>Orange Digital Empresas - Control Horario</t>
  </si>
  <si>
    <t>OPPO A40 128GB</t>
  </si>
  <si>
    <t>SAMSUNG GALAXY A16 128GB</t>
  </si>
  <si>
    <t>SAMSUNG GALAXY A16 128GB 5G</t>
  </si>
  <si>
    <t>SAMSUNG GALAXY BOOK4 EDGE15 16+256GB</t>
  </si>
  <si>
    <t>SAMSUNG GALAXY TAB S10 ULTRA 12+256GB WIFI</t>
  </si>
  <si>
    <t>FLYBOX HUAWEI H153-381 5G</t>
  </si>
  <si>
    <t>01/12 al 31/12</t>
  </si>
  <si>
    <t>LENOVO IDEAPAD 3 15IAH8 CI5 8+512GB</t>
  </si>
  <si>
    <t>MOTOROLA MOTO G55 256GB 5G</t>
  </si>
  <si>
    <t>MOTOROLA MOTO THINKPHONE 25 256GB 5G</t>
  </si>
  <si>
    <t>OPPO FIND X8 PRO 512GB 5G</t>
  </si>
  <si>
    <t>XIAOMI REDMI NOTE 14 PRO 256GB 5G</t>
  </si>
  <si>
    <t>XIAOMI REDMI NOTE 14 PRO+ 256GB 5G</t>
  </si>
  <si>
    <t>Microsoft 365 Básico Anual</t>
  </si>
  <si>
    <t>Microsoft 365 Estandar Anual</t>
  </si>
  <si>
    <t>ENERO</t>
  </si>
  <si>
    <t>01/01 al 31/01</t>
  </si>
  <si>
    <t>HONOR PAD X8a 11" 4+128GB WIFI</t>
  </si>
  <si>
    <t>IPAD 10a GEN 64GB 2024 WIFI</t>
  </si>
  <si>
    <t>MOTOROLA MOTO G35 128GB 5G</t>
  </si>
  <si>
    <t>ORANGE GAMA 804</t>
  </si>
  <si>
    <t>ORANGE GAMA 804 CESIÓN</t>
  </si>
  <si>
    <t>SAMSUNG GALAXY BOOK4 15,6" i5 13GEN 16+512GB W PRO</t>
  </si>
  <si>
    <t>SAMSUNG GALAXY BOOK5 PRO16 16" i5 ULTRA 16+512GB</t>
  </si>
  <si>
    <t>XIAOMI REDMI NOTE 14 256GB 5G</t>
  </si>
  <si>
    <t>FLYBOX HUAWEI H153-381 5G CESIÓN (1)</t>
  </si>
  <si>
    <t>Formato</t>
  </si>
  <si>
    <t>Tarifas nuevas v0 _SD</t>
  </si>
  <si>
    <t xml:space="preserve">Soporte IT </t>
  </si>
  <si>
    <t>Orange Digital Empresas - Soporte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</si>
</sst>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_-;\-* #,##0.00_-;_-* 0.00??_-;_-@_-"/>
    <numFmt numFmtId="166" formatCode="_-* #,##0.00_-;\-* #,##0.00_-;_-* 0.00??_-"/>
    <numFmt numFmtId="167" formatCode="#,##0\ [$€-1];[Red]\-#,##0\ [$€-1]"/>
    <numFmt numFmtId="168" formatCode="_-* #,##0_-;\-* #,##0_-;_-* 0_-;_-@_-"/>
    <numFmt numFmtId="169" formatCode="#,##0.0\ &quot;€&quot;"/>
    <numFmt numFmtId="170" formatCode="#,##0\ &quot;€&quot;"/>
    <numFmt numFmtId="171" formatCode="_-* #,##0\ _€_-;\-* #,##0\ _€_-;_-* &quot;-&quot;\ _€_-;_-@_-"/>
    <numFmt numFmtId="172" formatCode="#,##0_ ;\-#,##0\ "/>
    <numFmt numFmtId="173" formatCode="#,##0_ ;[Red]\-#,##0\ "/>
    <numFmt numFmtId="174" formatCode="#,##0.0\ &quot;€&quot;;[Red]\-#,##0.0\ &quot;€&quot;"/>
  </numFmts>
  <fonts count="9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20"/>
      <color indexed="53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color indexed="53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6"/>
      <color indexed="53"/>
      <name val="Arial"/>
      <family val="2"/>
    </font>
    <font>
      <b/>
      <sz val="18"/>
      <color indexed="53"/>
      <name val="Arial"/>
      <family val="2"/>
    </font>
    <font>
      <sz val="12"/>
      <color indexed="9"/>
      <name val="Arial"/>
      <family val="2"/>
    </font>
    <font>
      <b/>
      <sz val="13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20"/>
      <color theme="9" tint="-0.249977111117893"/>
      <name val="Arial"/>
      <family val="2"/>
    </font>
    <font>
      <b/>
      <sz val="13"/>
      <color theme="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theme="0"/>
      <name val="Arial"/>
      <family val="2"/>
    </font>
    <font>
      <b/>
      <u/>
      <sz val="10"/>
      <color rgb="FFFF000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Helvetica 75"/>
      <family val="2"/>
    </font>
    <font>
      <sz val="9"/>
      <color rgb="FFED7D3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8"/>
      <name val="Arial"/>
      <family val="2"/>
    </font>
    <font>
      <sz val="11"/>
      <color rgb="FF000000"/>
      <name val="Arial"/>
      <family val="2"/>
    </font>
    <font>
      <sz val="11"/>
      <color rgb="FFFFFFFF"/>
      <name val="Helvetica 75"/>
      <family val="2"/>
    </font>
    <font>
      <sz val="11"/>
      <color rgb="FF080808"/>
      <name val="Helvetica 75"/>
      <family val="2"/>
    </font>
    <font>
      <sz val="12"/>
      <color rgb="FF000000"/>
      <name val="Helvetica 45 "/>
    </font>
    <font>
      <sz val="11"/>
      <name val="Helvetica 45 Light"/>
      <family val="2"/>
    </font>
    <font>
      <sz val="10"/>
      <color theme="0" tint="-0.34998626667073579"/>
      <name val="Arial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2"/>
      <color indexed="53"/>
      <name val="Helvetica"/>
    </font>
    <font>
      <sz val="12"/>
      <name val="Helvetica"/>
      <family val="2"/>
    </font>
    <font>
      <sz val="10"/>
      <name val="Times New Roman"/>
      <family val="1"/>
    </font>
    <font>
      <sz val="1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80808"/>
      <name val="Helvetica 75"/>
      <family val="2"/>
    </font>
    <font>
      <sz val="12"/>
      <color rgb="FFFF6600"/>
      <name val="Helvetica"/>
    </font>
    <font>
      <b/>
      <sz val="12"/>
      <color indexed="51"/>
      <name val="Helvetica"/>
      <family val="2"/>
    </font>
    <font>
      <b/>
      <sz val="12"/>
      <color rgb="FFFF6600"/>
      <name val="Helvetica"/>
    </font>
    <font>
      <b/>
      <sz val="12"/>
      <name val="Helvetica"/>
      <family val="2"/>
    </font>
    <font>
      <sz val="12"/>
      <name val="Helvetica"/>
    </font>
    <font>
      <sz val="10"/>
      <name val="Arial"/>
      <family val="2"/>
    </font>
    <font>
      <sz val="8"/>
      <name val="Arial"/>
      <family val="2"/>
    </font>
    <font>
      <b/>
      <sz val="14"/>
      <color rgb="FFFFFF00"/>
      <name val="Arial"/>
      <family val="2"/>
    </font>
    <font>
      <sz val="18"/>
      <color theme="0"/>
      <name val="Arial"/>
      <family val="2"/>
    </font>
    <font>
      <b/>
      <sz val="11"/>
      <color rgb="FF00000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BF1DE"/>
        <bgColor rgb="FF000000"/>
      </patternFill>
    </fill>
    <fill>
      <patternFill patternType="solid">
        <fgColor rgb="FFEBF1D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rgb="FF000000"/>
      </patternFill>
    </fill>
  </fills>
  <borders count="1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55"/>
      </left>
      <right/>
      <top/>
      <bottom style="hair">
        <color indexed="55"/>
      </bottom>
      <diagonal/>
    </border>
    <border>
      <left style="thin">
        <color indexed="9"/>
      </left>
      <right/>
      <top/>
      <bottom style="hair">
        <color indexed="55"/>
      </bottom>
      <diagonal/>
    </border>
    <border>
      <left style="thin">
        <color indexed="9"/>
      </left>
      <right style="medium">
        <color indexed="55"/>
      </right>
      <top/>
      <bottom style="hair">
        <color indexed="55"/>
      </bottom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 style="hair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double">
        <color indexed="53"/>
      </left>
      <right/>
      <top style="double">
        <color indexed="53"/>
      </top>
      <bottom/>
      <diagonal/>
    </border>
    <border>
      <left/>
      <right/>
      <top style="double">
        <color indexed="53"/>
      </top>
      <bottom/>
      <diagonal/>
    </border>
    <border>
      <left/>
      <right style="double">
        <color indexed="53"/>
      </right>
      <top style="double">
        <color indexed="53"/>
      </top>
      <bottom/>
      <diagonal/>
    </border>
    <border>
      <left style="double">
        <color indexed="53"/>
      </left>
      <right/>
      <top/>
      <bottom style="double">
        <color indexed="53"/>
      </bottom>
      <diagonal/>
    </border>
    <border>
      <left/>
      <right/>
      <top/>
      <bottom style="double">
        <color indexed="53"/>
      </bottom>
      <diagonal/>
    </border>
    <border>
      <left/>
      <right style="double">
        <color indexed="53"/>
      </right>
      <top/>
      <bottom style="double">
        <color indexed="53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hair">
        <color indexed="55"/>
      </right>
      <top style="hair">
        <color indexed="55"/>
      </top>
      <bottom/>
      <diagonal/>
    </border>
    <border>
      <left style="medium">
        <color indexed="55"/>
      </left>
      <right style="hair">
        <color indexed="55"/>
      </right>
      <top/>
      <bottom/>
      <diagonal/>
    </border>
    <border>
      <left style="medium">
        <color indexed="55"/>
      </left>
      <right style="hair">
        <color indexed="55"/>
      </right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/>
      <bottom style="medium">
        <color indexed="55"/>
      </bottom>
      <diagonal/>
    </border>
    <border>
      <left style="hair">
        <color indexed="55"/>
      </left>
      <right style="medium">
        <color indexed="55"/>
      </right>
      <top style="hair">
        <color indexed="55"/>
      </top>
      <bottom/>
      <diagonal/>
    </border>
    <border>
      <left style="hair">
        <color indexed="55"/>
      </left>
      <right style="medium">
        <color indexed="55"/>
      </right>
      <top/>
      <bottom/>
      <diagonal/>
    </border>
    <border>
      <left style="hair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ck">
        <color rgb="FFFF6600"/>
      </left>
      <right/>
      <top style="thick">
        <color rgb="FFFF6600"/>
      </top>
      <bottom/>
      <diagonal/>
    </border>
    <border>
      <left/>
      <right/>
      <top style="thick">
        <color rgb="FFFF6600"/>
      </top>
      <bottom/>
      <diagonal/>
    </border>
    <border>
      <left/>
      <right style="thick">
        <color rgb="FFFF6600"/>
      </right>
      <top style="thick">
        <color rgb="FFFF6600"/>
      </top>
      <bottom/>
      <diagonal/>
    </border>
    <border>
      <left style="thick">
        <color rgb="FFFF6600"/>
      </left>
      <right/>
      <top/>
      <bottom/>
      <diagonal/>
    </border>
    <border>
      <left/>
      <right style="thick">
        <color rgb="FFFF6600"/>
      </right>
      <top/>
      <bottom/>
      <diagonal/>
    </border>
    <border>
      <left style="thick">
        <color rgb="FFFF66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6600"/>
      </left>
      <right/>
      <top/>
      <bottom style="thick">
        <color rgb="FFFF6600"/>
      </bottom>
      <diagonal/>
    </border>
    <border>
      <left/>
      <right/>
      <top/>
      <bottom style="thick">
        <color rgb="FFFF6600"/>
      </bottom>
      <diagonal/>
    </border>
    <border>
      <left/>
      <right style="thick">
        <color rgb="FFFF6600"/>
      </right>
      <top/>
      <bottom style="thick">
        <color rgb="FFFF6600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34998626667073579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indexed="55"/>
      </right>
      <top style="thin">
        <color theme="0"/>
      </top>
      <bottom style="thin">
        <color theme="0"/>
      </bottom>
      <diagonal/>
    </border>
    <border>
      <left style="medium">
        <color theme="0" tint="-0.34998626667073579"/>
      </left>
      <right/>
      <top style="thin">
        <color theme="0"/>
      </top>
      <bottom style="medium">
        <color theme="0" tint="-0.34998626667073579"/>
      </bottom>
      <diagonal/>
    </border>
    <border>
      <left/>
      <right/>
      <top style="thin">
        <color theme="0"/>
      </top>
      <bottom style="medium">
        <color theme="0" tint="-0.34998626667073579"/>
      </bottom>
      <diagonal/>
    </border>
    <border>
      <left/>
      <right style="medium">
        <color indexed="55"/>
      </right>
      <top style="thin">
        <color theme="0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indexed="55"/>
      </right>
      <top/>
      <bottom/>
      <diagonal/>
    </border>
    <border>
      <left/>
      <right style="medium">
        <color theme="0" tint="-0.499984740745262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hair">
        <color indexed="55"/>
      </bottom>
      <diagonal/>
    </border>
    <border>
      <left/>
      <right style="medium">
        <color theme="0" tint="-0.34998626667073579"/>
      </right>
      <top/>
      <bottom style="hair">
        <color indexed="55"/>
      </bottom>
      <diagonal/>
    </border>
    <border>
      <left/>
      <right style="thin">
        <color indexed="9"/>
      </right>
      <top/>
      <bottom style="hair">
        <color indexed="55"/>
      </bottom>
      <diagonal/>
    </border>
    <border>
      <left/>
      <right style="medium">
        <color indexed="55"/>
      </right>
      <top/>
      <bottom style="hair">
        <color indexed="55"/>
      </bottom>
      <diagonal/>
    </border>
    <border>
      <left/>
      <right style="medium">
        <color indexed="55"/>
      </right>
      <top style="hair">
        <color indexed="55"/>
      </top>
      <bottom/>
      <diagonal/>
    </border>
    <border>
      <left style="medium">
        <color indexed="55"/>
      </left>
      <right/>
      <top style="hair">
        <color indexed="55"/>
      </top>
      <bottom/>
      <diagonal/>
    </border>
    <border>
      <left/>
      <right style="hair">
        <color indexed="55"/>
      </right>
      <top style="hair">
        <color indexed="55"/>
      </top>
      <bottom/>
      <diagonal/>
    </border>
    <border>
      <left/>
      <right/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/>
      <right style="hair">
        <color indexed="55"/>
      </right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 style="hair">
        <color indexed="55"/>
      </left>
      <right/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 style="hair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FF660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rgb="FFFF6600"/>
      </bottom>
      <diagonal/>
    </border>
    <border>
      <left/>
      <right style="medium">
        <color theme="0" tint="-0.499984740745262"/>
      </right>
      <top/>
      <bottom style="thin">
        <color rgb="FFFF6600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hair">
        <color indexed="55"/>
      </bottom>
      <diagonal/>
    </border>
    <border>
      <left/>
      <right style="medium">
        <color theme="0" tint="-0.499984740745262"/>
      </right>
      <top/>
      <bottom style="hair">
        <color indexed="55"/>
      </bottom>
      <diagonal/>
    </border>
    <border>
      <left style="medium">
        <color rgb="FF808080"/>
      </left>
      <right style="medium">
        <color rgb="FF808080"/>
      </right>
      <top/>
      <bottom style="medium">
        <color theme="0" tint="-0.499984740745262"/>
      </bottom>
      <diagonal/>
    </border>
    <border>
      <left style="medium">
        <color rgb="FF080808"/>
      </left>
      <right style="medium">
        <color rgb="FF080808"/>
      </right>
      <top style="medium">
        <color rgb="FF080808"/>
      </top>
      <bottom style="medium">
        <color rgb="FF080808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80808"/>
      </left>
      <right style="medium">
        <color rgb="FF080808"/>
      </right>
      <top style="medium">
        <color rgb="FF080808"/>
      </top>
      <bottom/>
      <diagonal/>
    </border>
    <border>
      <left style="medium">
        <color rgb="FF080808"/>
      </left>
      <right style="medium">
        <color rgb="FF080808"/>
      </right>
      <top/>
      <bottom style="medium">
        <color rgb="FF080808"/>
      </bottom>
      <diagonal/>
    </border>
    <border>
      <left style="medium">
        <color rgb="FF08080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thin">
        <color theme="0"/>
      </top>
      <bottom style="thin">
        <color theme="0"/>
      </bottom>
      <diagonal/>
    </border>
    <border>
      <left/>
      <right style="medium">
        <color theme="0" tint="-0.34998626667073579"/>
      </right>
      <top style="thin">
        <color theme="0"/>
      </top>
      <bottom style="medium">
        <color theme="0" tint="-0.34998626667073579"/>
      </bottom>
      <diagonal/>
    </border>
    <border>
      <left/>
      <right style="medium">
        <color theme="0" tint="-0.24994659260841701"/>
      </right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55"/>
      </left>
      <right style="medium">
        <color indexed="55"/>
      </right>
      <top style="hair">
        <color indexed="55"/>
      </top>
      <bottom/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808080"/>
      </left>
      <right style="medium">
        <color rgb="FF808080"/>
      </right>
      <top style="medium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6600"/>
      </left>
      <right/>
      <top style="thin">
        <color indexed="64"/>
      </top>
      <bottom/>
      <diagonal/>
    </border>
    <border>
      <left style="medium">
        <color rgb="FF080808"/>
      </left>
      <right style="medium">
        <color rgb="FF080808"/>
      </right>
      <top style="medium">
        <color rgb="FF000000"/>
      </top>
      <bottom style="medium">
        <color indexed="64"/>
      </bottom>
      <diagonal/>
    </border>
    <border>
      <left style="medium">
        <color rgb="FF080808"/>
      </left>
      <right style="medium">
        <color rgb="FF080808"/>
      </right>
      <top/>
      <bottom style="medium">
        <color indexed="64"/>
      </bottom>
      <diagonal/>
    </border>
    <border>
      <left/>
      <right style="thick">
        <color rgb="FFFF6600"/>
      </right>
      <top style="thick">
        <color rgb="FFFF6600"/>
      </top>
      <bottom style="thick">
        <color rgb="FFFF66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rgb="FFFF6600"/>
      </right>
      <top style="thin">
        <color theme="1"/>
      </top>
      <bottom style="thin">
        <color theme="1"/>
      </bottom>
      <diagonal/>
    </border>
    <border>
      <left style="thick">
        <color rgb="FFFF6600"/>
      </left>
      <right style="thin">
        <color indexed="64"/>
      </right>
      <top style="thin">
        <color auto="1"/>
      </top>
      <bottom style="thick">
        <color rgb="FFFF66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55"/>
      </right>
      <top style="medium">
        <color theme="0" tint="-0.34998626667073579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ck">
        <color rgb="FFFF66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6600"/>
      </bottom>
      <diagonal/>
    </border>
    <border>
      <left/>
      <right style="medium">
        <color rgb="FF808080"/>
      </right>
      <top/>
      <bottom/>
      <diagonal/>
    </border>
  </borders>
  <cellStyleXfs count="61">
    <xf numFmtId="0" fontId="0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4" fillId="0" borderId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0" fontId="33" fillId="0" borderId="0"/>
    <xf numFmtId="164" fontId="33" fillId="0" borderId="0" applyFont="0" applyFill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1" borderId="0" applyNumberFormat="0" applyBorder="0" applyAlignment="0" applyProtection="0"/>
    <xf numFmtId="0" fontId="39" fillId="24" borderId="0" applyNumberFormat="0" applyBorder="0" applyAlignment="0" applyProtection="0"/>
    <xf numFmtId="0" fontId="39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1" fillId="20" borderId="0" applyNumberFormat="0" applyBorder="0" applyAlignment="0" applyProtection="0"/>
    <xf numFmtId="0" fontId="42" fillId="32" borderId="112" applyNumberFormat="0" applyAlignment="0" applyProtection="0"/>
    <xf numFmtId="0" fontId="43" fillId="33" borderId="113" applyNumberFormat="0" applyAlignment="0" applyProtection="0"/>
    <xf numFmtId="0" fontId="44" fillId="0" borderId="114" applyNumberFormat="0" applyFill="0" applyAlignment="0" applyProtection="0"/>
    <xf numFmtId="0" fontId="45" fillId="0" borderId="0" applyNumberFormat="0" applyFill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7" borderId="0" applyNumberFormat="0" applyBorder="0" applyAlignment="0" applyProtection="0"/>
    <xf numFmtId="0" fontId="46" fillId="23" borderId="112" applyNumberFormat="0" applyAlignment="0" applyProtection="0"/>
    <xf numFmtId="0" fontId="47" fillId="19" borderId="0" applyNumberFormat="0" applyBorder="0" applyAlignment="0" applyProtection="0"/>
    <xf numFmtId="0" fontId="48" fillId="38" borderId="0" applyNumberFormat="0" applyBorder="0" applyAlignment="0" applyProtection="0"/>
    <xf numFmtId="0" fontId="1" fillId="39" borderId="115" applyNumberFormat="0" applyFont="0" applyAlignment="0" applyProtection="0"/>
    <xf numFmtId="0" fontId="49" fillId="32" borderId="116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117" applyNumberFormat="0" applyFill="0" applyAlignment="0" applyProtection="0"/>
    <xf numFmtId="0" fontId="54" fillId="0" borderId="118" applyNumberFormat="0" applyFill="0" applyAlignment="0" applyProtection="0"/>
    <xf numFmtId="0" fontId="45" fillId="0" borderId="119" applyNumberFormat="0" applyFill="0" applyAlignment="0" applyProtection="0"/>
    <xf numFmtId="0" fontId="55" fillId="0" borderId="120" applyNumberFormat="0" applyFill="0" applyAlignment="0" applyProtection="0"/>
    <xf numFmtId="0" fontId="58" fillId="0" borderId="0"/>
    <xf numFmtId="164" fontId="5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5" fillId="0" borderId="0"/>
    <xf numFmtId="164" fontId="85" fillId="0" borderId="0" applyFont="0" applyFill="0" applyBorder="0" applyAlignment="0" applyProtection="0"/>
  </cellStyleXfs>
  <cellXfs count="849">
    <xf numFmtId="0" fontId="0" fillId="0" borderId="0" xfId="0"/>
    <xf numFmtId="0" fontId="0" fillId="2" borderId="0" xfId="1" applyFont="1" applyFill="1"/>
    <xf numFmtId="0" fontId="7" fillId="2" borderId="0" xfId="1" applyFont="1" applyFill="1"/>
    <xf numFmtId="0" fontId="4" fillId="2" borderId="0" xfId="1" applyFont="1" applyFill="1"/>
    <xf numFmtId="0" fontId="10" fillId="2" borderId="0" xfId="1" applyFont="1" applyFill="1"/>
    <xf numFmtId="0" fontId="11" fillId="0" borderId="0" xfId="0" applyFont="1"/>
    <xf numFmtId="0" fontId="0" fillId="0" borderId="0" xfId="0" applyBorder="1"/>
    <xf numFmtId="0" fontId="11" fillId="6" borderId="5" xfId="9" applyFont="1" applyFill="1" applyBorder="1" applyAlignment="1">
      <alignment horizontal="center" vertical="center" wrapText="1"/>
    </xf>
    <xf numFmtId="0" fontId="11" fillId="3" borderId="48" xfId="9" applyFont="1" applyFill="1" applyBorder="1" applyAlignment="1">
      <alignment horizontal="center" vertical="center" wrapText="1"/>
    </xf>
    <xf numFmtId="3" fontId="11" fillId="3" borderId="48" xfId="9" quotePrefix="1" applyNumberFormat="1" applyFont="1" applyFill="1" applyBorder="1" applyAlignment="1">
      <alignment horizontal="center" vertical="center" wrapText="1"/>
    </xf>
    <xf numFmtId="0" fontId="11" fillId="3" borderId="49" xfId="9" applyFont="1" applyFill="1" applyBorder="1" applyAlignment="1">
      <alignment horizontal="center" vertical="center" wrapText="1"/>
    </xf>
    <xf numFmtId="0" fontId="0" fillId="5" borderId="0" xfId="0" applyFill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46" xfId="0" applyBorder="1"/>
    <xf numFmtId="0" fontId="0" fillId="0" borderId="47" xfId="0" applyBorder="1"/>
    <xf numFmtId="0" fontId="0" fillId="0" borderId="0" xfId="0" applyFill="1" applyBorder="1"/>
    <xf numFmtId="0" fontId="0" fillId="0" borderId="61" xfId="0" applyBorder="1"/>
    <xf numFmtId="0" fontId="1" fillId="9" borderId="0" xfId="1" applyFill="1"/>
    <xf numFmtId="0" fontId="21" fillId="9" borderId="0" xfId="1" applyFont="1" applyFill="1"/>
    <xf numFmtId="0" fontId="22" fillId="9" borderId="0" xfId="1" applyFont="1" applyFill="1"/>
    <xf numFmtId="0" fontId="4" fillId="9" borderId="0" xfId="1" applyFont="1" applyFill="1"/>
    <xf numFmtId="0" fontId="25" fillId="9" borderId="0" xfId="1" applyFont="1" applyFill="1"/>
    <xf numFmtId="0" fontId="1" fillId="2" borderId="0" xfId="1" applyFill="1"/>
    <xf numFmtId="0" fontId="29" fillId="2" borderId="0" xfId="9" applyFont="1" applyFill="1" applyAlignment="1">
      <alignment vertical="center"/>
    </xf>
    <xf numFmtId="0" fontId="0" fillId="9" borderId="55" xfId="0" applyFill="1" applyBorder="1" applyAlignment="1" applyProtection="1">
      <alignment vertical="center" wrapText="1"/>
    </xf>
    <xf numFmtId="0" fontId="11" fillId="9" borderId="57" xfId="0" applyFont="1" applyFill="1" applyBorder="1" applyAlignment="1" applyProtection="1">
      <alignment vertical="center" wrapText="1"/>
    </xf>
    <xf numFmtId="43" fontId="11" fillId="9" borderId="1" xfId="0" applyNumberFormat="1" applyFont="1" applyFill="1" applyBorder="1" applyAlignment="1" applyProtection="1">
      <alignment horizontal="center" vertical="center" wrapText="1"/>
    </xf>
    <xf numFmtId="0" fontId="11" fillId="11" borderId="15" xfId="0" applyFont="1" applyFill="1" applyBorder="1" applyAlignment="1" applyProtection="1">
      <alignment horizontal="center" vertical="center" wrapText="1"/>
    </xf>
    <xf numFmtId="0" fontId="11" fillId="11" borderId="16" xfId="0" applyFont="1" applyFill="1" applyBorder="1" applyAlignment="1" applyProtection="1">
      <alignment horizontal="center" vertical="center" wrapText="1"/>
    </xf>
    <xf numFmtId="0" fontId="11" fillId="11" borderId="17" xfId="0" applyFont="1" applyFill="1" applyBorder="1" applyAlignment="1" applyProtection="1">
      <alignment horizontal="center" vertical="center" wrapText="1"/>
    </xf>
    <xf numFmtId="0" fontId="11" fillId="11" borderId="18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" fillId="9" borderId="0" xfId="0" applyFont="1" applyFill="1" applyBorder="1" applyAlignment="1" applyProtection="1">
      <alignment horizontal="center" vertical="center" wrapText="1"/>
    </xf>
    <xf numFmtId="0" fontId="11" fillId="9" borderId="23" xfId="0" applyFont="1" applyFill="1" applyBorder="1" applyAlignment="1" applyProtection="1">
      <alignment vertical="center" wrapText="1"/>
    </xf>
    <xf numFmtId="165" fontId="11" fillId="9" borderId="1" xfId="0" applyNumberFormat="1" applyFont="1" applyFill="1" applyBorder="1" applyAlignment="1" applyProtection="1">
      <alignment horizontal="center" vertical="center" wrapText="1"/>
    </xf>
    <xf numFmtId="0" fontId="1" fillId="9" borderId="0" xfId="0" applyFont="1" applyFill="1" applyBorder="1" applyAlignment="1" applyProtection="1">
      <alignment vertical="center" wrapText="1"/>
    </xf>
    <xf numFmtId="0" fontId="11" fillId="9" borderId="19" xfId="0" applyFont="1" applyFill="1" applyBorder="1" applyAlignment="1" applyProtection="1">
      <alignment vertical="center" wrapText="1"/>
    </xf>
    <xf numFmtId="165" fontId="11" fillId="9" borderId="0" xfId="0" applyNumberFormat="1" applyFont="1" applyFill="1" applyBorder="1" applyAlignment="1" applyProtection="1">
      <alignment horizontal="center" vertical="center" wrapText="1"/>
    </xf>
    <xf numFmtId="0" fontId="11" fillId="9" borderId="24" xfId="0" applyFont="1" applyFill="1" applyBorder="1" applyAlignment="1" applyProtection="1">
      <alignment horizontal="left" vertical="center" wrapText="1"/>
    </xf>
    <xf numFmtId="165" fontId="11" fillId="9" borderId="10" xfId="0" applyNumberFormat="1" applyFont="1" applyFill="1" applyBorder="1" applyAlignment="1" applyProtection="1">
      <alignment horizontal="center" vertical="center" wrapText="1"/>
    </xf>
    <xf numFmtId="165" fontId="11" fillId="9" borderId="11" xfId="0" applyNumberFormat="1" applyFont="1" applyFill="1" applyBorder="1" applyAlignment="1" applyProtection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5" borderId="0" xfId="8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8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8" applyFont="1" applyFill="1" applyBorder="1" applyAlignment="1">
      <alignment horizontal="center" vertical="center" wrapText="1"/>
    </xf>
    <xf numFmtId="0" fontId="1" fillId="9" borderId="14" xfId="0" applyFont="1" applyFill="1" applyBorder="1" applyAlignment="1" applyProtection="1">
      <alignment horizontal="center" vertical="center" wrapText="1"/>
    </xf>
    <xf numFmtId="0" fontId="1" fillId="9" borderId="0" xfId="0" applyFont="1" applyFill="1" applyAlignment="1" applyProtection="1">
      <alignment horizontal="center" vertical="center" wrapText="1"/>
    </xf>
    <xf numFmtId="0" fontId="1" fillId="12" borderId="24" xfId="0" applyFont="1" applyFill="1" applyBorder="1" applyAlignment="1" applyProtection="1">
      <alignment horizontal="center" vertical="center" wrapText="1"/>
      <protection locked="0"/>
    </xf>
    <xf numFmtId="0" fontId="1" fillId="12" borderId="10" xfId="0" applyFont="1" applyFill="1" applyBorder="1" applyAlignment="1" applyProtection="1">
      <alignment horizontal="center" vertical="center" wrapText="1"/>
      <protection locked="0"/>
    </xf>
    <xf numFmtId="0" fontId="1" fillId="9" borderId="0" xfId="0" applyFont="1" applyFill="1" applyAlignment="1" applyProtection="1">
      <alignment vertical="center" wrapText="1"/>
    </xf>
    <xf numFmtId="0" fontId="1" fillId="9" borderId="19" xfId="0" applyFont="1" applyFill="1" applyBorder="1" applyAlignment="1" applyProtection="1">
      <alignment horizontal="center" vertical="center" wrapText="1"/>
    </xf>
    <xf numFmtId="0" fontId="11" fillId="5" borderId="22" xfId="0" applyFont="1" applyFill="1" applyBorder="1" applyAlignment="1" applyProtection="1">
      <alignment horizontal="center" vertical="center" wrapText="1"/>
    </xf>
    <xf numFmtId="165" fontId="1" fillId="9" borderId="10" xfId="0" applyNumberFormat="1" applyFont="1" applyFill="1" applyBorder="1" applyAlignment="1" applyProtection="1">
      <alignment vertical="center" wrapText="1"/>
    </xf>
    <xf numFmtId="165" fontId="1" fillId="9" borderId="11" xfId="0" applyNumberFormat="1" applyFont="1" applyFill="1" applyBorder="1" applyAlignment="1" applyProtection="1">
      <alignment vertical="center" wrapText="1"/>
    </xf>
    <xf numFmtId="165" fontId="11" fillId="9" borderId="12" xfId="0" applyNumberFormat="1" applyFont="1" applyFill="1" applyBorder="1" applyAlignment="1" applyProtection="1">
      <alignment horizontal="center" vertical="center" wrapText="1"/>
    </xf>
    <xf numFmtId="0" fontId="11" fillId="10" borderId="10" xfId="0" applyFont="1" applyFill="1" applyBorder="1" applyAlignment="1" applyProtection="1">
      <alignment horizontal="center" vertical="center" wrapText="1"/>
    </xf>
    <xf numFmtId="0" fontId="11" fillId="10" borderId="11" xfId="0" applyFont="1" applyFill="1" applyBorder="1" applyAlignment="1" applyProtection="1">
      <alignment horizontal="center" vertical="center" wrapText="1"/>
    </xf>
    <xf numFmtId="0" fontId="11" fillId="9" borderId="0" xfId="0" applyFont="1" applyFill="1" applyBorder="1" applyAlignment="1" applyProtection="1">
      <alignment horizontal="center" vertical="center" wrapText="1"/>
    </xf>
    <xf numFmtId="0" fontId="11" fillId="9" borderId="0" xfId="0" applyFont="1" applyFill="1" applyBorder="1" applyAlignment="1" applyProtection="1">
      <alignment vertical="center" wrapText="1"/>
    </xf>
    <xf numFmtId="164" fontId="11" fillId="9" borderId="0" xfId="6" applyFont="1" applyFill="1" applyBorder="1" applyAlignment="1" applyProtection="1">
      <alignment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65" fontId="11" fillId="9" borderId="13" xfId="0" applyNumberFormat="1" applyFont="1" applyFill="1" applyBorder="1" applyAlignment="1" applyProtection="1">
      <alignment horizontal="center" vertical="center" wrapText="1"/>
    </xf>
    <xf numFmtId="166" fontId="11" fillId="12" borderId="13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0" xfId="9" applyFont="1" applyFill="1"/>
    <xf numFmtId="0" fontId="11" fillId="0" borderId="46" xfId="0" applyFont="1" applyBorder="1"/>
    <xf numFmtId="0" fontId="11" fillId="0" borderId="0" xfId="0" applyFont="1" applyBorder="1"/>
    <xf numFmtId="0" fontId="11" fillId="0" borderId="47" xfId="0" applyFont="1" applyBorder="1"/>
    <xf numFmtId="0" fontId="11" fillId="0" borderId="0" xfId="0" applyFont="1" applyFill="1" applyBorder="1"/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0" xfId="0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4" fillId="0" borderId="80" xfId="0" applyFont="1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79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82" xfId="0" applyFill="1" applyBorder="1" applyAlignment="1">
      <alignment vertical="center"/>
    </xf>
    <xf numFmtId="0" fontId="0" fillId="0" borderId="81" xfId="0" applyFill="1" applyBorder="1" applyAlignment="1">
      <alignment vertical="center"/>
    </xf>
    <xf numFmtId="0" fontId="1" fillId="0" borderId="79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79" xfId="8" applyFont="1" applyBorder="1" applyAlignment="1">
      <alignment vertical="center"/>
    </xf>
    <xf numFmtId="0" fontId="1" fillId="2" borderId="1" xfId="8" applyFont="1" applyFill="1" applyBorder="1" applyAlignment="1">
      <alignment vertical="center"/>
    </xf>
    <xf numFmtId="0" fontId="0" fillId="0" borderId="81" xfId="8" applyFont="1" applyBorder="1" applyAlignment="1">
      <alignment vertical="center"/>
    </xf>
    <xf numFmtId="0" fontId="1" fillId="0" borderId="1" xfId="0" applyFont="1" applyFill="1" applyBorder="1" applyAlignment="1">
      <alignment vertical="top"/>
    </xf>
    <xf numFmtId="3" fontId="11" fillId="3" borderId="46" xfId="9" quotePrefix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/>
    </xf>
    <xf numFmtId="165" fontId="1" fillId="9" borderId="24" xfId="0" applyNumberFormat="1" applyFont="1" applyFill="1" applyBorder="1" applyAlignment="1" applyProtection="1">
      <alignment vertical="center" wrapText="1"/>
    </xf>
    <xf numFmtId="0" fontId="33" fillId="0" borderId="0" xfId="10"/>
    <xf numFmtId="0" fontId="33" fillId="0" borderId="61" xfId="10" applyBorder="1"/>
    <xf numFmtId="0" fontId="33" fillId="0" borderId="84" xfId="10" applyBorder="1"/>
    <xf numFmtId="0" fontId="1" fillId="2" borderId="102" xfId="9" applyFill="1" applyBorder="1" applyAlignment="1">
      <alignment horizontal="center" vertical="center" wrapText="1"/>
    </xf>
    <xf numFmtId="0" fontId="1" fillId="2" borderId="105" xfId="9" applyFill="1" applyBorder="1" applyAlignment="1">
      <alignment horizontal="center" vertical="center"/>
    </xf>
    <xf numFmtId="0" fontId="1" fillId="9" borderId="0" xfId="9" applyFill="1"/>
    <xf numFmtId="0" fontId="13" fillId="2" borderId="0" xfId="9" applyFont="1" applyFill="1" applyAlignment="1">
      <alignment horizontal="left" vertical="center"/>
    </xf>
    <xf numFmtId="0" fontId="25" fillId="2" borderId="0" xfId="1" applyFont="1" applyFill="1"/>
    <xf numFmtId="0" fontId="25" fillId="0" borderId="0" xfId="0" applyFont="1" applyFill="1" applyBorder="1"/>
    <xf numFmtId="0" fontId="1" fillId="2" borderId="0" xfId="9" applyFill="1"/>
    <xf numFmtId="2" fontId="1" fillId="2" borderId="46" xfId="6" applyNumberFormat="1" applyFont="1" applyFill="1" applyBorder="1" applyAlignment="1">
      <alignment horizontal="center" vertical="center"/>
    </xf>
    <xf numFmtId="2" fontId="1" fillId="8" borderId="46" xfId="6" applyNumberFormat="1" applyFont="1" applyFill="1" applyBorder="1" applyAlignment="1">
      <alignment horizontal="center" vertical="center"/>
    </xf>
    <xf numFmtId="0" fontId="1" fillId="0" borderId="81" xfId="8" applyFont="1" applyBorder="1" applyAlignment="1">
      <alignment vertical="center"/>
    </xf>
    <xf numFmtId="0" fontId="1" fillId="0" borderId="82" xfId="0" applyFont="1" applyFill="1" applyBorder="1" applyAlignment="1">
      <alignment vertical="center"/>
    </xf>
    <xf numFmtId="0" fontId="31" fillId="9" borderId="110" xfId="4" applyFont="1" applyFill="1" applyBorder="1" applyAlignment="1">
      <alignment horizontal="center"/>
    </xf>
    <xf numFmtId="49" fontId="13" fillId="2" borderId="0" xfId="9" applyNumberFormat="1" applyFont="1" applyFill="1" applyAlignment="1">
      <alignment horizontal="center" vertical="center"/>
    </xf>
    <xf numFmtId="0" fontId="30" fillId="0" borderId="1" xfId="8" applyFont="1" applyBorder="1" applyAlignment="1">
      <alignment vertical="center"/>
    </xf>
    <xf numFmtId="17" fontId="12" fillId="2" borderId="0" xfId="9" applyNumberFormat="1" applyFont="1" applyFill="1" applyAlignment="1">
      <alignment horizontal="left" vertical="center"/>
    </xf>
    <xf numFmtId="0" fontId="0" fillId="0" borderId="48" xfId="0" applyBorder="1"/>
    <xf numFmtId="0" fontId="31" fillId="8" borderId="110" xfId="4" applyFont="1" applyFill="1" applyBorder="1" applyAlignment="1">
      <alignment horizontal="center"/>
    </xf>
    <xf numFmtId="0" fontId="56" fillId="2" borderId="0" xfId="9" applyFont="1" applyFill="1"/>
    <xf numFmtId="0" fontId="0" fillId="0" borderId="84" xfId="0" applyBorder="1"/>
    <xf numFmtId="0" fontId="29" fillId="2" borderId="0" xfId="9" applyFont="1" applyFill="1" applyAlignment="1">
      <alignment horizontal="left" vertical="center"/>
    </xf>
    <xf numFmtId="4" fontId="1" fillId="2" borderId="0" xfId="9" applyNumberFormat="1" applyFill="1"/>
    <xf numFmtId="0" fontId="3" fillId="9" borderId="52" xfId="0" applyFont="1" applyFill="1" applyBorder="1" applyAlignment="1" applyProtection="1">
      <alignment vertical="center" wrapText="1"/>
    </xf>
    <xf numFmtId="0" fontId="0" fillId="9" borderId="53" xfId="0" applyFill="1" applyBorder="1" applyAlignment="1" applyProtection="1">
      <alignment vertical="center" wrapText="1"/>
    </xf>
    <xf numFmtId="0" fontId="11" fillId="9" borderId="53" xfId="0" applyFont="1" applyFill="1" applyBorder="1" applyAlignment="1" applyProtection="1">
      <alignment vertical="center" wrapText="1"/>
    </xf>
    <xf numFmtId="0" fontId="11" fillId="9" borderId="54" xfId="0" applyFont="1" applyFill="1" applyBorder="1" applyAlignment="1" applyProtection="1">
      <alignment vertical="center" wrapText="1"/>
    </xf>
    <xf numFmtId="0" fontId="0" fillId="9" borderId="0" xfId="0" applyFill="1" applyAlignment="1" applyProtection="1">
      <alignment vertical="center" wrapText="1"/>
    </xf>
    <xf numFmtId="0" fontId="0" fillId="9" borderId="0" xfId="0" applyFill="1" applyBorder="1" applyAlignment="1" applyProtection="1">
      <alignment vertical="center" wrapText="1"/>
    </xf>
    <xf numFmtId="0" fontId="11" fillId="9" borderId="56" xfId="0" applyFont="1" applyFill="1" applyBorder="1" applyAlignment="1" applyProtection="1">
      <alignment vertical="center" wrapText="1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1" fillId="9" borderId="1" xfId="0" applyFont="1" applyFill="1" applyBorder="1" applyAlignment="1" applyProtection="1">
      <alignment horizontal="center" vertical="center" wrapText="1"/>
    </xf>
    <xf numFmtId="0" fontId="2" fillId="9" borderId="55" xfId="0" applyFont="1" applyFill="1" applyBorder="1" applyAlignment="1" applyProtection="1">
      <alignment vertical="center" wrapText="1"/>
    </xf>
    <xf numFmtId="0" fontId="0" fillId="9" borderId="58" xfId="0" applyFill="1" applyBorder="1" applyAlignment="1" applyProtection="1">
      <alignment vertical="center" wrapText="1"/>
    </xf>
    <xf numFmtId="0" fontId="0" fillId="9" borderId="59" xfId="0" applyFill="1" applyBorder="1" applyAlignment="1" applyProtection="1">
      <alignment vertical="center" wrapText="1"/>
    </xf>
    <xf numFmtId="0" fontId="11" fillId="9" borderId="59" xfId="0" applyFont="1" applyFill="1" applyBorder="1" applyAlignment="1" applyProtection="1">
      <alignment vertical="center" wrapText="1"/>
    </xf>
    <xf numFmtId="0" fontId="11" fillId="9" borderId="60" xfId="0" applyFont="1" applyFill="1" applyBorder="1" applyAlignment="1" applyProtection="1">
      <alignment vertical="center" wrapText="1"/>
    </xf>
    <xf numFmtId="0" fontId="11" fillId="9" borderId="0" xfId="0" applyFont="1" applyFill="1" applyAlignment="1" applyProtection="1">
      <alignment vertical="center" wrapText="1"/>
    </xf>
    <xf numFmtId="0" fontId="1" fillId="0" borderId="46" xfId="9" applyBorder="1"/>
    <xf numFmtId="0" fontId="1" fillId="0" borderId="47" xfId="9" applyBorder="1"/>
    <xf numFmtId="3" fontId="1" fillId="2" borderId="48" xfId="7" applyNumberFormat="1" applyFont="1" applyFill="1" applyBorder="1" applyAlignment="1">
      <alignment horizontal="center" vertical="center"/>
    </xf>
    <xf numFmtId="3" fontId="1" fillId="8" borderId="48" xfId="7" applyNumberFormat="1" applyFont="1" applyFill="1" applyBorder="1" applyAlignment="1">
      <alignment horizontal="center" vertical="center"/>
    </xf>
    <xf numFmtId="2" fontId="1" fillId="8" borderId="46" xfId="7" applyNumberFormat="1" applyFont="1" applyFill="1" applyBorder="1" applyAlignment="1">
      <alignment horizontal="center" vertical="center"/>
    </xf>
    <xf numFmtId="2" fontId="1" fillId="2" borderId="46" xfId="7" applyNumberFormat="1" applyFont="1" applyFill="1" applyBorder="1" applyAlignment="1">
      <alignment horizontal="center" vertical="center"/>
    </xf>
    <xf numFmtId="0" fontId="11" fillId="7" borderId="48" xfId="9" applyFont="1" applyFill="1" applyBorder="1" applyAlignment="1">
      <alignment horizontal="center" vertical="center" wrapText="1"/>
    </xf>
    <xf numFmtId="0" fontId="1" fillId="0" borderId="0" xfId="9"/>
    <xf numFmtId="0" fontId="11" fillId="3" borderId="46" xfId="9" applyFont="1" applyFill="1" applyBorder="1" applyAlignment="1">
      <alignment vertical="center" wrapText="1"/>
    </xf>
    <xf numFmtId="0" fontId="1" fillId="2" borderId="128" xfId="9" applyFill="1" applyBorder="1"/>
    <xf numFmtId="0" fontId="1" fillId="2" borderId="48" xfId="9" applyFill="1" applyBorder="1"/>
    <xf numFmtId="0" fontId="11" fillId="0" borderId="0" xfId="0" applyFont="1" applyFill="1" applyBorder="1" applyAlignment="1" applyProtection="1">
      <alignment vertical="center" wrapText="1"/>
    </xf>
    <xf numFmtId="0" fontId="57" fillId="9" borderId="0" xfId="0" applyFont="1" applyFill="1" applyBorder="1" applyAlignment="1" applyProtection="1">
      <alignment vertical="center"/>
      <protection hidden="1"/>
    </xf>
    <xf numFmtId="0" fontId="58" fillId="0" borderId="0" xfId="53"/>
    <xf numFmtId="0" fontId="25" fillId="12" borderId="0" xfId="9" applyFont="1" applyFill="1"/>
    <xf numFmtId="0" fontId="59" fillId="12" borderId="0" xfId="9" applyFont="1" applyFill="1" applyAlignment="1">
      <alignment vertical="center"/>
    </xf>
    <xf numFmtId="0" fontId="58" fillId="0" borderId="46" xfId="53" applyBorder="1"/>
    <xf numFmtId="0" fontId="58" fillId="0" borderId="47" xfId="53" applyBorder="1"/>
    <xf numFmtId="0" fontId="1" fillId="2" borderId="47" xfId="9" applyFill="1" applyBorder="1"/>
    <xf numFmtId="0" fontId="58" fillId="0" borderId="61" xfId="53" applyBorder="1"/>
    <xf numFmtId="0" fontId="11" fillId="9" borderId="0" xfId="0" applyFont="1" applyFill="1" applyAlignment="1" applyProtection="1">
      <alignment vertical="center"/>
    </xf>
    <xf numFmtId="0" fontId="1" fillId="0" borderId="0" xfId="0" applyFont="1" applyAlignment="1">
      <alignment vertical="center"/>
    </xf>
    <xf numFmtId="0" fontId="61" fillId="43" borderId="0" xfId="8" applyFont="1" applyFill="1" applyAlignment="1">
      <alignment vertical="center"/>
    </xf>
    <xf numFmtId="167" fontId="63" fillId="0" borderId="134" xfId="8" applyNumberFormat="1" applyFont="1" applyBorder="1" applyAlignment="1">
      <alignment horizontal="center" vertical="center"/>
    </xf>
    <xf numFmtId="167" fontId="63" fillId="0" borderId="137" xfId="8" applyNumberFormat="1" applyFont="1" applyBorder="1" applyAlignment="1">
      <alignment horizontal="center" vertical="center"/>
    </xf>
    <xf numFmtId="167" fontId="63" fillId="0" borderId="141" xfId="8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64" fillId="0" borderId="143" xfId="0" applyFont="1" applyBorder="1" applyAlignment="1"/>
    <xf numFmtId="0" fontId="65" fillId="44" borderId="144" xfId="0" applyFont="1" applyFill="1" applyBorder="1" applyAlignment="1">
      <alignment horizontal="center"/>
    </xf>
    <xf numFmtId="0" fontId="11" fillId="5" borderId="1" xfId="0" applyFont="1" applyFill="1" applyBorder="1" applyAlignment="1" applyProtection="1">
      <alignment horizontal="center" vertical="center"/>
    </xf>
    <xf numFmtId="0" fontId="65" fillId="45" borderId="144" xfId="0" applyFont="1" applyFill="1" applyBorder="1" applyAlignment="1">
      <alignment horizontal="left"/>
    </xf>
    <xf numFmtId="6" fontId="65" fillId="0" borderId="1" xfId="0" applyNumberFormat="1" applyFont="1" applyBorder="1" applyAlignment="1">
      <alignment horizontal="center" vertical="center"/>
    </xf>
    <xf numFmtId="6" fontId="65" fillId="0" borderId="1" xfId="0" applyNumberFormat="1" applyFont="1" applyBorder="1" applyAlignment="1">
      <alignment horizontal="center"/>
    </xf>
    <xf numFmtId="6" fontId="65" fillId="0" borderId="1" xfId="0" applyNumberFormat="1" applyFont="1" applyBorder="1" applyAlignment="1">
      <alignment horizontal="center" vertical="center" wrapText="1"/>
    </xf>
    <xf numFmtId="0" fontId="14" fillId="9" borderId="0" xfId="55" applyFont="1" applyFill="1"/>
    <xf numFmtId="0" fontId="1" fillId="9" borderId="0" xfId="55" applyFill="1"/>
    <xf numFmtId="0" fontId="11" fillId="5" borderId="1" xfId="0" applyFont="1" applyFill="1" applyBorder="1" applyAlignment="1" applyProtection="1">
      <alignment vertical="center" wrapText="1"/>
    </xf>
    <xf numFmtId="0" fontId="65" fillId="44" borderId="145" xfId="0" applyFont="1" applyFill="1" applyBorder="1" applyAlignment="1">
      <alignment horizontal="center"/>
    </xf>
    <xf numFmtId="0" fontId="65" fillId="45" borderId="1" xfId="0" applyFont="1" applyFill="1" applyBorder="1" applyAlignment="1">
      <alignment horizontal="left"/>
    </xf>
    <xf numFmtId="6" fontId="65" fillId="0" borderId="79" xfId="0" applyNumberFormat="1" applyFont="1" applyBorder="1" applyAlignment="1">
      <alignment horizontal="center" vertical="center"/>
    </xf>
    <xf numFmtId="6" fontId="65" fillId="0" borderId="146" xfId="0" applyNumberFormat="1" applyFont="1" applyBorder="1" applyAlignment="1">
      <alignment horizontal="center" vertical="center"/>
    </xf>
    <xf numFmtId="0" fontId="66" fillId="14" borderId="147" xfId="0" applyFont="1" applyFill="1" applyBorder="1" applyAlignment="1">
      <alignment horizontal="center" vertical="center" wrapText="1" readingOrder="1"/>
    </xf>
    <xf numFmtId="0" fontId="66" fillId="14" borderId="148" xfId="0" applyFont="1" applyFill="1" applyBorder="1" applyAlignment="1">
      <alignment horizontal="center" vertical="center" wrapText="1" readingOrder="1"/>
    </xf>
    <xf numFmtId="0" fontId="67" fillId="0" borderId="132" xfId="0" applyFont="1" applyBorder="1" applyAlignment="1">
      <alignment horizontal="center" vertical="center" wrapText="1" readingOrder="1"/>
    </xf>
    <xf numFmtId="3" fontId="1" fillId="2" borderId="48" xfId="6" applyNumberFormat="1" applyFont="1" applyFill="1" applyBorder="1" applyAlignment="1">
      <alignment horizontal="center" vertical="center"/>
    </xf>
    <xf numFmtId="3" fontId="1" fillId="8" borderId="48" xfId="6" applyNumberFormat="1" applyFont="1" applyFill="1" applyBorder="1" applyAlignment="1">
      <alignment horizontal="center" vertical="center"/>
    </xf>
    <xf numFmtId="1" fontId="1" fillId="2" borderId="48" xfId="6" applyNumberFormat="1" applyFont="1" applyFill="1" applyBorder="1" applyAlignment="1">
      <alignment horizontal="center" vertical="center"/>
    </xf>
    <xf numFmtId="3" fontId="1" fillId="9" borderId="48" xfId="6" applyNumberFormat="1" applyFont="1" applyFill="1" applyBorder="1" applyAlignment="1">
      <alignment horizontal="center" vertical="center"/>
    </xf>
    <xf numFmtId="0" fontId="1" fillId="5" borderId="0" xfId="9" applyFill="1" applyAlignment="1">
      <alignment vertical="top"/>
    </xf>
    <xf numFmtId="0" fontId="1" fillId="2" borderId="1" xfId="9" applyFill="1" applyBorder="1" applyAlignment="1">
      <alignment vertical="top"/>
    </xf>
    <xf numFmtId="0" fontId="11" fillId="5" borderId="1" xfId="0" applyFont="1" applyFill="1" applyBorder="1" applyAlignment="1" applyProtection="1">
      <alignment horizontal="center" vertical="center" wrapText="1"/>
    </xf>
    <xf numFmtId="0" fontId="1" fillId="9" borderId="47" xfId="9" applyFill="1" applyBorder="1"/>
    <xf numFmtId="0" fontId="30" fillId="0" borderId="1" xfId="9" applyFont="1" applyBorder="1" applyAlignment="1">
      <alignment vertical="center"/>
    </xf>
    <xf numFmtId="0" fontId="1" fillId="2" borderId="1" xfId="9" applyFill="1" applyBorder="1" applyAlignment="1">
      <alignment vertical="center"/>
    </xf>
    <xf numFmtId="0" fontId="0" fillId="9" borderId="0" xfId="0" applyFill="1" applyAlignment="1" applyProtection="1">
      <alignment vertical="center"/>
    </xf>
    <xf numFmtId="0" fontId="11" fillId="10" borderId="1" xfId="0" applyFont="1" applyFill="1" applyBorder="1" applyAlignment="1" applyProtection="1">
      <alignment horizontal="center" vertical="center" wrapText="1"/>
    </xf>
    <xf numFmtId="0" fontId="1" fillId="9" borderId="150" xfId="0" applyFont="1" applyFill="1" applyBorder="1" applyAlignment="1" applyProtection="1">
      <alignment horizontal="center" vertical="center" wrapText="1"/>
      <protection locked="0"/>
    </xf>
    <xf numFmtId="0" fontId="11" fillId="15" borderId="152" xfId="0" applyFont="1" applyFill="1" applyBorder="1" applyAlignment="1" applyProtection="1">
      <alignment horizontal="center" vertical="center" wrapText="1"/>
    </xf>
    <xf numFmtId="0" fontId="1" fillId="12" borderId="153" xfId="0" applyFont="1" applyFill="1" applyBorder="1" applyAlignment="1" applyProtection="1">
      <alignment horizontal="center" vertical="center" wrapText="1"/>
      <protection locked="0"/>
    </xf>
    <xf numFmtId="0" fontId="1" fillId="9" borderId="154" xfId="0" applyFont="1" applyFill="1" applyBorder="1" applyAlignment="1" applyProtection="1">
      <alignment horizontal="center" vertical="center" wrapText="1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155" xfId="0" applyFont="1" applyFill="1" applyBorder="1" applyAlignment="1" applyProtection="1">
      <alignment horizontal="center" vertical="center" wrapText="1"/>
    </xf>
    <xf numFmtId="0" fontId="11" fillId="5" borderId="156" xfId="0" applyFont="1" applyFill="1" applyBorder="1" applyAlignment="1" applyProtection="1">
      <alignment horizontal="center" vertical="center" wrapText="1"/>
    </xf>
    <xf numFmtId="0" fontId="11" fillId="5" borderId="157" xfId="0" applyFont="1" applyFill="1" applyBorder="1" applyAlignment="1" applyProtection="1">
      <alignment horizontal="center" vertical="center" wrapText="1"/>
    </xf>
    <xf numFmtId="0" fontId="11" fillId="9" borderId="24" xfId="0" applyFont="1" applyFill="1" applyBorder="1" applyAlignment="1" applyProtection="1">
      <alignment vertical="center" wrapText="1"/>
    </xf>
    <xf numFmtId="168" fontId="11" fillId="9" borderId="10" xfId="0" applyNumberFormat="1" applyFont="1" applyFill="1" applyBorder="1" applyAlignment="1" applyProtection="1">
      <alignment horizontal="center" vertical="center" wrapText="1"/>
    </xf>
    <xf numFmtId="168" fontId="11" fillId="9" borderId="11" xfId="0" applyNumberFormat="1" applyFont="1" applyFill="1" applyBorder="1" applyAlignment="1" applyProtection="1">
      <alignment horizontal="center" vertical="center" wrapText="1"/>
    </xf>
    <xf numFmtId="168" fontId="11" fillId="9" borderId="0" xfId="0" applyNumberFormat="1" applyFont="1" applyFill="1" applyAlignment="1" applyProtection="1">
      <alignment vertical="center"/>
    </xf>
    <xf numFmtId="168" fontId="11" fillId="9" borderId="158" xfId="0" applyNumberFormat="1" applyFont="1" applyFill="1" applyBorder="1" applyAlignment="1" applyProtection="1">
      <alignment vertical="center" wrapText="1"/>
    </xf>
    <xf numFmtId="0" fontId="14" fillId="0" borderId="71" xfId="9" applyFont="1" applyBorder="1" applyAlignment="1">
      <alignment vertical="center" wrapText="1"/>
    </xf>
    <xf numFmtId="0" fontId="14" fillId="0" borderId="72" xfId="9" applyFont="1" applyBorder="1" applyAlignment="1">
      <alignment vertical="center" wrapText="1"/>
    </xf>
    <xf numFmtId="0" fontId="14" fillId="0" borderId="74" xfId="9" applyFont="1" applyBorder="1" applyAlignment="1">
      <alignment vertical="center" wrapText="1"/>
    </xf>
    <xf numFmtId="0" fontId="26" fillId="13" borderId="161" xfId="9" applyFont="1" applyFill="1" applyBorder="1" applyAlignment="1">
      <alignment vertical="center" wrapText="1"/>
    </xf>
    <xf numFmtId="0" fontId="26" fillId="13" borderId="162" xfId="9" applyFont="1" applyFill="1" applyBorder="1" applyAlignment="1">
      <alignment vertical="center" wrapText="1"/>
    </xf>
    <xf numFmtId="0" fontId="26" fillId="13" borderId="163" xfId="9" applyFont="1" applyFill="1" applyBorder="1" applyAlignment="1">
      <alignment vertical="center" wrapText="1"/>
    </xf>
    <xf numFmtId="0" fontId="15" fillId="2" borderId="164" xfId="9" applyFont="1" applyFill="1" applyBorder="1" applyAlignment="1">
      <alignment vertical="center"/>
    </xf>
    <xf numFmtId="0" fontId="15" fillId="2" borderId="160" xfId="9" applyFont="1" applyFill="1" applyBorder="1" applyAlignment="1">
      <alignment vertical="center"/>
    </xf>
    <xf numFmtId="0" fontId="0" fillId="0" borderId="160" xfId="0" applyBorder="1"/>
    <xf numFmtId="0" fontId="1" fillId="0" borderId="79" xfId="9" applyBorder="1" applyAlignment="1">
      <alignment vertical="center"/>
    </xf>
    <xf numFmtId="0" fontId="0" fillId="0" borderId="79" xfId="9" applyFont="1" applyBorder="1" applyAlignment="1">
      <alignment vertical="center"/>
    </xf>
    <xf numFmtId="0" fontId="0" fillId="0" borderId="81" xfId="9" applyFont="1" applyBorder="1" applyAlignment="1">
      <alignment vertical="center"/>
    </xf>
    <xf numFmtId="0" fontId="1" fillId="0" borderId="81" xfId="9" applyBorder="1" applyAlignment="1">
      <alignment vertical="center"/>
    </xf>
    <xf numFmtId="0" fontId="11" fillId="3" borderId="46" xfId="9" applyFont="1" applyFill="1" applyBorder="1" applyAlignment="1">
      <alignment horizontal="center" vertical="center" wrapText="1"/>
    </xf>
    <xf numFmtId="0" fontId="61" fillId="43" borderId="0" xfId="8" applyFont="1" applyFill="1" applyAlignment="1">
      <alignment horizontal="center" vertical="center"/>
    </xf>
    <xf numFmtId="0" fontId="62" fillId="42" borderId="133" xfId="8" applyFont="1" applyFill="1" applyBorder="1" applyAlignment="1">
      <alignment vertical="center"/>
    </xf>
    <xf numFmtId="0" fontId="62" fillId="42" borderId="136" xfId="8" applyFont="1" applyFill="1" applyBorder="1" applyAlignment="1">
      <alignment vertical="center"/>
    </xf>
    <xf numFmtId="0" fontId="62" fillId="42" borderId="139" xfId="8" applyFont="1" applyFill="1" applyBorder="1" applyAlignment="1">
      <alignment vertical="center"/>
    </xf>
    <xf numFmtId="0" fontId="62" fillId="42" borderId="140" xfId="8" applyFont="1" applyFill="1" applyBorder="1" applyAlignment="1">
      <alignment vertical="center"/>
    </xf>
    <xf numFmtId="4" fontId="1" fillId="2" borderId="48" xfId="4" applyNumberFormat="1" applyFill="1" applyBorder="1" applyAlignment="1">
      <alignment horizontal="center"/>
    </xf>
    <xf numFmtId="0" fontId="1" fillId="2" borderId="48" xfId="4" applyFill="1" applyBorder="1" applyAlignment="1">
      <alignment horizontal="center"/>
    </xf>
    <xf numFmtId="4" fontId="1" fillId="2" borderId="46" xfId="4" applyNumberFormat="1" applyFill="1" applyBorder="1" applyAlignment="1">
      <alignment horizontal="center"/>
    </xf>
    <xf numFmtId="0" fontId="1" fillId="17" borderId="111" xfId="4" applyFill="1" applyBorder="1"/>
    <xf numFmtId="0" fontId="1" fillId="8" borderId="48" xfId="4" applyFill="1" applyBorder="1" applyAlignment="1">
      <alignment horizontal="center"/>
    </xf>
    <xf numFmtId="0" fontId="1" fillId="8" borderId="46" xfId="4" applyFill="1" applyBorder="1" applyAlignment="1">
      <alignment horizontal="center"/>
    </xf>
    <xf numFmtId="0" fontId="1" fillId="2" borderId="1" xfId="9" applyFill="1" applyBorder="1" applyAlignment="1">
      <alignment vertical="top" wrapText="1"/>
    </xf>
    <xf numFmtId="0" fontId="1" fillId="2" borderId="46" xfId="4" applyFill="1" applyBorder="1" applyAlignment="1">
      <alignment horizontal="center"/>
    </xf>
    <xf numFmtId="0" fontId="1" fillId="40" borderId="111" xfId="4" applyFill="1" applyBorder="1"/>
    <xf numFmtId="0" fontId="1" fillId="0" borderId="1" xfId="9" applyBorder="1" applyAlignment="1">
      <alignment vertical="top"/>
    </xf>
    <xf numFmtId="0" fontId="1" fillId="13" borderId="1" xfId="0" applyFont="1" applyFill="1" applyBorder="1" applyAlignment="1">
      <alignment vertical="center"/>
    </xf>
    <xf numFmtId="0" fontId="11" fillId="0" borderId="0" xfId="9" applyFont="1" applyAlignment="1">
      <alignment horizontal="center" vertical="center" wrapText="1"/>
    </xf>
    <xf numFmtId="0" fontId="1" fillId="2" borderId="0" xfId="9" applyFill="1" applyAlignment="1">
      <alignment vertical="center"/>
    </xf>
    <xf numFmtId="0" fontId="1" fillId="0" borderId="0" xfId="9" applyAlignment="1">
      <alignment horizontal="center" vertical="center" wrapText="1"/>
    </xf>
    <xf numFmtId="0" fontId="1" fillId="0" borderId="0" xfId="9" applyAlignment="1">
      <alignment horizontal="center" vertical="center"/>
    </xf>
    <xf numFmtId="0" fontId="1" fillId="0" borderId="6" xfId="9" applyBorder="1" applyAlignment="1">
      <alignment horizontal="center" vertical="center" wrapText="1"/>
    </xf>
    <xf numFmtId="0" fontId="1" fillId="2" borderId="8" xfId="9" quotePrefix="1" applyFill="1" applyBorder="1" applyAlignment="1">
      <alignment horizontal="center" vertical="center" wrapText="1"/>
    </xf>
    <xf numFmtId="0" fontId="1" fillId="2" borderId="8" xfId="9" applyFill="1" applyBorder="1" applyAlignment="1">
      <alignment horizontal="center" vertical="center" wrapText="1"/>
    </xf>
    <xf numFmtId="0" fontId="1" fillId="2" borderId="26" xfId="9" applyFill="1" applyBorder="1" applyAlignment="1">
      <alignment horizontal="center" vertical="center" wrapText="1"/>
    </xf>
    <xf numFmtId="0" fontId="1" fillId="0" borderId="6" xfId="9" applyBorder="1" applyAlignment="1">
      <alignment horizontal="center" vertical="center"/>
    </xf>
    <xf numFmtId="0" fontId="1" fillId="12" borderId="7" xfId="9" applyFill="1" applyBorder="1" applyAlignment="1">
      <alignment horizontal="center" vertical="center"/>
    </xf>
    <xf numFmtId="0" fontId="1" fillId="12" borderId="8" xfId="9" applyFill="1" applyBorder="1" applyAlignment="1">
      <alignment horizontal="center" vertical="center"/>
    </xf>
    <xf numFmtId="0" fontId="1" fillId="12" borderId="26" xfId="9" applyFill="1" applyBorder="1" applyAlignment="1">
      <alignment horizontal="center" vertical="center"/>
    </xf>
    <xf numFmtId="0" fontId="15" fillId="0" borderId="0" xfId="9" applyFont="1" applyAlignment="1">
      <alignment horizontal="center" vertical="center" wrapText="1"/>
    </xf>
    <xf numFmtId="0" fontId="26" fillId="9" borderId="0" xfId="9" applyFont="1" applyFill="1" applyAlignment="1">
      <alignment horizontal="center" vertical="center" wrapText="1"/>
    </xf>
    <xf numFmtId="0" fontId="1" fillId="9" borderId="0" xfId="9" applyFill="1" applyAlignment="1">
      <alignment horizontal="center" vertical="center"/>
    </xf>
    <xf numFmtId="0" fontId="1" fillId="2" borderId="0" xfId="9" applyFill="1" applyAlignment="1">
      <alignment horizontal="center" vertical="center"/>
    </xf>
    <xf numFmtId="0" fontId="23" fillId="0" borderId="0" xfId="9" applyFont="1" applyAlignment="1">
      <alignment horizontal="center" vertical="center" wrapText="1"/>
    </xf>
    <xf numFmtId="0" fontId="23" fillId="0" borderId="0" xfId="9" applyFont="1" applyAlignment="1">
      <alignment horizontal="center" vertical="center"/>
    </xf>
    <xf numFmtId="0" fontId="13" fillId="0" borderId="46" xfId="9" applyFont="1" applyBorder="1" applyAlignment="1">
      <alignment horizontal="center" vertical="center" wrapText="1"/>
    </xf>
    <xf numFmtId="0" fontId="13" fillId="0" borderId="0" xfId="9" applyFont="1" applyAlignment="1">
      <alignment horizontal="center" vertical="center" wrapText="1"/>
    </xf>
    <xf numFmtId="0" fontId="24" fillId="0" borderId="0" xfId="9" applyFont="1" applyAlignment="1">
      <alignment horizontal="center" wrapText="1"/>
    </xf>
    <xf numFmtId="4" fontId="1" fillId="0" borderId="0" xfId="4" applyNumberFormat="1" applyAlignment="1">
      <alignment horizontal="center"/>
    </xf>
    <xf numFmtId="3" fontId="1" fillId="9" borderId="46" xfId="4" applyNumberFormat="1" applyFill="1" applyBorder="1" applyAlignment="1">
      <alignment horizontal="center"/>
    </xf>
    <xf numFmtId="3" fontId="1" fillId="9" borderId="48" xfId="4" applyNumberFormat="1" applyFill="1" applyBorder="1" applyAlignment="1">
      <alignment horizontal="center"/>
    </xf>
    <xf numFmtId="3" fontId="1" fillId="8" borderId="46" xfId="4" applyNumberFormat="1" applyFill="1" applyBorder="1" applyAlignment="1">
      <alignment horizontal="center"/>
    </xf>
    <xf numFmtId="3" fontId="1" fillId="8" borderId="48" xfId="4" applyNumberFormat="1" applyFill="1" applyBorder="1" applyAlignment="1">
      <alignment horizontal="center"/>
    </xf>
    <xf numFmtId="0" fontId="1" fillId="2" borderId="8" xfId="9" applyFill="1" applyBorder="1" applyAlignment="1">
      <alignment horizontal="center" vertical="center"/>
    </xf>
    <xf numFmtId="0" fontId="1" fillId="2" borderId="26" xfId="9" applyFill="1" applyBorder="1" applyAlignment="1">
      <alignment horizontal="center" vertical="center"/>
    </xf>
    <xf numFmtId="0" fontId="13" fillId="0" borderId="47" xfId="9" applyFont="1" applyBorder="1" applyAlignment="1">
      <alignment horizontal="center" vertical="center" wrapText="1"/>
    </xf>
    <xf numFmtId="0" fontId="1" fillId="2" borderId="47" xfId="4" applyFill="1" applyBorder="1"/>
    <xf numFmtId="4" fontId="1" fillId="8" borderId="46" xfId="9" applyNumberFormat="1" applyFill="1" applyBorder="1" applyAlignment="1">
      <alignment horizontal="center"/>
    </xf>
    <xf numFmtId="0" fontId="1" fillId="8" borderId="48" xfId="9" applyFill="1" applyBorder="1" applyAlignment="1">
      <alignment horizontal="center"/>
    </xf>
    <xf numFmtId="0" fontId="1" fillId="8" borderId="47" xfId="4" applyFill="1" applyBorder="1"/>
    <xf numFmtId="0" fontId="1" fillId="2" borderId="25" xfId="9" quotePrefix="1" applyFill="1" applyBorder="1" applyAlignment="1">
      <alignment horizontal="center" vertical="center"/>
    </xf>
    <xf numFmtId="0" fontId="1" fillId="2" borderId="26" xfId="9" quotePrefix="1" applyFill="1" applyBorder="1" applyAlignment="1">
      <alignment horizontal="center" vertical="center"/>
    </xf>
    <xf numFmtId="0" fontId="1" fillId="2" borderId="25" xfId="9" applyFill="1" applyBorder="1" applyAlignment="1">
      <alignment horizontal="center" vertical="center" wrapText="1"/>
    </xf>
    <xf numFmtId="0" fontId="1" fillId="12" borderId="25" xfId="9" applyFill="1" applyBorder="1" applyAlignment="1">
      <alignment horizontal="center" vertical="center"/>
    </xf>
    <xf numFmtId="4" fontId="1" fillId="9" borderId="46" xfId="9" applyNumberFormat="1" applyFill="1" applyBorder="1" applyAlignment="1">
      <alignment horizontal="center"/>
    </xf>
    <xf numFmtId="0" fontId="1" fillId="9" borderId="110" xfId="4" applyFill="1" applyBorder="1" applyAlignment="1">
      <alignment horizontal="center"/>
    </xf>
    <xf numFmtId="3" fontId="1" fillId="2" borderId="46" xfId="4" applyNumberFormat="1" applyFill="1" applyBorder="1" applyAlignment="1">
      <alignment horizontal="center"/>
    </xf>
    <xf numFmtId="3" fontId="1" fillId="2" borderId="48" xfId="4" applyNumberFormat="1" applyFill="1" applyBorder="1" applyAlignment="1">
      <alignment horizontal="center"/>
    </xf>
    <xf numFmtId="3" fontId="1" fillId="0" borderId="0" xfId="4" applyNumberFormat="1" applyAlignment="1">
      <alignment horizontal="center"/>
    </xf>
    <xf numFmtId="4" fontId="1" fillId="41" borderId="46" xfId="9" applyNumberFormat="1" applyFill="1" applyBorder="1" applyAlignment="1">
      <alignment horizontal="center"/>
    </xf>
    <xf numFmtId="0" fontId="1" fillId="8" borderId="110" xfId="4" applyFill="1" applyBorder="1" applyAlignment="1">
      <alignment horizontal="center"/>
    </xf>
    <xf numFmtId="0" fontId="1" fillId="17" borderId="0" xfId="9" applyFill="1"/>
    <xf numFmtId="0" fontId="37" fillId="0" borderId="0" xfId="9" applyFont="1" applyAlignment="1">
      <alignment horizontal="center" vertical="center"/>
    </xf>
    <xf numFmtId="0" fontId="38" fillId="0" borderId="0" xfId="9" applyFont="1" applyAlignment="1">
      <alignment horizontal="center" vertical="center" wrapText="1"/>
    </xf>
    <xf numFmtId="0" fontId="25" fillId="0" borderId="0" xfId="9" applyFont="1"/>
    <xf numFmtId="0" fontId="1" fillId="12" borderId="0" xfId="9" applyFill="1" applyAlignment="1">
      <alignment horizontal="center" vertical="center"/>
    </xf>
    <xf numFmtId="3" fontId="1" fillId="9" borderId="0" xfId="4" applyNumberFormat="1" applyFill="1" applyAlignment="1">
      <alignment horizontal="center"/>
    </xf>
    <xf numFmtId="3" fontId="1" fillId="2" borderId="47" xfId="4" applyNumberFormat="1" applyFill="1" applyBorder="1" applyAlignment="1">
      <alignment horizontal="center"/>
    </xf>
    <xf numFmtId="3" fontId="1" fillId="9" borderId="47" xfId="4" applyNumberFormat="1" applyFill="1" applyBorder="1" applyAlignment="1">
      <alignment horizontal="center"/>
    </xf>
    <xf numFmtId="4" fontId="1" fillId="8" borderId="48" xfId="4" applyNumberFormat="1" applyFill="1" applyBorder="1" applyAlignment="1">
      <alignment horizontal="center"/>
    </xf>
    <xf numFmtId="3" fontId="1" fillId="8" borderId="0" xfId="4" applyNumberFormat="1" applyFill="1" applyAlignment="1">
      <alignment horizontal="center"/>
    </xf>
    <xf numFmtId="3" fontId="1" fillId="8" borderId="47" xfId="4" applyNumberFormat="1" applyFill="1" applyBorder="1" applyAlignment="1">
      <alignment horizontal="center"/>
    </xf>
    <xf numFmtId="3" fontId="1" fillId="0" borderId="48" xfId="4" applyNumberFormat="1" applyBorder="1" applyAlignment="1">
      <alignment horizontal="center"/>
    </xf>
    <xf numFmtId="4" fontId="4" fillId="0" borderId="0" xfId="3" applyNumberFormat="1" applyAlignment="1">
      <alignment horizontal="center"/>
    </xf>
    <xf numFmtId="2" fontId="1" fillId="9" borderId="46" xfId="6" applyNumberFormat="1" applyFont="1" applyFill="1" applyBorder="1" applyAlignment="1">
      <alignment horizontal="center" vertical="center"/>
    </xf>
    <xf numFmtId="0" fontId="1" fillId="0" borderId="0" xfId="55"/>
    <xf numFmtId="0" fontId="1" fillId="0" borderId="46" xfId="55" applyBorder="1"/>
    <xf numFmtId="0" fontId="1" fillId="0" borderId="47" xfId="55" applyBorder="1"/>
    <xf numFmtId="0" fontId="11" fillId="7" borderId="46" xfId="9" applyFont="1" applyFill="1" applyBorder="1" applyAlignment="1">
      <alignment horizontal="center" vertical="center" wrapText="1"/>
    </xf>
    <xf numFmtId="0" fontId="1" fillId="2" borderId="7" xfId="9" applyFill="1" applyBorder="1" applyAlignment="1">
      <alignment horizontal="center" vertical="center"/>
    </xf>
    <xf numFmtId="0" fontId="1" fillId="2" borderId="9" xfId="9" applyFill="1" applyBorder="1" applyAlignment="1">
      <alignment horizontal="center" vertical="center"/>
    </xf>
    <xf numFmtId="0" fontId="1" fillId="2" borderId="7" xfId="9" quotePrefix="1" applyFill="1" applyBorder="1" applyAlignment="1">
      <alignment horizontal="center" vertical="center"/>
    </xf>
    <xf numFmtId="0" fontId="1" fillId="2" borderId="9" xfId="9" quotePrefix="1" applyFill="1" applyBorder="1" applyAlignment="1">
      <alignment horizontal="center" vertical="center"/>
    </xf>
    <xf numFmtId="0" fontId="1" fillId="2" borderId="25" xfId="9" applyFill="1" applyBorder="1" applyAlignment="1">
      <alignment horizontal="center" vertical="center"/>
    </xf>
    <xf numFmtId="0" fontId="1" fillId="2" borderId="7" xfId="9" applyFill="1" applyBorder="1" applyAlignment="1">
      <alignment horizontal="center" vertical="center" wrapText="1"/>
    </xf>
    <xf numFmtId="0" fontId="1" fillId="2" borderId="9" xfId="9" applyFill="1" applyBorder="1" applyAlignment="1">
      <alignment horizontal="center" vertical="center" wrapText="1"/>
    </xf>
    <xf numFmtId="0" fontId="11" fillId="6" borderId="3" xfId="9" applyFont="1" applyFill="1" applyBorder="1" applyAlignment="1">
      <alignment horizontal="center" vertical="center" wrapText="1"/>
    </xf>
    <xf numFmtId="0" fontId="11" fillId="6" borderId="4" xfId="9" applyFont="1" applyFill="1" applyBorder="1" applyAlignment="1">
      <alignment horizontal="center" vertical="center" wrapText="1"/>
    </xf>
    <xf numFmtId="0" fontId="1" fillId="8" borderId="47" xfId="4" applyFill="1" applyBorder="1" applyAlignment="1">
      <alignment horizontal="center"/>
    </xf>
    <xf numFmtId="0" fontId="1" fillId="2" borderId="47" xfId="4" applyFill="1" applyBorder="1" applyAlignment="1">
      <alignment horizontal="center"/>
    </xf>
    <xf numFmtId="0" fontId="11" fillId="3" borderId="47" xfId="9" applyFont="1" applyFill="1" applyBorder="1" applyAlignment="1">
      <alignment horizontal="center" vertical="center" wrapText="1"/>
    </xf>
    <xf numFmtId="0" fontId="1" fillId="2" borderId="46" xfId="7" applyNumberFormat="1" applyFont="1" applyFill="1" applyBorder="1" applyAlignment="1">
      <alignment horizontal="center" vertical="center"/>
    </xf>
    <xf numFmtId="0" fontId="1" fillId="8" borderId="46" xfId="7" applyNumberFormat="1" applyFont="1" applyFill="1" applyBorder="1" applyAlignment="1">
      <alignment horizontal="center" vertical="center"/>
    </xf>
    <xf numFmtId="4" fontId="1" fillId="41" borderId="50" xfId="9" applyNumberFormat="1" applyFill="1" applyBorder="1" applyAlignment="1">
      <alignment horizontal="center"/>
    </xf>
    <xf numFmtId="0" fontId="1" fillId="41" borderId="131" xfId="4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30" fillId="47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165" fontId="1" fillId="9" borderId="11" xfId="0" applyNumberFormat="1" applyFont="1" applyFill="1" applyBorder="1" applyAlignment="1" applyProtection="1">
      <alignment horizontal="center" vertical="center" wrapText="1"/>
    </xf>
    <xf numFmtId="3" fontId="1" fillId="8" borderId="51" xfId="7" applyNumberFormat="1" applyFont="1" applyFill="1" applyBorder="1" applyAlignment="1">
      <alignment horizontal="center" vertical="center"/>
    </xf>
    <xf numFmtId="0" fontId="1" fillId="8" borderId="50" xfId="7" applyNumberFormat="1" applyFont="1" applyFill="1" applyBorder="1" applyAlignment="1">
      <alignment horizontal="center" vertical="center"/>
    </xf>
    <xf numFmtId="0" fontId="1" fillId="8" borderId="50" xfId="4" applyFill="1" applyBorder="1" applyAlignment="1">
      <alignment horizontal="center"/>
    </xf>
    <xf numFmtId="0" fontId="1" fillId="8" borderId="62" xfId="4" applyFill="1" applyBorder="1" applyAlignment="1">
      <alignment horizontal="center"/>
    </xf>
    <xf numFmtId="0" fontId="1" fillId="9" borderId="0" xfId="4" applyFill="1" applyAlignment="1">
      <alignment horizontal="center"/>
    </xf>
    <xf numFmtId="4" fontId="1" fillId="9" borderId="0" xfId="4" applyNumberFormat="1" applyFill="1" applyAlignment="1">
      <alignment horizontal="center"/>
    </xf>
    <xf numFmtId="0" fontId="1" fillId="8" borderId="51" xfId="4" applyFill="1" applyBorder="1" applyAlignment="1">
      <alignment horizontal="center"/>
    </xf>
    <xf numFmtId="3" fontId="4" fillId="8" borderId="50" xfId="3" applyNumberFormat="1" applyFill="1" applyBorder="1" applyAlignment="1">
      <alignment horizontal="center"/>
    </xf>
    <xf numFmtId="3" fontId="4" fillId="8" borderId="62" xfId="3" applyNumberFormat="1" applyFill="1" applyBorder="1" applyAlignment="1">
      <alignment horizontal="center"/>
    </xf>
    <xf numFmtId="3" fontId="4" fillId="9" borderId="76" xfId="3" applyNumberFormat="1" applyFill="1" applyBorder="1" applyAlignment="1">
      <alignment horizontal="center"/>
    </xf>
    <xf numFmtId="3" fontId="4" fillId="9" borderId="78" xfId="3" applyNumberFormat="1" applyFill="1" applyBorder="1" applyAlignment="1">
      <alignment horizontal="center"/>
    </xf>
    <xf numFmtId="3" fontId="4" fillId="9" borderId="77" xfId="3" applyNumberFormat="1" applyFill="1" applyBorder="1" applyAlignment="1">
      <alignment horizontal="center"/>
    </xf>
    <xf numFmtId="0" fontId="69" fillId="0" borderId="1" xfId="0" applyFont="1" applyBorder="1" applyAlignment="1">
      <alignment horizontal="center" vertical="center"/>
    </xf>
    <xf numFmtId="6" fontId="0" fillId="49" borderId="0" xfId="0" applyNumberFormat="1" applyFill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</xf>
    <xf numFmtId="0" fontId="0" fillId="9" borderId="1" xfId="0" applyFill="1" applyBorder="1" applyAlignment="1" applyProtection="1">
      <alignment horizontal="center" vertical="center"/>
    </xf>
    <xf numFmtId="0" fontId="1" fillId="50" borderId="1" xfId="0" applyFont="1" applyFill="1" applyBorder="1" applyAlignment="1" applyProtection="1">
      <alignment horizontal="center" vertical="center"/>
    </xf>
    <xf numFmtId="0" fontId="1" fillId="50" borderId="1" xfId="0" applyFont="1" applyFill="1" applyBorder="1" applyAlignment="1" applyProtection="1">
      <alignment horizontal="center" vertical="center" wrapText="1"/>
    </xf>
    <xf numFmtId="18" fontId="1" fillId="50" borderId="1" xfId="0" applyNumberFormat="1" applyFont="1" applyFill="1" applyBorder="1" applyAlignment="1" applyProtection="1">
      <alignment horizontal="center" vertical="center" wrapText="1"/>
    </xf>
    <xf numFmtId="43" fontId="11" fillId="6" borderId="1" xfId="0" applyNumberFormat="1" applyFont="1" applyFill="1" applyBorder="1" applyAlignment="1" applyProtection="1">
      <alignment horizontal="center" vertical="center" wrapText="1"/>
    </xf>
    <xf numFmtId="0" fontId="1" fillId="2" borderId="47" xfId="4" applyFill="1" applyBorder="1" applyAlignment="1">
      <alignment horizontal="center" vertical="center"/>
    </xf>
    <xf numFmtId="0" fontId="1" fillId="17" borderId="110" xfId="4" applyFill="1" applyBorder="1" applyAlignment="1">
      <alignment horizontal="center"/>
    </xf>
    <xf numFmtId="0" fontId="1" fillId="0" borderId="0" xfId="4" applyAlignment="1">
      <alignment horizontal="center"/>
    </xf>
    <xf numFmtId="0" fontId="1" fillId="0" borderId="0" xfId="7" applyNumberFormat="1" applyFont="1" applyFill="1" applyBorder="1" applyAlignment="1">
      <alignment horizontal="center" vertical="center"/>
    </xf>
    <xf numFmtId="0" fontId="12" fillId="9" borderId="0" xfId="4" applyFont="1" applyFill="1" applyAlignment="1">
      <alignment horizontal="left"/>
    </xf>
    <xf numFmtId="0" fontId="1" fillId="9" borderId="0" xfId="7" applyNumberFormat="1" applyFont="1" applyFill="1" applyBorder="1" applyAlignment="1">
      <alignment horizontal="center" vertical="center"/>
    </xf>
    <xf numFmtId="0" fontId="4" fillId="9" borderId="0" xfId="3" applyFill="1" applyAlignment="1">
      <alignment horizontal="center"/>
    </xf>
    <xf numFmtId="0" fontId="70" fillId="0" borderId="0" xfId="56" applyFont="1" applyAlignment="1">
      <alignment horizontal="center"/>
    </xf>
    <xf numFmtId="1" fontId="1" fillId="2" borderId="0" xfId="9" applyNumberFormat="1" applyFill="1"/>
    <xf numFmtId="0" fontId="1" fillId="40" borderId="110" xfId="9" applyFill="1" applyBorder="1" applyAlignment="1">
      <alignment horizontal="center"/>
    </xf>
    <xf numFmtId="0" fontId="4" fillId="9" borderId="83" xfId="3" applyFill="1" applyBorder="1" applyAlignment="1">
      <alignment horizontal="center"/>
    </xf>
    <xf numFmtId="0" fontId="4" fillId="8" borderId="51" xfId="3" applyFill="1" applyBorder="1" applyAlignment="1">
      <alignment horizontal="center"/>
    </xf>
    <xf numFmtId="3" fontId="4" fillId="0" borderId="0" xfId="3" applyNumberFormat="1" applyAlignment="1">
      <alignment horizontal="center"/>
    </xf>
    <xf numFmtId="3" fontId="4" fillId="2" borderId="83" xfId="3" applyNumberFormat="1" applyFill="1" applyBorder="1" applyAlignment="1">
      <alignment horizontal="center"/>
    </xf>
    <xf numFmtId="4" fontId="4" fillId="0" borderId="48" xfId="3" applyNumberFormat="1" applyBorder="1" applyAlignment="1">
      <alignment horizontal="center"/>
    </xf>
    <xf numFmtId="3" fontId="4" fillId="0" borderId="48" xfId="3" applyNumberFormat="1" applyBorder="1" applyAlignment="1">
      <alignment horizontal="center"/>
    </xf>
    <xf numFmtId="0" fontId="1" fillId="0" borderId="0" xfId="9" applyAlignment="1">
      <alignment horizontal="center"/>
    </xf>
    <xf numFmtId="1" fontId="1" fillId="0" borderId="0" xfId="7" applyNumberFormat="1" applyFont="1" applyFill="1" applyBorder="1" applyAlignment="1">
      <alignment horizontal="center" vertical="center"/>
    </xf>
    <xf numFmtId="0" fontId="65" fillId="45" borderId="173" xfId="0" applyFont="1" applyFill="1" applyBorder="1" applyAlignment="1">
      <alignment horizontal="left"/>
    </xf>
    <xf numFmtId="6" fontId="68" fillId="0" borderId="174" xfId="0" applyNumberFormat="1" applyFont="1" applyFill="1" applyBorder="1" applyAlignment="1">
      <alignment horizontal="center" vertical="center" wrapText="1"/>
    </xf>
    <xf numFmtId="6" fontId="68" fillId="0" borderId="166" xfId="0" applyNumberFormat="1" applyFont="1" applyFill="1" applyBorder="1" applyAlignment="1">
      <alignment horizontal="center" vertical="center" wrapText="1"/>
    </xf>
    <xf numFmtId="6" fontId="68" fillId="0" borderId="166" xfId="0" applyNumberFormat="1" applyFont="1" applyBorder="1" applyAlignment="1">
      <alignment horizontal="center" vertical="center" wrapText="1"/>
    </xf>
    <xf numFmtId="6" fontId="68" fillId="0" borderId="172" xfId="0" applyNumberFormat="1" applyFont="1" applyBorder="1" applyAlignment="1">
      <alignment horizontal="center" vertical="center" wrapText="1"/>
    </xf>
    <xf numFmtId="6" fontId="68" fillId="0" borderId="175" xfId="0" applyNumberFormat="1" applyFont="1" applyBorder="1" applyAlignment="1">
      <alignment horizontal="center" vertical="center" wrapText="1"/>
    </xf>
    <xf numFmtId="6" fontId="68" fillId="0" borderId="176" xfId="0" applyNumberFormat="1" applyFont="1" applyBorder="1" applyAlignment="1">
      <alignment horizontal="center" vertical="center" wrapText="1"/>
    </xf>
    <xf numFmtId="0" fontId="72" fillId="14" borderId="177" xfId="0" applyFont="1" applyFill="1" applyBorder="1" applyAlignment="1">
      <alignment horizontal="center" vertical="center" wrapText="1"/>
    </xf>
    <xf numFmtId="0" fontId="72" fillId="14" borderId="178" xfId="0" applyFont="1" applyFill="1" applyBorder="1" applyAlignment="1">
      <alignment horizontal="center" vertical="center" wrapText="1"/>
    </xf>
    <xf numFmtId="0" fontId="71" fillId="0" borderId="0" xfId="0" applyFont="1" applyAlignment="1">
      <alignment vertical="center" wrapText="1"/>
    </xf>
    <xf numFmtId="6" fontId="0" fillId="0" borderId="0" xfId="0" applyNumberFormat="1" applyAlignment="1">
      <alignment vertical="center"/>
    </xf>
    <xf numFmtId="43" fontId="11" fillId="9" borderId="1" xfId="0" applyNumberFormat="1" applyFont="1" applyFill="1" applyBorder="1" applyAlignment="1" applyProtection="1">
      <alignment vertical="center" wrapText="1"/>
    </xf>
    <xf numFmtId="0" fontId="69" fillId="9" borderId="1" xfId="0" applyFont="1" applyFill="1" applyBorder="1" applyAlignment="1">
      <alignment horizontal="center" vertical="center"/>
    </xf>
    <xf numFmtId="0" fontId="60" fillId="42" borderId="147" xfId="0" applyFont="1" applyFill="1" applyBorder="1" applyAlignment="1">
      <alignment horizontal="center" wrapText="1" readingOrder="1"/>
    </xf>
    <xf numFmtId="0" fontId="73" fillId="9" borderId="180" xfId="1" applyFont="1" applyFill="1" applyBorder="1" applyAlignment="1">
      <alignment horizontal="center" vertical="center"/>
    </xf>
    <xf numFmtId="169" fontId="74" fillId="0" borderId="180" xfId="1" applyNumberFormat="1" applyFont="1" applyBorder="1" applyAlignment="1">
      <alignment horizontal="center" vertical="center"/>
    </xf>
    <xf numFmtId="0" fontId="60" fillId="46" borderId="147" xfId="0" applyFont="1" applyFill="1" applyBorder="1" applyAlignment="1">
      <alignment horizontal="center" vertical="center" wrapText="1" readingOrder="1"/>
    </xf>
    <xf numFmtId="0" fontId="75" fillId="0" borderId="0" xfId="0" applyFont="1" applyAlignment="1">
      <alignment vertical="center" wrapText="1"/>
    </xf>
    <xf numFmtId="6" fontId="76" fillId="0" borderId="179" xfId="0" applyNumberFormat="1" applyFont="1" applyBorder="1" applyAlignment="1">
      <alignment horizontal="center" vertical="center" wrapText="1"/>
    </xf>
    <xf numFmtId="6" fontId="76" fillId="0" borderId="183" xfId="0" applyNumberFormat="1" applyFont="1" applyBorder="1" applyAlignment="1">
      <alignment horizontal="center" vertical="center" wrapText="1"/>
    </xf>
    <xf numFmtId="6" fontId="76" fillId="0" borderId="184" xfId="0" applyNumberFormat="1" applyFont="1" applyBorder="1" applyAlignment="1">
      <alignment horizontal="center" vertical="center" wrapText="1"/>
    </xf>
    <xf numFmtId="10" fontId="71" fillId="0" borderId="0" xfId="0" applyNumberFormat="1" applyFont="1" applyAlignment="1">
      <alignment vertical="center" wrapText="1"/>
    </xf>
    <xf numFmtId="6" fontId="76" fillId="0" borderId="0" xfId="0" applyNumberFormat="1" applyFont="1" applyBorder="1" applyAlignment="1">
      <alignment horizontal="center" vertical="center" wrapText="1"/>
    </xf>
    <xf numFmtId="0" fontId="76" fillId="0" borderId="149" xfId="0" applyFont="1" applyBorder="1" applyAlignment="1">
      <alignment horizontal="center" vertical="center" wrapText="1"/>
    </xf>
    <xf numFmtId="0" fontId="76" fillId="0" borderId="149" xfId="0" quotePrefix="1" applyFont="1" applyBorder="1" applyAlignment="1">
      <alignment horizontal="center" vertical="center" wrapText="1"/>
    </xf>
    <xf numFmtId="164" fontId="0" fillId="9" borderId="0" xfId="0" applyNumberFormat="1" applyFill="1" applyBorder="1" applyAlignment="1" applyProtection="1">
      <alignment horizontal="center" vertical="center" wrapText="1"/>
    </xf>
    <xf numFmtId="0" fontId="0" fillId="0" borderId="177" xfId="0" applyBorder="1" applyAlignment="1">
      <alignment horizontal="center" vertical="center"/>
    </xf>
    <xf numFmtId="0" fontId="79" fillId="0" borderId="132" xfId="0" applyFont="1" applyBorder="1" applyAlignment="1">
      <alignment horizontal="center" vertical="center" wrapText="1" readingOrder="1"/>
    </xf>
    <xf numFmtId="171" fontId="0" fillId="51" borderId="187" xfId="0" applyNumberFormat="1" applyFill="1" applyBorder="1" applyAlignment="1" applyProtection="1">
      <alignment horizontal="center" wrapText="1"/>
    </xf>
    <xf numFmtId="0" fontId="11" fillId="0" borderId="0" xfId="0" applyFont="1" applyAlignment="1">
      <alignment horizontal="center" vertical="center"/>
    </xf>
    <xf numFmtId="172" fontId="11" fillId="5" borderId="1" xfId="0" applyNumberFormat="1" applyFont="1" applyFill="1" applyBorder="1" applyAlignment="1" applyProtection="1">
      <alignment horizontal="center" vertical="center" wrapText="1"/>
    </xf>
    <xf numFmtId="0" fontId="1" fillId="48" borderId="170" xfId="58" applyNumberFormat="1" applyFont="1" applyFill="1" applyBorder="1" applyAlignment="1">
      <alignment horizontal="center" vertical="center"/>
    </xf>
    <xf numFmtId="0" fontId="1" fillId="9" borderId="83" xfId="58" applyNumberFormat="1" applyFont="1" applyFill="1" applyBorder="1" applyAlignment="1">
      <alignment horizontal="center" vertical="center"/>
    </xf>
    <xf numFmtId="0" fontId="73" fillId="5" borderId="180" xfId="1" applyFont="1" applyFill="1" applyBorder="1" applyAlignment="1">
      <alignment horizontal="center" vertical="center"/>
    </xf>
    <xf numFmtId="169" fontId="74" fillId="5" borderId="180" xfId="1" applyNumberFormat="1" applyFont="1" applyFill="1" applyBorder="1" applyAlignment="1">
      <alignment horizontal="center" vertical="center"/>
    </xf>
    <xf numFmtId="6" fontId="30" fillId="0" borderId="1" xfId="0" applyNumberFormat="1" applyFont="1" applyBorder="1" applyAlignment="1">
      <alignment vertical="center"/>
    </xf>
    <xf numFmtId="0" fontId="32" fillId="10" borderId="10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0" fillId="47" borderId="190" xfId="0" applyFont="1" applyFill="1" applyBorder="1" applyAlignment="1">
      <alignment vertical="center"/>
    </xf>
    <xf numFmtId="173" fontId="30" fillId="47" borderId="190" xfId="0" applyNumberFormat="1" applyFont="1" applyFill="1" applyBorder="1" applyAlignment="1">
      <alignment vertical="center"/>
    </xf>
    <xf numFmtId="0" fontId="30" fillId="47" borderId="191" xfId="0" applyFont="1" applyFill="1" applyBorder="1" applyAlignment="1">
      <alignment vertical="center"/>
    </xf>
    <xf numFmtId="6" fontId="30" fillId="0" borderId="190" xfId="0" applyNumberFormat="1" applyFont="1" applyBorder="1" applyAlignment="1">
      <alignment vertical="center"/>
    </xf>
    <xf numFmtId="173" fontId="30" fillId="0" borderId="190" xfId="0" applyNumberFormat="1" applyFont="1" applyBorder="1" applyAlignment="1">
      <alignment vertical="center"/>
    </xf>
    <xf numFmtId="0" fontId="30" fillId="0" borderId="191" xfId="0" applyFont="1" applyBorder="1" applyAlignment="1">
      <alignment vertical="center"/>
    </xf>
    <xf numFmtId="0" fontId="25" fillId="9" borderId="0" xfId="0" applyFont="1" applyFill="1" applyAlignment="1" applyProtection="1">
      <alignment horizontal="center" vertical="center" wrapText="1"/>
    </xf>
    <xf numFmtId="0" fontId="29" fillId="9" borderId="0" xfId="0" applyFont="1" applyFill="1" applyAlignment="1" applyProtection="1">
      <alignment horizontal="center" vertical="center" wrapText="1"/>
    </xf>
    <xf numFmtId="0" fontId="1" fillId="12" borderId="189" xfId="0" applyFont="1" applyFill="1" applyBorder="1" applyAlignment="1" applyProtection="1">
      <alignment horizontal="center" vertical="center" wrapText="1"/>
      <protection locked="0"/>
    </xf>
    <xf numFmtId="6" fontId="1" fillId="9" borderId="0" xfId="0" applyNumberFormat="1" applyFont="1" applyFill="1" applyBorder="1" applyAlignment="1" applyProtection="1">
      <alignment horizontal="center" vertical="center" wrapText="1"/>
    </xf>
    <xf numFmtId="0" fontId="4" fillId="9" borderId="48" xfId="3" applyFill="1" applyBorder="1" applyAlignment="1">
      <alignment horizontal="center"/>
    </xf>
    <xf numFmtId="6" fontId="65" fillId="5" borderId="1" xfId="0" applyNumberFormat="1" applyFont="1" applyFill="1" applyBorder="1" applyAlignment="1">
      <alignment horizontal="center" vertical="center"/>
    </xf>
    <xf numFmtId="170" fontId="80" fillId="2" borderId="0" xfId="1" applyNumberFormat="1" applyFont="1" applyFill="1" applyAlignment="1">
      <alignment vertical="center" wrapText="1"/>
    </xf>
    <xf numFmtId="170" fontId="74" fillId="2" borderId="0" xfId="1" applyNumberFormat="1" applyFont="1" applyFill="1" applyAlignment="1">
      <alignment vertical="center" wrapText="1"/>
    </xf>
    <xf numFmtId="0" fontId="82" fillId="9" borderId="0" xfId="1" applyFont="1" applyFill="1" applyAlignment="1">
      <alignment vertical="center"/>
    </xf>
    <xf numFmtId="170" fontId="83" fillId="9" borderId="0" xfId="1" applyNumberFormat="1" applyFont="1" applyFill="1" applyAlignment="1">
      <alignment horizontal="center" vertical="center"/>
    </xf>
    <xf numFmtId="170" fontId="82" fillId="2" borderId="0" xfId="1" applyNumberFormat="1" applyFont="1" applyFill="1" applyAlignment="1">
      <alignment horizontal="center" vertical="center"/>
    </xf>
    <xf numFmtId="170" fontId="83" fillId="2" borderId="0" xfId="1" applyNumberFormat="1" applyFont="1" applyFill="1" applyAlignment="1">
      <alignment vertical="center"/>
    </xf>
    <xf numFmtId="0" fontId="82" fillId="0" borderId="0" xfId="1" applyFont="1" applyAlignment="1">
      <alignment vertical="center"/>
    </xf>
    <xf numFmtId="170" fontId="83" fillId="2" borderId="0" xfId="1" applyNumberFormat="1" applyFont="1" applyFill="1" applyAlignment="1">
      <alignment horizontal="center" vertical="center"/>
    </xf>
    <xf numFmtId="170" fontId="74" fillId="9" borderId="0" xfId="1" applyNumberFormat="1" applyFont="1" applyFill="1" applyAlignment="1">
      <alignment horizontal="center" vertical="center"/>
    </xf>
    <xf numFmtId="0" fontId="82" fillId="9" borderId="0" xfId="1" applyFont="1" applyFill="1" applyAlignment="1">
      <alignment horizontal="left" vertical="center" wrapText="1"/>
    </xf>
    <xf numFmtId="170" fontId="74" fillId="0" borderId="0" xfId="1" applyNumberFormat="1" applyFont="1" applyAlignment="1">
      <alignment horizontal="center" vertical="center"/>
    </xf>
    <xf numFmtId="0" fontId="82" fillId="0" borderId="0" xfId="1" applyFont="1" applyAlignment="1">
      <alignment vertical="center" wrapText="1"/>
    </xf>
    <xf numFmtId="170" fontId="84" fillId="9" borderId="0" xfId="1" applyNumberFormat="1" applyFont="1" applyFill="1" applyAlignment="1">
      <alignment horizontal="center" vertical="center"/>
    </xf>
    <xf numFmtId="49" fontId="11" fillId="2" borderId="0" xfId="9" applyNumberFormat="1" applyFont="1" applyFill="1" applyAlignment="1">
      <alignment horizontal="center" vertical="center"/>
    </xf>
    <xf numFmtId="0" fontId="31" fillId="2" borderId="7" xfId="9" applyFont="1" applyFill="1" applyBorder="1" applyAlignment="1">
      <alignment horizontal="center" vertical="center"/>
    </xf>
    <xf numFmtId="0" fontId="31" fillId="2" borderId="8" xfId="9" applyFont="1" applyFill="1" applyBorder="1" applyAlignment="1">
      <alignment horizontal="center" vertical="center"/>
    </xf>
    <xf numFmtId="0" fontId="31" fillId="2" borderId="25" xfId="9" applyFont="1" applyFill="1" applyBorder="1" applyAlignment="1">
      <alignment horizontal="center" vertical="center"/>
    </xf>
    <xf numFmtId="0" fontId="31" fillId="2" borderId="26" xfId="9" applyFont="1" applyFill="1" applyBorder="1" applyAlignment="1">
      <alignment horizontal="center" vertical="center"/>
    </xf>
    <xf numFmtId="0" fontId="85" fillId="0" borderId="0" xfId="59"/>
    <xf numFmtId="0" fontId="31" fillId="0" borderId="0" xfId="9" applyFont="1" applyAlignment="1">
      <alignment horizontal="center" vertical="center"/>
    </xf>
    <xf numFmtId="0" fontId="56" fillId="2" borderId="0" xfId="9" applyFont="1" applyFill="1" applyAlignment="1">
      <alignment horizontal="center"/>
    </xf>
    <xf numFmtId="3" fontId="88" fillId="2" borderId="0" xfId="9" applyNumberFormat="1" applyFont="1" applyFill="1" applyAlignment="1">
      <alignment horizontal="center"/>
    </xf>
    <xf numFmtId="0" fontId="85" fillId="0" borderId="46" xfId="59" applyBorder="1"/>
    <xf numFmtId="0" fontId="85" fillId="0" borderId="47" xfId="59" applyBorder="1"/>
    <xf numFmtId="0" fontId="25" fillId="0" borderId="0" xfId="59" applyFont="1"/>
    <xf numFmtId="165" fontId="38" fillId="9" borderId="0" xfId="0" applyNumberFormat="1" applyFont="1" applyFill="1" applyBorder="1" applyAlignment="1" applyProtection="1">
      <alignment horizontal="center" vertical="center" wrapText="1"/>
    </xf>
    <xf numFmtId="3" fontId="1" fillId="9" borderId="0" xfId="0" applyNumberFormat="1" applyFont="1" applyFill="1" applyAlignment="1" applyProtection="1">
      <alignment vertical="center" wrapText="1"/>
    </xf>
    <xf numFmtId="164" fontId="1" fillId="46" borderId="190" xfId="0" applyNumberFormat="1" applyFont="1" applyFill="1" applyBorder="1" applyAlignment="1" applyProtection="1">
      <alignment horizontal="center" wrapText="1"/>
    </xf>
    <xf numFmtId="165" fontId="1" fillId="9" borderId="23" xfId="0" applyNumberFormat="1" applyFont="1" applyFill="1" applyBorder="1" applyAlignment="1" applyProtection="1">
      <alignment vertical="center" wrapText="1"/>
    </xf>
    <xf numFmtId="165" fontId="1" fillId="9" borderId="190" xfId="0" applyNumberFormat="1" applyFont="1" applyFill="1" applyBorder="1" applyAlignment="1" applyProtection="1">
      <alignment vertical="center" wrapText="1"/>
    </xf>
    <xf numFmtId="165" fontId="1" fillId="9" borderId="13" xfId="0" applyNumberFormat="1" applyFont="1" applyFill="1" applyBorder="1" applyAlignment="1" applyProtection="1">
      <alignment vertical="center" wrapText="1"/>
    </xf>
    <xf numFmtId="0" fontId="1" fillId="12" borderId="192" xfId="0" applyFont="1" applyFill="1" applyBorder="1" applyAlignment="1" applyProtection="1">
      <alignment horizontal="center" vertical="center" wrapText="1"/>
      <protection locked="0"/>
    </xf>
    <xf numFmtId="165" fontId="1" fillId="9" borderId="192" xfId="0" applyNumberFormat="1" applyFont="1" applyFill="1" applyBorder="1" applyAlignment="1" applyProtection="1">
      <alignment vertical="center" wrapText="1"/>
    </xf>
    <xf numFmtId="165" fontId="11" fillId="9" borderId="14" xfId="0" applyNumberFormat="1" applyFont="1" applyFill="1" applyBorder="1" applyAlignment="1" applyProtection="1">
      <alignment horizontal="center" vertical="center" wrapText="1"/>
    </xf>
    <xf numFmtId="165" fontId="11" fillId="46" borderId="190" xfId="0" applyNumberFormat="1" applyFont="1" applyFill="1" applyBorder="1" applyAlignment="1" applyProtection="1">
      <alignment horizontal="center" vertical="center" wrapText="1"/>
    </xf>
    <xf numFmtId="165" fontId="11" fillId="46" borderId="79" xfId="0" applyNumberFormat="1" applyFont="1" applyFill="1" applyBorder="1" applyAlignment="1" applyProtection="1">
      <alignment horizontal="center" vertical="center" wrapText="1"/>
    </xf>
    <xf numFmtId="0" fontId="14" fillId="2" borderId="69" xfId="9" applyFont="1" applyFill="1" applyBorder="1" applyAlignment="1">
      <alignment horizontal="center" vertical="center"/>
    </xf>
    <xf numFmtId="0" fontId="14" fillId="0" borderId="75" xfId="9" applyFont="1" applyBorder="1" applyAlignment="1">
      <alignment horizontal="center" vertical="center" wrapText="1"/>
    </xf>
    <xf numFmtId="0" fontId="14" fillId="0" borderId="71" xfId="9" applyFont="1" applyBorder="1" applyAlignment="1">
      <alignment horizontal="center" vertical="center" wrapText="1"/>
    </xf>
    <xf numFmtId="0" fontId="14" fillId="0" borderId="0" xfId="9" applyFont="1" applyAlignment="1">
      <alignment horizontal="center" vertical="center" wrapText="1"/>
    </xf>
    <xf numFmtId="0" fontId="14" fillId="0" borderId="72" xfId="9" applyFont="1" applyBorder="1" applyAlignment="1">
      <alignment horizontal="center" vertical="center" wrapText="1"/>
    </xf>
    <xf numFmtId="0" fontId="14" fillId="0" borderId="69" xfId="9" applyFont="1" applyBorder="1" applyAlignment="1">
      <alignment horizontal="center" vertical="center" wrapText="1"/>
    </xf>
    <xf numFmtId="0" fontId="14" fillId="0" borderId="74" xfId="9" applyFont="1" applyBorder="1" applyAlignment="1">
      <alignment horizontal="center" vertical="center" wrapText="1"/>
    </xf>
    <xf numFmtId="0" fontId="27" fillId="0" borderId="0" xfId="9" applyFont="1" applyAlignment="1">
      <alignment horizontal="left" vertical="center"/>
    </xf>
    <xf numFmtId="0" fontId="11" fillId="5" borderId="79" xfId="0" applyFont="1" applyFill="1" applyBorder="1" applyAlignment="1" applyProtection="1">
      <alignment horizontal="center" vertical="center" wrapText="1"/>
    </xf>
    <xf numFmtId="0" fontId="11" fillId="15" borderId="190" xfId="0" applyFont="1" applyFill="1" applyBorder="1" applyAlignment="1" applyProtection="1">
      <alignment horizontal="center" vertical="center" wrapText="1"/>
    </xf>
    <xf numFmtId="0" fontId="1" fillId="15" borderId="188" xfId="0" applyFont="1" applyFill="1" applyBorder="1" applyAlignment="1" applyProtection="1">
      <alignment vertical="center" wrapText="1"/>
    </xf>
    <xf numFmtId="0" fontId="11" fillId="15" borderId="60" xfId="0" applyFont="1" applyFill="1" applyBorder="1" applyAlignment="1" applyProtection="1">
      <alignment horizontal="center" vertical="center" wrapText="1"/>
    </xf>
    <xf numFmtId="0" fontId="11" fillId="6" borderId="57" xfId="0" applyFont="1" applyFill="1" applyBorder="1" applyAlignment="1" applyProtection="1">
      <alignment horizontal="left" vertical="center" wrapText="1"/>
    </xf>
    <xf numFmtId="0" fontId="11" fillId="6" borderId="188" xfId="0" applyFont="1" applyFill="1" applyBorder="1" applyAlignment="1" applyProtection="1">
      <alignment vertical="center" wrapText="1"/>
    </xf>
    <xf numFmtId="0" fontId="1" fillId="12" borderId="194" xfId="0" applyFont="1" applyFill="1" applyBorder="1" applyAlignment="1" applyProtection="1">
      <alignment horizontal="center" vertical="center"/>
      <protection locked="0"/>
    </xf>
    <xf numFmtId="0" fontId="11" fillId="5" borderId="190" xfId="0" applyFont="1" applyFill="1" applyBorder="1" applyAlignment="1" applyProtection="1">
      <alignment horizontal="center" vertical="center" wrapText="1"/>
    </xf>
    <xf numFmtId="0" fontId="11" fillId="46" borderId="190" xfId="0" applyFont="1" applyFill="1" applyBorder="1" applyAlignment="1" applyProtection="1">
      <alignment horizontal="center" vertical="center" wrapText="1"/>
    </xf>
    <xf numFmtId="0" fontId="1" fillId="12" borderId="190" xfId="0" applyFont="1" applyFill="1" applyBorder="1" applyAlignment="1" applyProtection="1">
      <alignment horizontal="center" vertical="center" wrapText="1"/>
      <protection locked="0"/>
    </xf>
    <xf numFmtId="0" fontId="1" fillId="12" borderId="190" xfId="0" applyFont="1" applyFill="1" applyBorder="1" applyAlignment="1" applyProtection="1">
      <alignment horizontal="center" vertical="center"/>
      <protection locked="0"/>
    </xf>
    <xf numFmtId="43" fontId="11" fillId="9" borderId="195" xfId="0" applyNumberFormat="1" applyFont="1" applyFill="1" applyBorder="1" applyAlignment="1" applyProtection="1">
      <alignment horizontal="center" vertical="center" wrapText="1"/>
    </xf>
    <xf numFmtId="0" fontId="3" fillId="5" borderId="52" xfId="0" applyFont="1" applyFill="1" applyBorder="1" applyAlignment="1" applyProtection="1">
      <alignment horizontal="center" vertical="center" wrapText="1"/>
    </xf>
    <xf numFmtId="0" fontId="11" fillId="5" borderId="53" xfId="0" applyFont="1" applyFill="1" applyBorder="1" applyAlignment="1" applyProtection="1">
      <alignment vertical="center" wrapText="1"/>
    </xf>
    <xf numFmtId="0" fontId="38" fillId="5" borderId="53" xfId="0" applyFont="1" applyFill="1" applyBorder="1" applyAlignment="1" applyProtection="1">
      <alignment vertical="center" wrapText="1"/>
    </xf>
    <xf numFmtId="14" fontId="56" fillId="5" borderId="53" xfId="0" applyNumberFormat="1" applyFont="1" applyFill="1" applyBorder="1" applyAlignment="1" applyProtection="1">
      <alignment vertical="center" wrapText="1"/>
    </xf>
    <xf numFmtId="0" fontId="0" fillId="5" borderId="53" xfId="0" applyFill="1" applyBorder="1" applyAlignment="1" applyProtection="1">
      <alignment vertical="center" wrapText="1"/>
    </xf>
    <xf numFmtId="0" fontId="0" fillId="5" borderId="54" xfId="0" applyFill="1" applyBorder="1" applyAlignment="1" applyProtection="1">
      <alignment vertical="center" wrapText="1"/>
    </xf>
    <xf numFmtId="0" fontId="38" fillId="5" borderId="0" xfId="0" applyFont="1" applyFill="1" applyBorder="1" applyAlignment="1" applyProtection="1">
      <alignment horizontal="center" vertical="center" wrapText="1"/>
    </xf>
    <xf numFmtId="0" fontId="0" fillId="5" borderId="0" xfId="0" applyFill="1" applyBorder="1" applyAlignment="1" applyProtection="1">
      <alignment vertical="center" wrapText="1"/>
    </xf>
    <xf numFmtId="0" fontId="0" fillId="5" borderId="56" xfId="0" applyFill="1" applyBorder="1" applyAlignment="1" applyProtection="1">
      <alignment vertical="center" wrapText="1"/>
    </xf>
    <xf numFmtId="0" fontId="11" fillId="5" borderId="185" xfId="0" applyFont="1" applyFill="1" applyBorder="1" applyAlignment="1" applyProtection="1">
      <alignment horizontal="center" vertical="center" wrapText="1"/>
    </xf>
    <xf numFmtId="0" fontId="0" fillId="5" borderId="58" xfId="0" applyFill="1" applyBorder="1" applyAlignment="1" applyProtection="1">
      <alignment vertical="center" wrapText="1"/>
    </xf>
    <xf numFmtId="0" fontId="0" fillId="5" borderId="59" xfId="0" applyFill="1" applyBorder="1" applyAlignment="1" applyProtection="1">
      <alignment vertical="center" wrapText="1"/>
    </xf>
    <xf numFmtId="0" fontId="0" fillId="5" borderId="60" xfId="0" applyFill="1" applyBorder="1" applyAlignment="1" applyProtection="1">
      <alignment vertical="center" wrapText="1"/>
    </xf>
    <xf numFmtId="0" fontId="0" fillId="50" borderId="53" xfId="0" applyFill="1" applyBorder="1" applyAlignment="1" applyProtection="1">
      <alignment vertical="center" wrapText="1"/>
    </xf>
    <xf numFmtId="0" fontId="11" fillId="50" borderId="53" xfId="0" applyFont="1" applyFill="1" applyBorder="1" applyAlignment="1" applyProtection="1">
      <alignment vertical="center" wrapText="1"/>
    </xf>
    <xf numFmtId="0" fontId="11" fillId="50" borderId="53" xfId="0" applyFont="1" applyFill="1" applyBorder="1" applyAlignment="1" applyProtection="1">
      <alignment vertical="center"/>
    </xf>
    <xf numFmtId="0" fontId="0" fillId="50" borderId="53" xfId="0" applyFill="1" applyBorder="1" applyAlignment="1" applyProtection="1">
      <alignment vertical="center"/>
    </xf>
    <xf numFmtId="0" fontId="11" fillId="50" borderId="53" xfId="0" applyFont="1" applyFill="1" applyBorder="1" applyAlignment="1" applyProtection="1">
      <alignment horizontal="center" vertical="center"/>
    </xf>
    <xf numFmtId="0" fontId="11" fillId="50" borderId="54" xfId="0" applyFont="1" applyFill="1" applyBorder="1" applyAlignment="1" applyProtection="1">
      <alignment vertical="center" wrapText="1"/>
    </xf>
    <xf numFmtId="0" fontId="11" fillId="50" borderId="56" xfId="0" applyFont="1" applyFill="1" applyBorder="1" applyAlignment="1" applyProtection="1">
      <alignment vertical="center" wrapText="1"/>
    </xf>
    <xf numFmtId="0" fontId="11" fillId="50" borderId="56" xfId="0" applyFont="1" applyFill="1" applyBorder="1" applyAlignment="1" applyProtection="1">
      <alignment horizontal="center" vertical="center" wrapText="1"/>
    </xf>
    <xf numFmtId="0" fontId="0" fillId="50" borderId="55" xfId="0" applyFill="1" applyBorder="1" applyAlignment="1" applyProtection="1">
      <alignment vertical="center" wrapText="1"/>
    </xf>
    <xf numFmtId="0" fontId="0" fillId="50" borderId="0" xfId="0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vertical="center" wrapText="1"/>
    </xf>
    <xf numFmtId="0" fontId="11" fillId="50" borderId="59" xfId="0" applyFont="1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horizontal="center" vertical="center" wrapText="1"/>
    </xf>
    <xf numFmtId="0" fontId="32" fillId="50" borderId="59" xfId="0" applyFont="1" applyFill="1" applyBorder="1" applyAlignment="1" applyProtection="1">
      <alignment vertical="center" wrapText="1"/>
    </xf>
    <xf numFmtId="0" fontId="11" fillId="50" borderId="190" xfId="0" applyFont="1" applyFill="1" applyBorder="1" applyAlignment="1" applyProtection="1">
      <alignment horizontal="center" vertical="center" wrapText="1"/>
    </xf>
    <xf numFmtId="0" fontId="3" fillId="50" borderId="52" xfId="0" applyFont="1" applyFill="1" applyBorder="1" applyAlignment="1" applyProtection="1">
      <alignment horizontal="center" vertical="center" wrapText="1"/>
    </xf>
    <xf numFmtId="0" fontId="1" fillId="5" borderId="57" xfId="0" applyFont="1" applyFill="1" applyBorder="1" applyAlignment="1" applyProtection="1">
      <alignment vertical="center" wrapText="1"/>
    </xf>
    <xf numFmtId="43" fontId="11" fillId="50" borderId="190" xfId="0" applyNumberFormat="1" applyFont="1" applyFill="1" applyBorder="1" applyAlignment="1" applyProtection="1">
      <alignment horizontal="center" vertical="center" wrapText="1"/>
    </xf>
    <xf numFmtId="0" fontId="11" fillId="50" borderId="57" xfId="0" applyFont="1" applyFill="1" applyBorder="1" applyAlignment="1" applyProtection="1">
      <alignment vertical="center" wrapText="1"/>
    </xf>
    <xf numFmtId="0" fontId="11" fillId="50" borderId="55" xfId="0" applyFont="1" applyFill="1" applyBorder="1" applyAlignment="1" applyProtection="1">
      <alignment vertical="center" wrapText="1"/>
    </xf>
    <xf numFmtId="0" fontId="0" fillId="50" borderId="190" xfId="0" applyFill="1" applyBorder="1" applyAlignment="1" applyProtection="1">
      <alignment horizontal="center" vertical="center" wrapText="1"/>
    </xf>
    <xf numFmtId="164" fontId="11" fillId="50" borderId="59" xfId="0" applyNumberFormat="1" applyFont="1" applyFill="1" applyBorder="1" applyAlignment="1" applyProtection="1">
      <alignment vertical="center" wrapText="1"/>
    </xf>
    <xf numFmtId="164" fontId="11" fillId="50" borderId="60" xfId="0" applyNumberFormat="1" applyFont="1" applyFill="1" applyBorder="1" applyAlignment="1" applyProtection="1">
      <alignment vertical="center" wrapText="1"/>
    </xf>
    <xf numFmtId="17" fontId="12" fillId="2" borderId="0" xfId="9" applyNumberFormat="1" applyFont="1" applyFill="1" applyAlignment="1">
      <alignment horizontal="center" vertical="center"/>
    </xf>
    <xf numFmtId="49" fontId="0" fillId="9" borderId="0" xfId="0" applyNumberFormat="1" applyFill="1" applyAlignment="1" applyProtection="1">
      <alignment vertical="center"/>
    </xf>
    <xf numFmtId="174" fontId="65" fillId="0" borderId="1" xfId="0" applyNumberFormat="1" applyFont="1" applyBorder="1" applyAlignment="1">
      <alignment horizontal="center" vertical="center"/>
    </xf>
    <xf numFmtId="174" fontId="65" fillId="0" borderId="1" xfId="0" applyNumberFormat="1" applyFont="1" applyBorder="1" applyAlignment="1">
      <alignment horizontal="center" vertical="center" wrapText="1"/>
    </xf>
    <xf numFmtId="0" fontId="1" fillId="8" borderId="0" xfId="4" applyFill="1" applyAlignment="1">
      <alignment horizontal="center"/>
    </xf>
    <xf numFmtId="8" fontId="0" fillId="0" borderId="0" xfId="0" applyNumberFormat="1" applyAlignment="1">
      <alignment vertical="center"/>
    </xf>
    <xf numFmtId="6" fontId="29" fillId="49" borderId="19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9" borderId="0" xfId="0" applyFont="1" applyFill="1" applyAlignment="1" applyProtection="1">
      <alignment horizontal="right" vertical="center" wrapText="1"/>
    </xf>
    <xf numFmtId="4" fontId="1" fillId="2" borderId="47" xfId="4" applyNumberFormat="1" applyFill="1" applyBorder="1" applyAlignment="1">
      <alignment horizontal="center"/>
    </xf>
    <xf numFmtId="0" fontId="1" fillId="2" borderId="46" xfId="4" applyFill="1" applyBorder="1" applyAlignment="1">
      <alignment horizontal="center" vertical="center"/>
    </xf>
    <xf numFmtId="0" fontId="1" fillId="8" borderId="47" xfId="4" applyFill="1" applyBorder="1" applyAlignment="1">
      <alignment horizontal="center" vertical="center"/>
    </xf>
    <xf numFmtId="0" fontId="1" fillId="9" borderId="46" xfId="4" applyFill="1" applyBorder="1" applyAlignment="1">
      <alignment horizontal="center"/>
    </xf>
    <xf numFmtId="0" fontId="1" fillId="9" borderId="47" xfId="4" applyFill="1" applyBorder="1" applyAlignment="1">
      <alignment horizontal="center"/>
    </xf>
    <xf numFmtId="2" fontId="1" fillId="2" borderId="48" xfId="6" applyNumberFormat="1" applyFont="1" applyFill="1" applyBorder="1" applyAlignment="1">
      <alignment horizontal="center" vertical="center"/>
    </xf>
    <xf numFmtId="2" fontId="1" fillId="8" borderId="48" xfId="6" applyNumberFormat="1" applyFont="1" applyFill="1" applyBorder="1" applyAlignment="1">
      <alignment horizontal="center" vertical="center"/>
    </xf>
    <xf numFmtId="0" fontId="1" fillId="2" borderId="77" xfId="9" applyFill="1" applyBorder="1"/>
    <xf numFmtId="4" fontId="1" fillId="17" borderId="111" xfId="9" applyNumberFormat="1" applyFill="1" applyBorder="1" applyAlignment="1">
      <alignment horizontal="center"/>
    </xf>
    <xf numFmtId="0" fontId="1" fillId="17" borderId="110" xfId="6" applyNumberFormat="1" applyFont="1" applyFill="1" applyBorder="1" applyAlignment="1">
      <alignment horizontal="center" vertical="center"/>
    </xf>
    <xf numFmtId="4" fontId="1" fillId="40" borderId="111" xfId="9" applyNumberFormat="1" applyFill="1" applyBorder="1" applyAlignment="1">
      <alignment horizontal="center"/>
    </xf>
    <xf numFmtId="0" fontId="1" fillId="40" borderId="110" xfId="6" applyNumberFormat="1" applyFont="1" applyFill="1" applyBorder="1" applyAlignment="1">
      <alignment horizontal="center" vertical="center"/>
    </xf>
    <xf numFmtId="0" fontId="12" fillId="2" borderId="0" xfId="9" applyFont="1" applyFill="1" applyAlignment="1">
      <alignment horizontal="left"/>
    </xf>
    <xf numFmtId="3" fontId="1" fillId="17" borderId="111" xfId="4" applyNumberFormat="1" applyFill="1" applyBorder="1" applyAlignment="1">
      <alignment horizontal="center"/>
    </xf>
    <xf numFmtId="3" fontId="1" fillId="40" borderId="111" xfId="4" applyNumberFormat="1" applyFill="1" applyBorder="1" applyAlignment="1">
      <alignment horizontal="center"/>
    </xf>
    <xf numFmtId="3" fontId="1" fillId="2" borderId="48" xfId="58" applyNumberFormat="1" applyFont="1" applyFill="1" applyBorder="1" applyAlignment="1">
      <alignment horizontal="center" vertical="center"/>
    </xf>
    <xf numFmtId="0" fontId="1" fillId="2" borderId="48" xfId="58" applyNumberFormat="1" applyFont="1" applyFill="1" applyBorder="1" applyAlignment="1">
      <alignment horizontal="center" vertical="center"/>
    </xf>
    <xf numFmtId="3" fontId="1" fillId="8" borderId="48" xfId="58" applyNumberFormat="1" applyFont="1" applyFill="1" applyBorder="1" applyAlignment="1">
      <alignment horizontal="center" vertical="center"/>
    </xf>
    <xf numFmtId="2" fontId="1" fillId="8" borderId="46" xfId="58" applyNumberFormat="1" applyFont="1" applyFill="1" applyBorder="1" applyAlignment="1">
      <alignment horizontal="center" vertical="center"/>
    </xf>
    <xf numFmtId="3" fontId="1" fillId="9" borderId="48" xfId="58" applyNumberFormat="1" applyFont="1" applyFill="1" applyBorder="1" applyAlignment="1">
      <alignment horizontal="center" vertical="center"/>
    </xf>
    <xf numFmtId="2" fontId="1" fillId="9" borderId="46" xfId="58" applyNumberFormat="1" applyFont="1" applyFill="1" applyBorder="1" applyAlignment="1">
      <alignment horizontal="center" vertical="center"/>
    </xf>
    <xf numFmtId="2" fontId="1" fillId="2" borderId="46" xfId="58" applyNumberFormat="1" applyFont="1" applyFill="1" applyBorder="1" applyAlignment="1">
      <alignment horizontal="center" vertical="center"/>
    </xf>
    <xf numFmtId="0" fontId="1" fillId="17" borderId="111" xfId="6" applyNumberFormat="1" applyFont="1" applyFill="1" applyBorder="1" applyAlignment="1">
      <alignment horizontal="center" vertical="center"/>
    </xf>
    <xf numFmtId="0" fontId="1" fillId="40" borderId="111" xfId="6" applyNumberFormat="1" applyFont="1" applyFill="1" applyBorder="1" applyAlignment="1">
      <alignment horizontal="center" vertical="center"/>
    </xf>
    <xf numFmtId="3" fontId="1" fillId="17" borderId="110" xfId="4" applyNumberFormat="1" applyFill="1" applyBorder="1" applyAlignment="1">
      <alignment horizontal="center"/>
    </xf>
    <xf numFmtId="3" fontId="1" fillId="40" borderId="110" xfId="4" applyNumberFormat="1" applyFill="1" applyBorder="1" applyAlignment="1">
      <alignment horizontal="center"/>
    </xf>
    <xf numFmtId="0" fontId="1" fillId="17" borderId="111" xfId="4" applyFill="1" applyBorder="1" applyAlignment="1">
      <alignment horizontal="center"/>
    </xf>
    <xf numFmtId="0" fontId="1" fillId="40" borderId="111" xfId="4" applyFill="1" applyBorder="1" applyAlignment="1">
      <alignment horizontal="center"/>
    </xf>
    <xf numFmtId="173" fontId="0" fillId="0" borderId="0" xfId="0" applyNumberFormat="1" applyAlignment="1">
      <alignment vertical="center"/>
    </xf>
    <xf numFmtId="0" fontId="1" fillId="51" borderId="186" xfId="0" applyFont="1" applyFill="1" applyBorder="1" applyAlignment="1" applyProtection="1">
      <alignment horizontal="center" vertical="center" wrapText="1"/>
    </xf>
    <xf numFmtId="0" fontId="0" fillId="50" borderId="0" xfId="0" applyFill="1" applyBorder="1" applyAlignment="1" applyProtection="1">
      <alignment horizontal="center"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" fillId="17" borderId="196" xfId="4" applyFill="1" applyBorder="1" applyAlignment="1">
      <alignment horizontal="center"/>
    </xf>
    <xf numFmtId="0" fontId="1" fillId="40" borderId="196" xfId="4" applyFill="1" applyBorder="1" applyAlignment="1">
      <alignment horizontal="center"/>
    </xf>
    <xf numFmtId="0" fontId="1" fillId="8" borderId="51" xfId="9" applyFill="1" applyBorder="1" applyAlignment="1">
      <alignment horizontal="center"/>
    </xf>
    <xf numFmtId="0" fontId="89" fillId="45" borderId="144" xfId="0" applyFont="1" applyFill="1" applyBorder="1" applyAlignment="1">
      <alignment horizontal="left"/>
    </xf>
    <xf numFmtId="6" fontId="65" fillId="9" borderId="0" xfId="0" applyNumberFormat="1" applyFont="1" applyFill="1" applyBorder="1" applyAlignment="1">
      <alignment horizontal="center" vertical="center"/>
    </xf>
    <xf numFmtId="0" fontId="0" fillId="9" borderId="0" xfId="0" applyFill="1" applyBorder="1" applyAlignment="1">
      <alignment vertical="center"/>
    </xf>
    <xf numFmtId="6" fontId="65" fillId="0" borderId="190" xfId="0" applyNumberFormat="1" applyFont="1" applyBorder="1" applyAlignment="1">
      <alignment horizontal="center" vertical="center"/>
    </xf>
    <xf numFmtId="0" fontId="65" fillId="5" borderId="144" xfId="0" applyFont="1" applyFill="1" applyBorder="1" applyAlignment="1">
      <alignment horizontal="left"/>
    </xf>
    <xf numFmtId="0" fontId="1" fillId="46" borderId="110" xfId="4" applyFill="1" applyBorder="1" applyAlignment="1">
      <alignment horizontal="center"/>
    </xf>
    <xf numFmtId="0" fontId="1" fillId="48" borderId="110" xfId="58" applyNumberFormat="1" applyFont="1" applyFill="1" applyBorder="1" applyAlignment="1">
      <alignment horizontal="center" vertical="center"/>
    </xf>
    <xf numFmtId="0" fontId="1" fillId="9" borderId="48" xfId="58" applyNumberFormat="1" applyFont="1" applyFill="1" applyBorder="1" applyAlignment="1">
      <alignment horizontal="center" vertical="center"/>
    </xf>
    <xf numFmtId="4" fontId="4" fillId="9" borderId="48" xfId="3" applyNumberFormat="1" applyFill="1" applyBorder="1" applyAlignment="1">
      <alignment horizontal="center"/>
    </xf>
    <xf numFmtId="0" fontId="4" fillId="8" borderId="48" xfId="3" applyFill="1" applyBorder="1" applyAlignment="1">
      <alignment horizontal="center"/>
    </xf>
    <xf numFmtId="0" fontId="1" fillId="40" borderId="110" xfId="58" applyNumberFormat="1" applyFont="1" applyFill="1" applyBorder="1" applyAlignment="1">
      <alignment horizontal="center" vertical="center"/>
    </xf>
    <xf numFmtId="0" fontId="1" fillId="8" borderId="48" xfId="58" applyNumberFormat="1" applyFont="1" applyFill="1" applyBorder="1" applyAlignment="1">
      <alignment horizontal="center" vertical="center"/>
    </xf>
    <xf numFmtId="4" fontId="4" fillId="8" borderId="48" xfId="3" applyNumberFormat="1" applyFill="1" applyBorder="1" applyAlignment="1">
      <alignment horizontal="center"/>
    </xf>
    <xf numFmtId="0" fontId="4" fillId="0" borderId="51" xfId="3" applyBorder="1" applyAlignment="1">
      <alignment horizontal="center"/>
    </xf>
    <xf numFmtId="0" fontId="1" fillId="54" borderId="131" xfId="58" applyNumberFormat="1" applyFont="1" applyFill="1" applyBorder="1" applyAlignment="1">
      <alignment horizontal="center" vertical="center"/>
    </xf>
    <xf numFmtId="0" fontId="1" fillId="8" borderId="51" xfId="58" applyNumberFormat="1" applyFont="1" applyFill="1" applyBorder="1" applyAlignment="1">
      <alignment horizontal="center" vertical="center"/>
    </xf>
    <xf numFmtId="4" fontId="4" fillId="8" borderId="51" xfId="3" applyNumberFormat="1" applyFill="1" applyBorder="1" applyAlignment="1">
      <alignment horizontal="center"/>
    </xf>
    <xf numFmtId="3" fontId="4" fillId="2" borderId="46" xfId="3" applyNumberFormat="1" applyFill="1" applyBorder="1" applyAlignment="1">
      <alignment horizontal="center"/>
    </xf>
    <xf numFmtId="3" fontId="4" fillId="2" borderId="47" xfId="3" applyNumberFormat="1" applyFill="1" applyBorder="1" applyAlignment="1">
      <alignment horizontal="center"/>
    </xf>
    <xf numFmtId="3" fontId="4" fillId="9" borderId="46" xfId="3" applyNumberFormat="1" applyFill="1" applyBorder="1" applyAlignment="1">
      <alignment horizontal="center"/>
    </xf>
    <xf numFmtId="3" fontId="4" fillId="9" borderId="47" xfId="3" applyNumberFormat="1" applyFill="1" applyBorder="1" applyAlignment="1">
      <alignment horizontal="center"/>
    </xf>
    <xf numFmtId="3" fontId="4" fillId="9" borderId="0" xfId="3" applyNumberFormat="1" applyFill="1" applyAlignment="1">
      <alignment horizontal="center"/>
    </xf>
    <xf numFmtId="3" fontId="4" fillId="2" borderId="48" xfId="3" applyNumberFormat="1" applyFill="1" applyBorder="1" applyAlignment="1">
      <alignment horizontal="center"/>
    </xf>
    <xf numFmtId="3" fontId="4" fillId="8" borderId="46" xfId="3" applyNumberFormat="1" applyFill="1" applyBorder="1" applyAlignment="1">
      <alignment horizontal="center"/>
    </xf>
    <xf numFmtId="3" fontId="4" fillId="8" borderId="47" xfId="3" applyNumberFormat="1" applyFill="1" applyBorder="1" applyAlignment="1">
      <alignment horizontal="center"/>
    </xf>
    <xf numFmtId="3" fontId="4" fillId="8" borderId="0" xfId="3" applyNumberFormat="1" applyFill="1" applyAlignment="1">
      <alignment horizontal="center"/>
    </xf>
    <xf numFmtId="3" fontId="4" fillId="8" borderId="48" xfId="3" applyNumberFormat="1" applyFill="1" applyBorder="1" applyAlignment="1">
      <alignment horizontal="center"/>
    </xf>
    <xf numFmtId="3" fontId="4" fillId="0" borderId="50" xfId="3" applyNumberFormat="1" applyBorder="1" applyAlignment="1">
      <alignment horizontal="center"/>
    </xf>
    <xf numFmtId="3" fontId="4" fillId="0" borderId="62" xfId="3" applyNumberFormat="1" applyBorder="1" applyAlignment="1">
      <alignment horizontal="center"/>
    </xf>
    <xf numFmtId="1" fontId="4" fillId="0" borderId="51" xfId="3" applyNumberFormat="1" applyBorder="1" applyAlignment="1">
      <alignment horizontal="center"/>
    </xf>
    <xf numFmtId="3" fontId="25" fillId="8" borderId="50" xfId="3" applyNumberFormat="1" applyFont="1" applyFill="1" applyBorder="1" applyAlignment="1">
      <alignment horizontal="center"/>
    </xf>
    <xf numFmtId="3" fontId="25" fillId="8" borderId="62" xfId="3" applyNumberFormat="1" applyFont="1" applyFill="1" applyBorder="1" applyAlignment="1">
      <alignment horizontal="center"/>
    </xf>
    <xf numFmtId="3" fontId="4" fillId="8" borderId="165" xfId="3" applyNumberFormat="1" applyFill="1" applyBorder="1" applyAlignment="1">
      <alignment horizontal="center"/>
    </xf>
    <xf numFmtId="3" fontId="4" fillId="8" borderId="51" xfId="3" applyNumberFormat="1" applyFill="1" applyBorder="1" applyAlignment="1">
      <alignment horizontal="center"/>
    </xf>
    <xf numFmtId="174" fontId="65" fillId="9" borderId="1" xfId="0" applyNumberFormat="1" applyFont="1" applyFill="1" applyBorder="1" applyAlignment="1">
      <alignment horizontal="center" vertical="center"/>
    </xf>
    <xf numFmtId="6" fontId="65" fillId="9" borderId="1" xfId="0" applyNumberFormat="1" applyFont="1" applyFill="1" applyBorder="1" applyAlignment="1">
      <alignment horizontal="center" vertical="center" wrapText="1"/>
    </xf>
    <xf numFmtId="6" fontId="65" fillId="6" borderId="1" xfId="0" applyNumberFormat="1" applyFont="1" applyFill="1" applyBorder="1" applyAlignment="1">
      <alignment horizontal="center" vertical="center"/>
    </xf>
    <xf numFmtId="0" fontId="1" fillId="2" borderId="0" xfId="9" applyFill="1" applyBorder="1"/>
    <xf numFmtId="0" fontId="31" fillId="9" borderId="48" xfId="3" applyFont="1" applyFill="1" applyBorder="1" applyAlignment="1">
      <alignment horizontal="center"/>
    </xf>
    <xf numFmtId="0" fontId="1" fillId="8" borderId="0" xfId="4" applyFill="1" applyBorder="1" applyAlignment="1">
      <alignment horizontal="center"/>
    </xf>
    <xf numFmtId="0" fontId="1" fillId="2" borderId="0" xfId="4" applyFill="1" applyBorder="1" applyAlignment="1">
      <alignment horizontal="center"/>
    </xf>
    <xf numFmtId="0" fontId="1" fillId="9" borderId="165" xfId="4" applyFill="1" applyBorder="1" applyAlignment="1">
      <alignment horizontal="center"/>
    </xf>
    <xf numFmtId="0" fontId="1" fillId="0" borderId="0" xfId="9" applyBorder="1"/>
    <xf numFmtId="0" fontId="1" fillId="9" borderId="0" xfId="9" applyFill="1" applyBorder="1"/>
    <xf numFmtId="0" fontId="1" fillId="17" borderId="0" xfId="4" applyFill="1" applyBorder="1" applyAlignment="1">
      <alignment horizontal="center"/>
    </xf>
    <xf numFmtId="0" fontId="1" fillId="2" borderId="62" xfId="4" applyFill="1" applyBorder="1" applyAlignment="1">
      <alignment horizontal="center"/>
    </xf>
    <xf numFmtId="173" fontId="30" fillId="49" borderId="190" xfId="0" applyNumberFormat="1" applyFont="1" applyFill="1" applyBorder="1" applyAlignment="1">
      <alignment vertical="center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31" xfId="1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 wrapText="1"/>
    </xf>
    <xf numFmtId="0" fontId="1" fillId="53" borderId="12" xfId="0" applyFont="1" applyFill="1" applyBorder="1" applyAlignment="1" applyProtection="1">
      <alignment horizontal="center" vertical="center" wrapText="1"/>
    </xf>
    <xf numFmtId="0" fontId="0" fillId="53" borderId="159" xfId="0" applyFill="1" applyBorder="1" applyAlignment="1">
      <alignment horizontal="center" vertical="center" wrapText="1"/>
    </xf>
    <xf numFmtId="0" fontId="0" fillId="0" borderId="79" xfId="0" applyBorder="1" applyAlignment="1">
      <alignment vertical="center" wrapText="1"/>
    </xf>
    <xf numFmtId="0" fontId="11" fillId="50" borderId="55" xfId="0" applyFont="1" applyFill="1" applyBorder="1" applyAlignment="1" applyProtection="1">
      <alignment vertical="center" wrapText="1"/>
    </xf>
    <xf numFmtId="0" fontId="0" fillId="50" borderId="0" xfId="0" applyFill="1" applyBorder="1" applyAlignment="1">
      <alignment vertical="center" wrapText="1"/>
    </xf>
    <xf numFmtId="0" fontId="1" fillId="15" borderId="12" xfId="0" applyFont="1" applyFill="1" applyBorder="1" applyAlignment="1" applyProtection="1">
      <alignment horizontal="center" vertical="center" wrapText="1"/>
    </xf>
    <xf numFmtId="0" fontId="0" fillId="15" borderId="159" xfId="0" applyFill="1" applyBorder="1" applyAlignment="1">
      <alignment horizontal="center" vertical="center" wrapText="1"/>
    </xf>
    <xf numFmtId="0" fontId="0" fillId="0" borderId="159" xfId="0" applyBorder="1" applyAlignment="1">
      <alignment vertical="center" wrapText="1"/>
    </xf>
    <xf numFmtId="0" fontId="0" fillId="53" borderId="79" xfId="0" applyFill="1" applyBorder="1" applyAlignment="1">
      <alignment horizontal="center" vertical="center" wrapText="1"/>
    </xf>
    <xf numFmtId="0" fontId="2" fillId="50" borderId="182" xfId="0" applyFont="1" applyFill="1" applyBorder="1" applyAlignment="1" applyProtection="1">
      <alignment vertical="center" wrapText="1"/>
    </xf>
    <xf numFmtId="0" fontId="0" fillId="50" borderId="171" xfId="0" applyFill="1" applyBorder="1" applyAlignment="1">
      <alignment vertical="center" wrapText="1"/>
    </xf>
    <xf numFmtId="0" fontId="13" fillId="46" borderId="151" xfId="0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 applyProtection="1">
      <alignment vertical="center" wrapText="1"/>
    </xf>
    <xf numFmtId="0" fontId="11" fillId="50" borderId="12" xfId="0" applyFont="1" applyFill="1" applyBorder="1" applyAlignment="1" applyProtection="1">
      <alignment vertical="center" wrapText="1"/>
    </xf>
    <xf numFmtId="0" fontId="11" fillId="50" borderId="159" xfId="0" applyFont="1" applyFill="1" applyBorder="1" applyAlignment="1" applyProtection="1">
      <alignment vertical="center" wrapText="1"/>
    </xf>
    <xf numFmtId="0" fontId="11" fillId="50" borderId="79" xfId="0" applyFont="1" applyFill="1" applyBorder="1" applyAlignment="1" applyProtection="1">
      <alignment vertical="center" wrapText="1"/>
    </xf>
    <xf numFmtId="0" fontId="11" fillId="50" borderId="171" xfId="0" applyFont="1" applyFill="1" applyBorder="1" applyAlignment="1" applyProtection="1">
      <alignment vertical="center" wrapText="1"/>
    </xf>
    <xf numFmtId="0" fontId="11" fillId="50" borderId="0" xfId="0" applyFont="1" applyFill="1" applyBorder="1" applyAlignment="1" applyProtection="1">
      <alignment vertical="center" wrapText="1"/>
    </xf>
    <xf numFmtId="0" fontId="29" fillId="50" borderId="59" xfId="0" applyFont="1" applyFill="1" applyBorder="1" applyAlignment="1" applyProtection="1">
      <alignment vertical="center" wrapText="1"/>
    </xf>
    <xf numFmtId="0" fontId="29" fillId="50" borderId="59" xfId="0" applyFont="1" applyFill="1" applyBorder="1" applyAlignment="1">
      <alignment vertical="center" wrapText="1"/>
    </xf>
    <xf numFmtId="0" fontId="29" fillId="9" borderId="0" xfId="0" applyFont="1" applyFill="1" applyAlignment="1" applyProtection="1">
      <alignment vertical="center" wrapText="1"/>
    </xf>
    <xf numFmtId="0" fontId="29" fillId="0" borderId="0" xfId="0" applyFont="1" applyAlignment="1">
      <alignment vertical="center" wrapText="1"/>
    </xf>
    <xf numFmtId="0" fontId="11" fillId="50" borderId="181" xfId="0" applyFont="1" applyFill="1" applyBorder="1" applyAlignment="1" applyProtection="1">
      <alignment vertical="center" wrapText="1"/>
    </xf>
    <xf numFmtId="0" fontId="0" fillId="50" borderId="181" xfId="0" applyFill="1" applyBorder="1" applyAlignment="1">
      <alignment vertical="center" wrapText="1"/>
    </xf>
    <xf numFmtId="0" fontId="23" fillId="14" borderId="123" xfId="9" applyFont="1" applyFill="1" applyBorder="1" applyAlignment="1">
      <alignment horizontal="center" vertical="center" wrapText="1"/>
    </xf>
    <xf numFmtId="0" fontId="23" fillId="14" borderId="125" xfId="9" applyFont="1" applyFill="1" applyBorder="1" applyAlignment="1">
      <alignment horizontal="center" vertical="center" wrapText="1"/>
    </xf>
    <xf numFmtId="0" fontId="23" fillId="14" borderId="124" xfId="9" applyFont="1" applyFill="1" applyBorder="1" applyAlignment="1">
      <alignment horizontal="center" vertical="center" wrapText="1"/>
    </xf>
    <xf numFmtId="0" fontId="23" fillId="4" borderId="83" xfId="9" applyFont="1" applyFill="1" applyBorder="1" applyAlignment="1">
      <alignment horizontal="center" vertical="center" wrapText="1"/>
    </xf>
    <xf numFmtId="0" fontId="23" fillId="4" borderId="48" xfId="9" applyFont="1" applyFill="1" applyBorder="1" applyAlignment="1">
      <alignment horizontal="center" vertical="center" wrapText="1"/>
    </xf>
    <xf numFmtId="0" fontId="23" fillId="14" borderId="76" xfId="9" applyFont="1" applyFill="1" applyBorder="1" applyAlignment="1">
      <alignment horizontal="center" vertical="center" wrapText="1"/>
    </xf>
    <xf numFmtId="0" fontId="23" fillId="14" borderId="78" xfId="9" applyFont="1" applyFill="1" applyBorder="1" applyAlignment="1">
      <alignment horizontal="center" vertical="center"/>
    </xf>
    <xf numFmtId="0" fontId="23" fillId="14" borderId="46" xfId="9" applyFont="1" applyFill="1" applyBorder="1" applyAlignment="1">
      <alignment horizontal="center" vertical="center"/>
    </xf>
    <xf numFmtId="0" fontId="23" fillId="14" borderId="47" xfId="9" applyFont="1" applyFill="1" applyBorder="1" applyAlignment="1">
      <alignment horizontal="center" vertical="center"/>
    </xf>
    <xf numFmtId="0" fontId="23" fillId="14" borderId="126" xfId="9" applyFont="1" applyFill="1" applyBorder="1" applyAlignment="1">
      <alignment horizontal="center" vertical="center" wrapText="1"/>
    </xf>
    <xf numFmtId="0" fontId="23" fillId="14" borderId="109" xfId="9" applyFont="1" applyFill="1" applyBorder="1" applyAlignment="1">
      <alignment horizontal="center" vertical="center" wrapText="1"/>
    </xf>
    <xf numFmtId="0" fontId="23" fillId="14" borderId="127" xfId="9" applyFont="1" applyFill="1" applyBorder="1" applyAlignment="1">
      <alignment horizontal="center" vertical="center" wrapText="1"/>
    </xf>
    <xf numFmtId="0" fontId="19" fillId="15" borderId="46" xfId="9" applyFont="1" applyFill="1" applyBorder="1" applyAlignment="1">
      <alignment horizontal="center" vertical="center" wrapText="1"/>
    </xf>
    <xf numFmtId="0" fontId="19" fillId="15" borderId="0" xfId="9" applyFont="1" applyFill="1" applyAlignment="1">
      <alignment horizontal="center" vertical="center" wrapText="1"/>
    </xf>
    <xf numFmtId="0" fontId="19" fillId="15" borderId="47" xfId="9" applyFont="1" applyFill="1" applyBorder="1" applyAlignment="1">
      <alignment horizontal="center" vertical="center" wrapText="1"/>
    </xf>
    <xf numFmtId="0" fontId="11" fillId="7" borderId="46" xfId="9" applyFont="1" applyFill="1" applyBorder="1" applyAlignment="1">
      <alignment horizontal="center" vertical="center" wrapText="1"/>
    </xf>
    <xf numFmtId="0" fontId="11" fillId="7" borderId="47" xfId="9" applyFont="1" applyFill="1" applyBorder="1" applyAlignment="1">
      <alignment horizontal="center" vertical="center" wrapText="1"/>
    </xf>
    <xf numFmtId="0" fontId="15" fillId="0" borderId="70" xfId="9" applyFont="1" applyBorder="1" applyAlignment="1">
      <alignment horizontal="center" vertical="center" wrapText="1"/>
    </xf>
    <xf numFmtId="0" fontId="15" fillId="0" borderId="71" xfId="9" applyFont="1" applyBorder="1" applyAlignment="1">
      <alignment horizontal="center" vertical="center" wrapText="1"/>
    </xf>
    <xf numFmtId="0" fontId="15" fillId="0" borderId="61" xfId="9" applyFont="1" applyBorder="1" applyAlignment="1">
      <alignment horizontal="center" vertical="center" wrapText="1"/>
    </xf>
    <xf numFmtId="0" fontId="15" fillId="0" borderId="72" xfId="9" applyFont="1" applyBorder="1" applyAlignment="1">
      <alignment horizontal="center" vertical="center" wrapText="1"/>
    </xf>
    <xf numFmtId="0" fontId="15" fillId="0" borderId="73" xfId="9" applyFont="1" applyBorder="1" applyAlignment="1">
      <alignment horizontal="center" vertical="center" wrapText="1"/>
    </xf>
    <xf numFmtId="0" fontId="15" fillId="0" borderId="74" xfId="9" applyFont="1" applyBorder="1" applyAlignment="1">
      <alignment horizontal="center" vertical="center" wrapText="1"/>
    </xf>
    <xf numFmtId="0" fontId="14" fillId="0" borderId="75" xfId="9" applyFont="1" applyBorder="1" applyAlignment="1">
      <alignment horizontal="center" vertical="center" wrapText="1"/>
    </xf>
    <xf numFmtId="0" fontId="14" fillId="0" borderId="71" xfId="9" applyFont="1" applyBorder="1" applyAlignment="1">
      <alignment horizontal="center" vertical="center" wrapText="1"/>
    </xf>
    <xf numFmtId="0" fontId="14" fillId="0" borderId="0" xfId="9" applyFont="1" applyAlignment="1">
      <alignment horizontal="center" vertical="center" wrapText="1"/>
    </xf>
    <xf numFmtId="0" fontId="14" fillId="0" borderId="72" xfId="9" applyFont="1" applyBorder="1" applyAlignment="1">
      <alignment horizontal="center" vertical="center" wrapText="1"/>
    </xf>
    <xf numFmtId="0" fontId="14" fillId="0" borderId="69" xfId="9" applyFont="1" applyBorder="1" applyAlignment="1">
      <alignment horizontal="center" vertical="center" wrapText="1"/>
    </xf>
    <xf numFmtId="0" fontId="14" fillId="0" borderId="74" xfId="9" applyFont="1" applyBorder="1" applyAlignment="1">
      <alignment horizontal="center" vertical="center" wrapText="1"/>
    </xf>
    <xf numFmtId="0" fontId="1" fillId="2" borderId="90" xfId="9" applyFill="1" applyBorder="1" applyAlignment="1">
      <alignment horizontal="center" vertical="center" wrapText="1"/>
    </xf>
    <xf numFmtId="0" fontId="1" fillId="2" borderId="84" xfId="9" applyFill="1" applyBorder="1" applyAlignment="1">
      <alignment horizontal="center" vertical="center"/>
    </xf>
    <xf numFmtId="0" fontId="1" fillId="2" borderId="91" xfId="9" applyFill="1" applyBorder="1" applyAlignment="1">
      <alignment horizontal="center" vertical="center"/>
    </xf>
    <xf numFmtId="0" fontId="1" fillId="2" borderId="90" xfId="9" applyFill="1" applyBorder="1" applyAlignment="1">
      <alignment horizontal="center" vertical="center"/>
    </xf>
    <xf numFmtId="0" fontId="1" fillId="2" borderId="6" xfId="9" applyFill="1" applyBorder="1" applyAlignment="1">
      <alignment horizontal="center" vertical="center"/>
    </xf>
    <xf numFmtId="0" fontId="1" fillId="2" borderId="97" xfId="9" applyFill="1" applyBorder="1" applyAlignment="1">
      <alignment horizontal="center" vertical="center"/>
    </xf>
    <xf numFmtId="0" fontId="1" fillId="2" borderId="98" xfId="9" applyFill="1" applyBorder="1" applyAlignment="1">
      <alignment horizontal="center" vertical="center"/>
    </xf>
    <xf numFmtId="0" fontId="27" fillId="0" borderId="0" xfId="9" applyFont="1" applyAlignment="1">
      <alignment horizontal="left" vertical="center"/>
    </xf>
    <xf numFmtId="0" fontId="28" fillId="4" borderId="83" xfId="9" applyFont="1" applyFill="1" applyBorder="1" applyAlignment="1">
      <alignment horizontal="center" vertical="center" wrapText="1"/>
    </xf>
    <xf numFmtId="0" fontId="28" fillId="4" borderId="48" xfId="9" applyFont="1" applyFill="1" applyBorder="1" applyAlignment="1">
      <alignment horizontal="center" vertical="center" wrapText="1"/>
    </xf>
    <xf numFmtId="0" fontId="28" fillId="4" borderId="34" xfId="9" applyFont="1" applyFill="1" applyBorder="1" applyAlignment="1">
      <alignment horizontal="center" vertical="center" wrapText="1"/>
    </xf>
    <xf numFmtId="0" fontId="28" fillId="4" borderId="36" xfId="9" applyFont="1" applyFill="1" applyBorder="1" applyAlignment="1">
      <alignment horizontal="center" vertical="center"/>
    </xf>
    <xf numFmtId="0" fontId="26" fillId="13" borderId="64" xfId="9" applyFont="1" applyFill="1" applyBorder="1" applyAlignment="1">
      <alignment horizontal="center" vertical="center" wrapText="1"/>
    </xf>
    <xf numFmtId="0" fontId="26" fillId="13" borderId="64" xfId="9" applyFont="1" applyFill="1" applyBorder="1" applyAlignment="1">
      <alignment horizontal="center" vertical="center"/>
    </xf>
    <xf numFmtId="0" fontId="26" fillId="13" borderId="65" xfId="9" applyFont="1" applyFill="1" applyBorder="1" applyAlignment="1">
      <alignment horizontal="center" vertical="center"/>
    </xf>
    <xf numFmtId="0" fontId="1" fillId="2" borderId="91" xfId="9" quotePrefix="1" applyFill="1" applyBorder="1" applyAlignment="1">
      <alignment horizontal="center" vertical="center" wrapText="1"/>
    </xf>
    <xf numFmtId="0" fontId="26" fillId="13" borderId="61" xfId="9" applyFont="1" applyFill="1" applyBorder="1" applyAlignment="1">
      <alignment horizontal="center" vertical="center" wrapText="1"/>
    </xf>
    <xf numFmtId="0" fontId="26" fillId="13" borderId="0" xfId="9" applyFont="1" applyFill="1" applyAlignment="1">
      <alignment horizontal="center" vertical="center" wrapText="1"/>
    </xf>
    <xf numFmtId="0" fontId="1" fillId="2" borderId="7" xfId="9" applyFill="1" applyBorder="1" applyAlignment="1">
      <alignment horizontal="center" vertical="center"/>
    </xf>
    <xf numFmtId="0" fontId="1" fillId="2" borderId="9" xfId="9" applyFill="1" applyBorder="1" applyAlignment="1">
      <alignment horizontal="center" vertical="center"/>
    </xf>
    <xf numFmtId="0" fontId="28" fillId="4" borderId="34" xfId="9" applyFont="1" applyFill="1" applyBorder="1" applyAlignment="1">
      <alignment horizontal="center" vertical="center"/>
    </xf>
    <xf numFmtId="0" fontId="28" fillId="4" borderId="35" xfId="9" applyFont="1" applyFill="1" applyBorder="1" applyAlignment="1">
      <alignment horizontal="center" vertical="center"/>
    </xf>
    <xf numFmtId="0" fontId="14" fillId="2" borderId="69" xfId="9" applyFont="1" applyFill="1" applyBorder="1" applyAlignment="1">
      <alignment horizontal="center" vertical="center"/>
    </xf>
    <xf numFmtId="0" fontId="14" fillId="2" borderId="85" xfId="9" applyFont="1" applyFill="1" applyBorder="1" applyAlignment="1">
      <alignment horizontal="center" vertical="center"/>
    </xf>
    <xf numFmtId="0" fontId="11" fillId="7" borderId="129" xfId="9" applyFont="1" applyFill="1" applyBorder="1" applyAlignment="1">
      <alignment horizontal="center" vertical="center" wrapText="1"/>
    </xf>
    <xf numFmtId="0" fontId="11" fillId="7" borderId="130" xfId="9" applyFont="1" applyFill="1" applyBorder="1" applyAlignment="1">
      <alignment horizontal="center" vertical="center" wrapText="1"/>
    </xf>
    <xf numFmtId="0" fontId="31" fillId="2" borderId="94" xfId="9" applyFont="1" applyFill="1" applyBorder="1" applyAlignment="1">
      <alignment horizontal="center" vertical="top" wrapText="1"/>
    </xf>
    <xf numFmtId="0" fontId="31" fillId="2" borderId="90" xfId="9" applyFont="1" applyFill="1" applyBorder="1" applyAlignment="1">
      <alignment horizontal="center" vertical="top" wrapText="1"/>
    </xf>
    <xf numFmtId="0" fontId="31" fillId="2" borderId="96" xfId="9" applyFont="1" applyFill="1" applyBorder="1" applyAlignment="1">
      <alignment horizontal="center" vertical="top" wrapText="1"/>
    </xf>
    <xf numFmtId="0" fontId="31" fillId="2" borderId="84" xfId="9" applyFont="1" applyFill="1" applyBorder="1" applyAlignment="1">
      <alignment horizontal="center" vertical="top" wrapText="1"/>
    </xf>
    <xf numFmtId="0" fontId="31" fillId="2" borderId="101" xfId="9" applyFont="1" applyFill="1" applyBorder="1" applyAlignment="1">
      <alignment horizontal="center" vertical="top" wrapText="1"/>
    </xf>
    <xf numFmtId="0" fontId="31" fillId="2" borderId="98" xfId="9" applyFont="1" applyFill="1" applyBorder="1" applyAlignment="1">
      <alignment horizontal="center" vertical="top" wrapText="1"/>
    </xf>
    <xf numFmtId="0" fontId="1" fillId="2" borderId="7" xfId="9" quotePrefix="1" applyFill="1" applyBorder="1" applyAlignment="1">
      <alignment horizontal="center" vertical="center" wrapText="1"/>
    </xf>
    <xf numFmtId="0" fontId="1" fillId="2" borderId="7" xfId="9" quotePrefix="1" applyFill="1" applyBorder="1" applyAlignment="1">
      <alignment horizontal="center" vertical="center"/>
    </xf>
    <xf numFmtId="0" fontId="1" fillId="2" borderId="103" xfId="9" quotePrefix="1" applyFill="1" applyBorder="1" applyAlignment="1">
      <alignment horizontal="center" vertical="center"/>
    </xf>
    <xf numFmtId="0" fontId="1" fillId="2" borderId="104" xfId="9" quotePrefix="1" applyFill="1" applyBorder="1" applyAlignment="1">
      <alignment horizontal="center" vertical="center" wrapText="1"/>
    </xf>
    <xf numFmtId="0" fontId="1" fillId="2" borderId="103" xfId="9" quotePrefix="1" applyFill="1" applyBorder="1" applyAlignment="1">
      <alignment horizontal="center" vertical="center" wrapText="1"/>
    </xf>
    <xf numFmtId="0" fontId="1" fillId="2" borderId="104" xfId="9" quotePrefix="1" applyFill="1" applyBorder="1" applyAlignment="1">
      <alignment horizontal="center" vertical="center"/>
    </xf>
    <xf numFmtId="0" fontId="1" fillId="2" borderId="103" xfId="9" applyFill="1" applyBorder="1" applyAlignment="1">
      <alignment horizontal="center" vertical="center"/>
    </xf>
    <xf numFmtId="0" fontId="1" fillId="2" borderId="9" xfId="9" quotePrefix="1" applyFill="1" applyBorder="1" applyAlignment="1">
      <alignment horizontal="center" vertical="center"/>
    </xf>
    <xf numFmtId="0" fontId="31" fillId="2" borderId="93" xfId="9" applyFont="1" applyFill="1" applyBorder="1" applyAlignment="1">
      <alignment horizontal="center" vertical="top" wrapText="1"/>
    </xf>
    <xf numFmtId="0" fontId="31" fillId="2" borderId="92" xfId="9" applyFont="1" applyFill="1" applyBorder="1" applyAlignment="1">
      <alignment horizontal="center" vertical="top" wrapText="1"/>
    </xf>
    <xf numFmtId="0" fontId="31" fillId="2" borderId="0" xfId="9" applyFont="1" applyFill="1" applyAlignment="1">
      <alignment horizontal="center" vertical="top" wrapText="1"/>
    </xf>
    <xf numFmtId="0" fontId="31" fillId="2" borderId="95" xfId="9" applyFont="1" applyFill="1" applyBorder="1" applyAlignment="1">
      <alignment horizontal="center" vertical="top" wrapText="1"/>
    </xf>
    <xf numFmtId="0" fontId="31" fillId="2" borderId="100" xfId="9" applyFont="1" applyFill="1" applyBorder="1" applyAlignment="1">
      <alignment horizontal="center" vertical="top" wrapText="1"/>
    </xf>
    <xf numFmtId="0" fontId="31" fillId="2" borderId="99" xfId="9" applyFont="1" applyFill="1" applyBorder="1" applyAlignment="1">
      <alignment horizontal="center" vertical="top" wrapText="1"/>
    </xf>
    <xf numFmtId="0" fontId="1" fillId="2" borderId="25" xfId="9" applyFill="1" applyBorder="1" applyAlignment="1">
      <alignment horizontal="center" vertical="center"/>
    </xf>
    <xf numFmtId="0" fontId="1" fillId="2" borderId="7" xfId="9" applyFill="1" applyBorder="1" applyAlignment="1">
      <alignment horizontal="center" vertical="center" wrapText="1"/>
    </xf>
    <xf numFmtId="0" fontId="1" fillId="2" borderId="103" xfId="9" applyFill="1" applyBorder="1" applyAlignment="1">
      <alignment horizontal="center" vertical="center" wrapText="1"/>
    </xf>
    <xf numFmtId="0" fontId="1" fillId="2" borderId="101" xfId="9" applyFill="1" applyBorder="1" applyAlignment="1">
      <alignment horizontal="center" vertical="center" wrapText="1"/>
    </xf>
    <xf numFmtId="0" fontId="1" fillId="2" borderId="99" xfId="9" applyFill="1" applyBorder="1" applyAlignment="1">
      <alignment horizontal="center" vertical="center"/>
    </xf>
    <xf numFmtId="0" fontId="1" fillId="2" borderId="104" xfId="9" applyFill="1" applyBorder="1" applyAlignment="1">
      <alignment horizontal="center" vertical="center" wrapText="1"/>
    </xf>
    <xf numFmtId="0" fontId="1" fillId="2" borderId="104" xfId="9" applyFill="1" applyBorder="1" applyAlignment="1">
      <alignment horizontal="center" vertical="center"/>
    </xf>
    <xf numFmtId="0" fontId="1" fillId="2" borderId="100" xfId="9" applyFill="1" applyBorder="1" applyAlignment="1">
      <alignment horizontal="center" vertical="center" wrapText="1"/>
    </xf>
    <xf numFmtId="0" fontId="1" fillId="2" borderId="9" xfId="9" applyFill="1" applyBorder="1" applyAlignment="1">
      <alignment horizontal="center" vertical="center" wrapText="1"/>
    </xf>
    <xf numFmtId="0" fontId="26" fillId="13" borderId="66" xfId="9" applyFont="1" applyFill="1" applyBorder="1" applyAlignment="1">
      <alignment horizontal="center" vertical="center" wrapText="1"/>
    </xf>
    <xf numFmtId="0" fontId="26" fillId="13" borderId="67" xfId="9" applyFont="1" applyFill="1" applyBorder="1" applyAlignment="1">
      <alignment horizontal="center" vertical="center" wrapText="1"/>
    </xf>
    <xf numFmtId="0" fontId="26" fillId="13" borderId="68" xfId="9" applyFont="1" applyFill="1" applyBorder="1" applyAlignment="1">
      <alignment horizontal="center" vertical="center" wrapText="1"/>
    </xf>
    <xf numFmtId="0" fontId="15" fillId="2" borderId="76" xfId="9" applyFont="1" applyFill="1" applyBorder="1" applyAlignment="1">
      <alignment horizontal="center" vertical="center"/>
    </xf>
    <xf numFmtId="0" fontId="15" fillId="2" borderId="77" xfId="9" applyFont="1" applyFill="1" applyBorder="1" applyAlignment="1">
      <alignment horizontal="center" vertical="center"/>
    </xf>
    <xf numFmtId="0" fontId="15" fillId="2" borderId="78" xfId="9" applyFont="1" applyFill="1" applyBorder="1" applyAlignment="1">
      <alignment horizontal="center" vertical="center"/>
    </xf>
    <xf numFmtId="0" fontId="15" fillId="2" borderId="46" xfId="9" applyFont="1" applyFill="1" applyBorder="1" applyAlignment="1">
      <alignment horizontal="center" vertical="center"/>
    </xf>
    <xf numFmtId="0" fontId="15" fillId="2" borderId="0" xfId="9" applyFont="1" applyFill="1" applyAlignment="1">
      <alignment horizontal="center" vertical="center"/>
    </xf>
    <xf numFmtId="0" fontId="15" fillId="2" borderId="47" xfId="9" applyFont="1" applyFill="1" applyBorder="1" applyAlignment="1">
      <alignment horizontal="center" vertical="center"/>
    </xf>
    <xf numFmtId="0" fontId="23" fillId="14" borderId="77" xfId="9" applyFont="1" applyFill="1" applyBorder="1" applyAlignment="1">
      <alignment horizontal="center" vertical="center" wrapText="1"/>
    </xf>
    <xf numFmtId="0" fontId="23" fillId="14" borderId="78" xfId="9" applyFont="1" applyFill="1" applyBorder="1" applyAlignment="1">
      <alignment horizontal="center" vertical="center" wrapText="1"/>
    </xf>
    <xf numFmtId="0" fontId="11" fillId="6" borderId="86" xfId="9" applyFont="1" applyFill="1" applyBorder="1" applyAlignment="1">
      <alignment horizontal="center" vertical="center" wrapText="1"/>
    </xf>
    <xf numFmtId="0" fontId="11" fillId="6" borderId="87" xfId="9" applyFont="1" applyFill="1" applyBorder="1" applyAlignment="1">
      <alignment horizontal="center" vertical="center" wrapText="1"/>
    </xf>
    <xf numFmtId="0" fontId="11" fillId="6" borderId="3" xfId="9" applyFont="1" applyFill="1" applyBorder="1" applyAlignment="1">
      <alignment horizontal="center" vertical="center" wrapText="1"/>
    </xf>
    <xf numFmtId="0" fontId="11" fillId="6" borderId="88" xfId="9" applyFont="1" applyFill="1" applyBorder="1" applyAlignment="1">
      <alignment horizontal="center" vertical="center" wrapText="1"/>
    </xf>
    <xf numFmtId="0" fontId="11" fillId="6" borderId="4" xfId="9" applyFont="1" applyFill="1" applyBorder="1" applyAlignment="1">
      <alignment horizontal="center" vertical="center" wrapText="1"/>
    </xf>
    <xf numFmtId="0" fontId="11" fillId="6" borderId="89" xfId="9" applyFont="1" applyFill="1" applyBorder="1" applyAlignment="1">
      <alignment horizontal="center" vertical="center" wrapText="1"/>
    </xf>
    <xf numFmtId="0" fontId="1" fillId="2" borderId="91" xfId="9" applyFill="1" applyBorder="1" applyAlignment="1">
      <alignment horizontal="center" vertical="center" wrapText="1"/>
    </xf>
    <xf numFmtId="0" fontId="1" fillId="2" borderId="93" xfId="9" applyFill="1" applyBorder="1" applyAlignment="1">
      <alignment horizontal="center" vertical="center" wrapText="1"/>
    </xf>
    <xf numFmtId="0" fontId="1" fillId="2" borderId="92" xfId="9" applyFill="1" applyBorder="1" applyAlignment="1">
      <alignment horizontal="center" vertical="center" wrapText="1"/>
    </xf>
    <xf numFmtId="0" fontId="1" fillId="9" borderId="0" xfId="9" applyFill="1" applyAlignment="1">
      <alignment horizontal="center" vertical="center" wrapText="1"/>
    </xf>
    <xf numFmtId="0" fontId="1" fillId="2" borderId="95" xfId="9" applyFill="1" applyBorder="1" applyAlignment="1">
      <alignment horizontal="center" vertical="center" wrapText="1"/>
    </xf>
    <xf numFmtId="0" fontId="1" fillId="2" borderId="99" xfId="9" applyFill="1" applyBorder="1" applyAlignment="1">
      <alignment horizontal="center" vertical="center" wrapText="1"/>
    </xf>
    <xf numFmtId="0" fontId="1" fillId="2" borderId="94" xfId="9" applyFill="1" applyBorder="1" applyAlignment="1">
      <alignment horizontal="center" vertical="center" wrapText="1"/>
    </xf>
    <xf numFmtId="0" fontId="1" fillId="2" borderId="96" xfId="9" applyFill="1" applyBorder="1" applyAlignment="1">
      <alignment horizontal="center" vertical="center" wrapText="1"/>
    </xf>
    <xf numFmtId="0" fontId="1" fillId="9" borderId="84" xfId="9" applyFill="1" applyBorder="1" applyAlignment="1">
      <alignment horizontal="center" vertical="center" wrapText="1"/>
    </xf>
    <xf numFmtId="0" fontId="1" fillId="2" borderId="98" xfId="9" applyFill="1" applyBorder="1" applyAlignment="1">
      <alignment horizontal="center" vertical="center" wrapText="1"/>
    </xf>
    <xf numFmtId="0" fontId="1" fillId="2" borderId="9" xfId="9" quotePrefix="1" applyFill="1" applyBorder="1" applyAlignment="1">
      <alignment horizontal="center" vertical="center" wrapText="1"/>
    </xf>
    <xf numFmtId="0" fontId="1" fillId="2" borderId="92" xfId="9" applyFill="1" applyBorder="1" applyAlignment="1">
      <alignment horizontal="center" vertical="center"/>
    </xf>
    <xf numFmtId="0" fontId="1" fillId="2" borderId="95" xfId="9" applyFill="1" applyBorder="1" applyAlignment="1">
      <alignment horizontal="center" vertical="center"/>
    </xf>
    <xf numFmtId="0" fontId="23" fillId="14" borderId="77" xfId="9" applyFont="1" applyFill="1" applyBorder="1" applyAlignment="1">
      <alignment horizontal="center" vertical="center"/>
    </xf>
    <xf numFmtId="0" fontId="26" fillId="13" borderId="73" xfId="9" applyFont="1" applyFill="1" applyBorder="1" applyAlignment="1">
      <alignment horizontal="center" vertical="center" wrapText="1"/>
    </xf>
    <xf numFmtId="0" fontId="26" fillId="13" borderId="69" xfId="9" applyFont="1" applyFill="1" applyBorder="1" applyAlignment="1">
      <alignment horizontal="center" vertical="center" wrapText="1"/>
    </xf>
    <xf numFmtId="0" fontId="23" fillId="52" borderId="0" xfId="9" applyFont="1" applyFill="1" applyAlignment="1">
      <alignment horizontal="center" vertical="center" wrapText="1"/>
    </xf>
    <xf numFmtId="0" fontId="23" fillId="52" borderId="0" xfId="0" applyFont="1" applyFill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 shrinkToFit="1"/>
    </xf>
    <xf numFmtId="0" fontId="0" fillId="0" borderId="75" xfId="0" applyBorder="1" applyAlignment="1">
      <alignment horizontal="center" vertical="center" wrapText="1" shrinkToFit="1"/>
    </xf>
    <xf numFmtId="0" fontId="0" fillId="0" borderId="165" xfId="0" applyBorder="1" applyAlignment="1">
      <alignment horizontal="center" vertical="center" wrapText="1" shrinkToFit="1"/>
    </xf>
    <xf numFmtId="0" fontId="36" fillId="16" borderId="106" xfId="9" applyFont="1" applyFill="1" applyBorder="1" applyAlignment="1">
      <alignment horizontal="center" vertical="center" wrapText="1"/>
    </xf>
    <xf numFmtId="0" fontId="36" fillId="16" borderId="107" xfId="9" applyFont="1" applyFill="1" applyBorder="1" applyAlignment="1">
      <alignment horizontal="center" vertical="center" wrapText="1"/>
    </xf>
    <xf numFmtId="0" fontId="36" fillId="16" borderId="108" xfId="9" applyFont="1" applyFill="1" applyBorder="1" applyAlignment="1">
      <alignment horizontal="center" vertical="center" wrapText="1"/>
    </xf>
    <xf numFmtId="0" fontId="26" fillId="13" borderId="63" xfId="9" applyFont="1" applyFill="1" applyBorder="1" applyAlignment="1">
      <alignment horizontal="center" vertical="center" wrapText="1"/>
    </xf>
    <xf numFmtId="0" fontId="26" fillId="13" borderId="65" xfId="9" applyFont="1" applyFill="1" applyBorder="1" applyAlignment="1">
      <alignment horizontal="center" vertical="center" wrapText="1"/>
    </xf>
    <xf numFmtId="0" fontId="20" fillId="2" borderId="37" xfId="9" applyFont="1" applyFill="1" applyBorder="1" applyAlignment="1">
      <alignment horizontal="center" vertical="top" wrapText="1"/>
    </xf>
    <xf numFmtId="0" fontId="31" fillId="2" borderId="38" xfId="9" applyFont="1" applyFill="1" applyBorder="1" applyAlignment="1">
      <alignment horizontal="center" vertical="top" wrapText="1"/>
    </xf>
    <xf numFmtId="0" fontId="31" fillId="2" borderId="39" xfId="9" applyFont="1" applyFill="1" applyBorder="1" applyAlignment="1">
      <alignment horizontal="center" vertical="top" wrapText="1"/>
    </xf>
    <xf numFmtId="0" fontId="1" fillId="2" borderId="37" xfId="9" applyFill="1" applyBorder="1" applyAlignment="1">
      <alignment horizontal="center" vertical="center" wrapText="1"/>
    </xf>
    <xf numFmtId="0" fontId="1" fillId="2" borderId="38" xfId="9" applyFill="1" applyBorder="1" applyAlignment="1">
      <alignment horizontal="center" vertical="center" wrapText="1"/>
    </xf>
    <xf numFmtId="0" fontId="1" fillId="2" borderId="39" xfId="9" applyFill="1" applyBorder="1" applyAlignment="1">
      <alignment horizontal="center" vertical="center" wrapText="1"/>
    </xf>
    <xf numFmtId="0" fontId="1" fillId="2" borderId="40" xfId="9" applyFill="1" applyBorder="1" applyAlignment="1">
      <alignment horizontal="center" vertical="center" wrapText="1"/>
    </xf>
    <xf numFmtId="0" fontId="1" fillId="2" borderId="41" xfId="9" applyFill="1" applyBorder="1" applyAlignment="1">
      <alignment horizontal="center" vertical="center" wrapText="1"/>
    </xf>
    <xf numFmtId="0" fontId="1" fillId="2" borderId="42" xfId="9" applyFill="1" applyBorder="1" applyAlignment="1">
      <alignment horizontal="center" vertical="center" wrapText="1"/>
    </xf>
    <xf numFmtId="0" fontId="1" fillId="2" borderId="43" xfId="9" applyFill="1" applyBorder="1" applyAlignment="1">
      <alignment horizontal="center" vertical="center" wrapText="1"/>
    </xf>
    <xf numFmtId="0" fontId="1" fillId="2" borderId="44" xfId="9" applyFill="1" applyBorder="1" applyAlignment="1">
      <alignment horizontal="center" vertical="center" wrapText="1"/>
    </xf>
    <xf numFmtId="0" fontId="1" fillId="2" borderId="45" xfId="9" applyFill="1" applyBorder="1" applyAlignment="1">
      <alignment horizontal="center" vertical="center" wrapText="1"/>
    </xf>
    <xf numFmtId="0" fontId="11" fillId="2" borderId="0" xfId="9" applyFont="1" applyFill="1" applyAlignment="1">
      <alignment horizontal="center" wrapText="1"/>
    </xf>
    <xf numFmtId="0" fontId="87" fillId="14" borderId="123" xfId="9" applyFont="1" applyFill="1" applyBorder="1" applyAlignment="1">
      <alignment horizontal="center" vertical="center" wrapText="1"/>
    </xf>
    <xf numFmtId="0" fontId="87" fillId="14" borderId="125" xfId="9" applyFont="1" applyFill="1" applyBorder="1" applyAlignment="1">
      <alignment horizontal="center" vertical="center" wrapText="1"/>
    </xf>
    <xf numFmtId="0" fontId="87" fillId="14" borderId="124" xfId="9" applyFont="1" applyFill="1" applyBorder="1" applyAlignment="1">
      <alignment horizontal="center" vertical="center" wrapText="1"/>
    </xf>
    <xf numFmtId="0" fontId="31" fillId="2" borderId="43" xfId="9" applyFont="1" applyFill="1" applyBorder="1" applyAlignment="1">
      <alignment horizontal="center" vertical="center" wrapText="1"/>
    </xf>
    <xf numFmtId="0" fontId="31" fillId="2" borderId="44" xfId="9" applyFont="1" applyFill="1" applyBorder="1" applyAlignment="1">
      <alignment horizontal="center" vertical="center" wrapText="1"/>
    </xf>
    <xf numFmtId="0" fontId="31" fillId="2" borderId="45" xfId="9" applyFont="1" applyFill="1" applyBorder="1" applyAlignment="1">
      <alignment horizontal="center" vertical="center" wrapText="1"/>
    </xf>
    <xf numFmtId="0" fontId="31" fillId="2" borderId="37" xfId="9" applyFont="1" applyFill="1" applyBorder="1" applyAlignment="1">
      <alignment horizontal="center" vertical="center" wrapText="1"/>
    </xf>
    <xf numFmtId="0" fontId="31" fillId="2" borderId="38" xfId="9" applyFont="1" applyFill="1" applyBorder="1" applyAlignment="1">
      <alignment horizontal="center" vertical="center" wrapText="1"/>
    </xf>
    <xf numFmtId="0" fontId="31" fillId="2" borderId="39" xfId="9" applyFont="1" applyFill="1" applyBorder="1" applyAlignment="1">
      <alignment horizontal="center" vertical="center" wrapText="1"/>
    </xf>
    <xf numFmtId="0" fontId="31" fillId="2" borderId="40" xfId="9" applyFont="1" applyFill="1" applyBorder="1" applyAlignment="1">
      <alignment horizontal="center" vertical="center" wrapText="1"/>
    </xf>
    <xf numFmtId="0" fontId="31" fillId="2" borderId="41" xfId="9" applyFont="1" applyFill="1" applyBorder="1" applyAlignment="1">
      <alignment horizontal="center" vertical="center" wrapText="1"/>
    </xf>
    <xf numFmtId="0" fontId="31" fillId="2" borderId="42" xfId="9" applyFont="1" applyFill="1" applyBorder="1" applyAlignment="1">
      <alignment horizontal="center" vertical="center" wrapText="1"/>
    </xf>
    <xf numFmtId="0" fontId="15" fillId="9" borderId="70" xfId="9" applyFont="1" applyFill="1" applyBorder="1" applyAlignment="1">
      <alignment horizontal="center" vertical="center" wrapText="1"/>
    </xf>
    <xf numFmtId="0" fontId="15" fillId="9" borderId="71" xfId="9" applyFont="1" applyFill="1" applyBorder="1" applyAlignment="1">
      <alignment horizontal="center" vertical="center" wrapText="1"/>
    </xf>
    <xf numFmtId="0" fontId="15" fillId="9" borderId="61" xfId="9" applyFont="1" applyFill="1" applyBorder="1" applyAlignment="1">
      <alignment horizontal="center" vertical="center" wrapText="1"/>
    </xf>
    <xf numFmtId="0" fontId="15" fillId="9" borderId="72" xfId="9" applyFont="1" applyFill="1" applyBorder="1" applyAlignment="1">
      <alignment horizontal="center" vertical="center" wrapText="1"/>
    </xf>
    <xf numFmtId="0" fontId="15" fillId="9" borderId="73" xfId="9" applyFont="1" applyFill="1" applyBorder="1" applyAlignment="1">
      <alignment horizontal="center" vertical="center" wrapText="1"/>
    </xf>
    <xf numFmtId="0" fontId="15" fillId="9" borderId="74" xfId="9" applyFont="1" applyFill="1" applyBorder="1" applyAlignment="1">
      <alignment horizontal="center" vertical="center" wrapText="1"/>
    </xf>
    <xf numFmtId="3" fontId="26" fillId="13" borderId="66" xfId="9" applyNumberFormat="1" applyFont="1" applyFill="1" applyBorder="1" applyAlignment="1">
      <alignment horizontal="center" vertical="center" wrapText="1"/>
    </xf>
    <xf numFmtId="0" fontId="15" fillId="2" borderId="76" xfId="9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14" fillId="0" borderId="70" xfId="9" applyFont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26" fillId="13" borderId="121" xfId="9" applyFont="1" applyFill="1" applyBorder="1" applyAlignment="1">
      <alignment horizontal="center" vertical="center" wrapText="1"/>
    </xf>
    <xf numFmtId="0" fontId="0" fillId="0" borderId="122" xfId="0" applyBorder="1" applyAlignment="1">
      <alignment horizontal="center" vertical="center"/>
    </xf>
    <xf numFmtId="0" fontId="0" fillId="0" borderId="19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20" fillId="2" borderId="167" xfId="9" applyFont="1" applyFill="1" applyBorder="1" applyAlignment="1">
      <alignment horizontal="center" vertical="center" wrapText="1"/>
    </xf>
    <xf numFmtId="0" fontId="31" fillId="2" borderId="168" xfId="9" applyFont="1" applyFill="1" applyBorder="1" applyAlignment="1">
      <alignment horizontal="center" vertical="center" wrapText="1"/>
    </xf>
    <xf numFmtId="0" fontId="31" fillId="2" borderId="169" xfId="9" applyFont="1" applyFill="1" applyBorder="1" applyAlignment="1">
      <alignment horizontal="center" vertical="center" wrapText="1"/>
    </xf>
    <xf numFmtId="0" fontId="1" fillId="0" borderId="0" xfId="4" applyAlignment="1">
      <alignment horizontal="center"/>
    </xf>
    <xf numFmtId="0" fontId="15" fillId="2" borderId="50" xfId="9" applyFont="1" applyFill="1" applyBorder="1" applyAlignment="1">
      <alignment horizontal="center" vertical="center"/>
    </xf>
    <xf numFmtId="0" fontId="15" fillId="2" borderId="165" xfId="9" applyFont="1" applyFill="1" applyBorder="1" applyAlignment="1">
      <alignment horizontal="center" vertical="center"/>
    </xf>
    <xf numFmtId="0" fontId="15" fillId="2" borderId="62" xfId="9" applyFont="1" applyFill="1" applyBorder="1" applyAlignment="1">
      <alignment horizontal="center" vertical="center"/>
    </xf>
    <xf numFmtId="0" fontId="1" fillId="2" borderId="41" xfId="9" applyFill="1" applyBorder="1" applyAlignment="1">
      <alignment horizontal="center" vertical="center"/>
    </xf>
    <xf numFmtId="0" fontId="1" fillId="2" borderId="42" xfId="9" applyFill="1" applyBorder="1" applyAlignment="1">
      <alignment horizontal="center" vertical="center"/>
    </xf>
    <xf numFmtId="0" fontId="1" fillId="2" borderId="84" xfId="9" applyFill="1" applyBorder="1" applyAlignment="1">
      <alignment horizontal="center" vertical="center" wrapText="1"/>
    </xf>
    <xf numFmtId="0" fontId="14" fillId="0" borderId="61" xfId="9" applyFont="1" applyBorder="1" applyAlignment="1">
      <alignment horizontal="center" vertical="center" wrapText="1"/>
    </xf>
    <xf numFmtId="0" fontId="14" fillId="0" borderId="73" xfId="9" applyFont="1" applyBorder="1" applyAlignment="1">
      <alignment horizontal="center" vertical="center" wrapText="1"/>
    </xf>
    <xf numFmtId="0" fontId="26" fillId="13" borderId="122" xfId="9" applyFont="1" applyFill="1" applyBorder="1" applyAlignment="1">
      <alignment horizontal="center" vertical="center" wrapText="1"/>
    </xf>
    <xf numFmtId="0" fontId="19" fillId="15" borderId="76" xfId="9" applyFont="1" applyFill="1" applyBorder="1" applyAlignment="1">
      <alignment horizontal="center" vertical="center" wrapText="1"/>
    </xf>
    <xf numFmtId="0" fontId="19" fillId="15" borderId="77" xfId="9" applyFont="1" applyFill="1" applyBorder="1" applyAlignment="1">
      <alignment horizontal="center" vertical="center" wrapText="1"/>
    </xf>
    <xf numFmtId="0" fontId="19" fillId="15" borderId="78" xfId="9" applyFont="1" applyFill="1" applyBorder="1" applyAlignment="1">
      <alignment horizontal="center" vertical="center" wrapText="1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79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/>
    </xf>
    <xf numFmtId="0" fontId="11" fillId="5" borderId="153" xfId="0" applyFont="1" applyFill="1" applyBorder="1" applyAlignment="1" applyProtection="1">
      <alignment horizontal="center"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1" fillId="5" borderId="190" xfId="0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5" borderId="2" xfId="0" applyFont="1" applyFill="1" applyBorder="1" applyAlignment="1" applyProtection="1">
      <alignment horizontal="center" vertical="center" wrapText="1"/>
    </xf>
    <xf numFmtId="0" fontId="76" fillId="0" borderId="0" xfId="0" applyFont="1" applyBorder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4" fillId="0" borderId="135" xfId="8" applyBorder="1" applyAlignment="1">
      <alignment horizontal="center" vertical="center"/>
    </xf>
    <xf numFmtId="0" fontId="4" fillId="0" borderId="138" xfId="8" applyBorder="1" applyAlignment="1">
      <alignment horizontal="center" vertical="center"/>
    </xf>
    <xf numFmtId="0" fontId="4" fillId="0" borderId="142" xfId="8" applyBorder="1" applyAlignment="1">
      <alignment horizontal="center" vertical="center"/>
    </xf>
    <xf numFmtId="0" fontId="11" fillId="9" borderId="0" xfId="0" applyFont="1" applyFill="1" applyBorder="1" applyAlignment="1" applyProtection="1">
      <alignment horizontal="center" vertical="center" wrapText="1"/>
    </xf>
    <xf numFmtId="0" fontId="81" fillId="9" borderId="0" xfId="1" applyFont="1" applyFill="1" applyAlignment="1">
      <alignment horizontal="center" vertical="center" wrapText="1"/>
    </xf>
    <xf numFmtId="0" fontId="11" fillId="5" borderId="159" xfId="0" applyFont="1" applyFill="1" applyBorder="1" applyAlignment="1" applyProtection="1">
      <alignment horizontal="center" vertical="center" wrapText="1"/>
    </xf>
  </cellXfs>
  <cellStyles count="61">
    <cellStyle name="%" xfId="1" xr:uid="{00000000-0005-0000-0000-000000000000}"/>
    <cellStyle name="% 2" xfId="2" xr:uid="{00000000-0005-0000-0000-000001000000}"/>
    <cellStyle name="% 2 2" xfId="3" xr:uid="{00000000-0005-0000-0000-000002000000}"/>
    <cellStyle name="% 2 3" xfId="4" xr:uid="{00000000-0005-0000-0000-000003000000}"/>
    <cellStyle name="% 3 3" xfId="56" xr:uid="{DED1B44E-6CDD-4417-837B-70D0157BD57C}"/>
    <cellStyle name="20% - Énfasis1 2" xfId="12" xr:uid="{00000000-0005-0000-0000-000004000000}"/>
    <cellStyle name="20% - Énfasis2 2" xfId="13" xr:uid="{00000000-0005-0000-0000-000005000000}"/>
    <cellStyle name="20% - Énfasis3 2" xfId="14" xr:uid="{00000000-0005-0000-0000-000006000000}"/>
    <cellStyle name="20% - Énfasis4 2" xfId="15" xr:uid="{00000000-0005-0000-0000-000007000000}"/>
    <cellStyle name="20% - Énfasis5 2" xfId="16" xr:uid="{00000000-0005-0000-0000-000008000000}"/>
    <cellStyle name="20% - Énfasis6 2" xfId="17" xr:uid="{00000000-0005-0000-0000-000009000000}"/>
    <cellStyle name="40% - Énfasis1 2" xfId="18" xr:uid="{00000000-0005-0000-0000-00000A000000}"/>
    <cellStyle name="40% - Énfasis2 2" xfId="19" xr:uid="{00000000-0005-0000-0000-00000B000000}"/>
    <cellStyle name="40% - Énfasis3 2" xfId="20" xr:uid="{00000000-0005-0000-0000-00000C000000}"/>
    <cellStyle name="40% - Énfasis4 2" xfId="21" xr:uid="{00000000-0005-0000-0000-00000D000000}"/>
    <cellStyle name="40% - Énfasis5 2" xfId="22" xr:uid="{00000000-0005-0000-0000-00000E000000}"/>
    <cellStyle name="40% - Énfasis6 2" xfId="23" xr:uid="{00000000-0005-0000-0000-00000F000000}"/>
    <cellStyle name="60% - Énfasis1 2" xfId="24" xr:uid="{00000000-0005-0000-0000-000010000000}"/>
    <cellStyle name="60% - Énfasis2 2" xfId="25" xr:uid="{00000000-0005-0000-0000-000011000000}"/>
    <cellStyle name="60% - Énfasis3 2" xfId="26" xr:uid="{00000000-0005-0000-0000-000012000000}"/>
    <cellStyle name="60% - Énfasis4 2" xfId="27" xr:uid="{00000000-0005-0000-0000-000013000000}"/>
    <cellStyle name="60% - Énfasis5 2" xfId="28" xr:uid="{00000000-0005-0000-0000-000014000000}"/>
    <cellStyle name="60% - Énfasis6 2" xfId="29" xr:uid="{00000000-0005-0000-0000-000015000000}"/>
    <cellStyle name="Buena 2" xfId="30" xr:uid="{00000000-0005-0000-0000-000016000000}"/>
    <cellStyle name="Cálculo 2" xfId="31" xr:uid="{00000000-0005-0000-0000-000017000000}"/>
    <cellStyle name="Celda de comprobación 2" xfId="32" xr:uid="{00000000-0005-0000-0000-000018000000}"/>
    <cellStyle name="Celda vinculada 2" xfId="33" xr:uid="{00000000-0005-0000-0000-000019000000}"/>
    <cellStyle name="Encabezado 4 2" xfId="34" xr:uid="{00000000-0005-0000-0000-00001A000000}"/>
    <cellStyle name="Énfasis1 2" xfId="35" xr:uid="{00000000-0005-0000-0000-00001B000000}"/>
    <cellStyle name="Énfasis2 2" xfId="36" xr:uid="{00000000-0005-0000-0000-00001C000000}"/>
    <cellStyle name="Énfasis3 2" xfId="37" xr:uid="{00000000-0005-0000-0000-00001D000000}"/>
    <cellStyle name="Énfasis4 2" xfId="38" xr:uid="{00000000-0005-0000-0000-00001E000000}"/>
    <cellStyle name="Énfasis5 2" xfId="39" xr:uid="{00000000-0005-0000-0000-00001F000000}"/>
    <cellStyle name="Énfasis6 2" xfId="40" xr:uid="{00000000-0005-0000-0000-000020000000}"/>
    <cellStyle name="Entrada 2" xfId="41" xr:uid="{00000000-0005-0000-0000-000021000000}"/>
    <cellStyle name="Euro" xfId="5" xr:uid="{00000000-0005-0000-0000-000022000000}"/>
    <cellStyle name="Incorrecto 2" xfId="42" xr:uid="{00000000-0005-0000-0000-000023000000}"/>
    <cellStyle name="Millares" xfId="6" builtinId="3"/>
    <cellStyle name="Millares 2" xfId="7" xr:uid="{00000000-0005-0000-0000-000025000000}"/>
    <cellStyle name="Millares 2 2" xfId="58" xr:uid="{EAAF18D6-40A2-4713-BFDA-7C7B79A5FB56}"/>
    <cellStyle name="Millares 3" xfId="11" xr:uid="{00000000-0005-0000-0000-000026000000}"/>
    <cellStyle name="Millares 4" xfId="54" xr:uid="{00000000-0005-0000-0000-000027000000}"/>
    <cellStyle name="Millares 5" xfId="60" xr:uid="{95ECE975-0F76-456A-8C47-D22EA24C4092}"/>
    <cellStyle name="Neutral 2" xfId="43" xr:uid="{00000000-0005-0000-0000-000028000000}"/>
    <cellStyle name="Normal" xfId="0" builtinId="0"/>
    <cellStyle name="Normal 1" xfId="55" xr:uid="{00000000-0005-0000-0000-00002A000000}"/>
    <cellStyle name="Normal 2" xfId="8" xr:uid="{00000000-0005-0000-0000-00002B000000}"/>
    <cellStyle name="Normal 2 2" xfId="9" xr:uid="{00000000-0005-0000-0000-00002C000000}"/>
    <cellStyle name="Normal 3" xfId="10" xr:uid="{00000000-0005-0000-0000-00002D000000}"/>
    <cellStyle name="Normal 4" xfId="53" xr:uid="{00000000-0005-0000-0000-00002E000000}"/>
    <cellStyle name="Normal 5" xfId="57" xr:uid="{4B410688-E2DC-42F7-BA86-7B4FC4C3DC4D}"/>
    <cellStyle name="Normal 6" xfId="59" xr:uid="{76A1B594-1B83-4326-B797-720235D2F225}"/>
    <cellStyle name="Notas 2" xfId="44" xr:uid="{00000000-0005-0000-0000-00002F000000}"/>
    <cellStyle name="Salida 2" xfId="45" xr:uid="{00000000-0005-0000-0000-000030000000}"/>
    <cellStyle name="Texto de advertencia 2" xfId="46" xr:uid="{00000000-0005-0000-0000-000031000000}"/>
    <cellStyle name="Texto explicativo 2" xfId="47" xr:uid="{00000000-0005-0000-0000-000032000000}"/>
    <cellStyle name="Título 1 2" xfId="49" xr:uid="{00000000-0005-0000-0000-000033000000}"/>
    <cellStyle name="Título 2 2" xfId="50" xr:uid="{00000000-0005-0000-0000-000034000000}"/>
    <cellStyle name="Título 3 2" xfId="51" xr:uid="{00000000-0005-0000-0000-000035000000}"/>
    <cellStyle name="Título 4" xfId="48" xr:uid="{00000000-0005-0000-0000-000036000000}"/>
    <cellStyle name="Total 2" xfId="52" xr:uid="{00000000-0005-0000-0000-000037000000}"/>
  </cellStyles>
  <dxfs count="125">
    <dxf>
      <alignment horizontal="general" vertical="center" textRotation="0" wrapText="0" indent="0" justifyLastLine="0" shrinkToFit="0" readingOrder="0"/>
      <border outline="0">
        <left style="thin">
          <color indexed="64"/>
        </left>
      </border>
    </dxf>
    <dxf>
      <font>
        <color theme="1"/>
        <family val="2"/>
      </font>
      <numFmt numFmtId="173" formatCode="#,##0_ ;[Red]\-#,##0\ 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FF33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b val="0"/>
        <i val="0"/>
        <color rgb="FFFF3300"/>
      </font>
      <fill>
        <patternFill>
          <bgColor theme="2" tint="-9.9948118533890809E-2"/>
        </patternFill>
      </fill>
    </dxf>
    <dxf>
      <font>
        <color rgb="FFFF0000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2"/>
      </font>
      <fill>
        <patternFill>
          <bgColor theme="0" tint="-4.9989318521683403E-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omisiónSVAs" displayName="ComisiónSVAs" ref="M3:N5" totalsRowShown="0" headerRowDxfId="18" dataDxfId="16" headerRowBorderDxfId="17" tableBorderDxfId="15" totalsRowBorderDxfId="14">
  <autoFilter ref="M3:N5" xr:uid="{00000000-0009-0000-0100-000005000000}"/>
  <tableColumns count="2">
    <tableColumn id="1" xr3:uid="{00000000-0010-0000-0000-000001000000}" name="SVA" dataDxfId="13"/>
    <tableColumn id="2" xr3:uid="{00000000-0010-0000-0000-000002000000}" name="IMPORT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ipoTarifa" displayName="TipoTarifa" ref="P2:Q42" totalsRowShown="0" headerRowDxfId="11" dataDxfId="9" headerRowBorderDxfId="10" tableBorderDxfId="8" totalsRowBorderDxfId="7">
  <autoFilter ref="P2:Q42" xr:uid="{00000000-0009-0000-0100-000006000000}"/>
  <tableColumns count="2">
    <tableColumn id="1" xr3:uid="{00000000-0010-0000-0100-000001000000}" name="TARIFA" dataDxfId="6" dataCellStyle="Normal 2"/>
    <tableColumn id="2" xr3:uid="{00000000-0010-0000-0100-000002000000}" name="TIPO DE TARIFA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DE809-8BA7-4670-813C-1A346A482BDC}" name="Tabla3" displayName="Tabla3" ref="M8:N11" totalsRowShown="0" headerRowDxfId="4">
  <autoFilter ref="M8:N11" xr:uid="{87009CDC-8447-4D7D-B26F-C86B48C8061D}"/>
  <tableColumns count="2">
    <tableColumn id="1" xr3:uid="{BF6774CB-3871-4587-A71B-24F08E98BF83}" name="PROMO"/>
    <tableColumn id="2" xr3:uid="{67BC1512-AB6D-4550-813D-197F62E36B9E}" name="IMPOR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25449-CF0A-4133-9F79-18F54C0A2D08}" name="Tabla32" displayName="Tabla32" ref="M16:O24" totalsRowShown="0" headerRowDxfId="3">
  <autoFilter ref="M16:O24" xr:uid="{DC825449-CF0A-4133-9F79-18F54C0A2D08}"/>
  <tableColumns count="3">
    <tableColumn id="1" xr3:uid="{BF82140A-8C4F-429A-90A9-72786C502D79}" name="PROMO" dataDxfId="2"/>
    <tableColumn id="2" xr3:uid="{AF5F9052-94E7-4371-9401-0DB05C12E7EA}" name="IMPORTE" dataDxfId="1"/>
    <tableColumn id="3" xr3:uid="{B1AEF4E1-1B61-4A5B-B94B-68012DB3BDBF}" name="APL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B0C2-B8E3-4E8E-8613-EC2F76866DA2}">
  <sheetPr codeName="Hoja1"/>
  <dimension ref="A1:AO155"/>
  <sheetViews>
    <sheetView topLeftCell="C1" workbookViewId="0">
      <selection activeCell="L11" sqref="L11"/>
    </sheetView>
  </sheetViews>
  <sheetFormatPr baseColWidth="10" defaultRowHeight="12.5"/>
  <cols>
    <col min="15" max="15" width="21.1796875" customWidth="1"/>
    <col min="16" max="16" width="7.1796875" customWidth="1"/>
  </cols>
  <sheetData>
    <row r="1" spans="1:4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30" customHeight="1" thickTop="1" thickBot="1">
      <c r="A3" s="1"/>
      <c r="B3" s="596" t="s">
        <v>7</v>
      </c>
      <c r="C3" s="597"/>
      <c r="D3" s="597"/>
      <c r="E3" s="597"/>
      <c r="F3" s="597"/>
      <c r="G3" s="597"/>
      <c r="H3" s="598"/>
      <c r="I3" s="602" t="s">
        <v>8</v>
      </c>
      <c r="J3" s="602"/>
      <c r="K3" s="602"/>
      <c r="L3" s="603" t="s">
        <v>628</v>
      </c>
      <c r="M3" s="603"/>
      <c r="N3" s="603"/>
      <c r="O3" s="426" t="s">
        <v>629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30" customHeight="1" thickTop="1" thickBot="1">
      <c r="A4" s="1"/>
      <c r="B4" s="599"/>
      <c r="C4" s="600"/>
      <c r="D4" s="600"/>
      <c r="E4" s="600"/>
      <c r="F4" s="600"/>
      <c r="G4" s="600"/>
      <c r="H4" s="601"/>
      <c r="I4" s="602" t="s">
        <v>9</v>
      </c>
      <c r="J4" s="602"/>
      <c r="K4" s="602"/>
      <c r="L4" s="604" t="s">
        <v>640</v>
      </c>
      <c r="M4" s="604"/>
      <c r="N4" s="60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3" thickTop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5.5">
      <c r="A7" s="1"/>
      <c r="B7" s="4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/>
      <c r="B9" s="1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/>
      <c r="B11" s="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.5">
      <c r="A14" s="1"/>
      <c r="B14" s="2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/>
      <c r="B16" s="24" t="s">
        <v>147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/>
      <c r="B17" s="24" t="s">
        <v>122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11" t="s">
        <v>161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24" t="s">
        <v>157</v>
      </c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9" t="s">
        <v>154</v>
      </c>
      <c r="C20" s="20"/>
      <c r="D20" s="20"/>
      <c r="E20" s="20"/>
      <c r="F20" s="20"/>
      <c r="G20" s="20"/>
      <c r="H20" s="20"/>
      <c r="I20" s="20"/>
      <c r="J20" s="20"/>
      <c r="K20" s="21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9" t="s">
        <v>155</v>
      </c>
      <c r="C21" s="20"/>
      <c r="D21" s="20"/>
      <c r="E21" s="20"/>
      <c r="F21" s="20"/>
      <c r="G21" s="20"/>
      <c r="H21" s="20"/>
      <c r="I21" s="20"/>
      <c r="J21" s="20"/>
      <c r="K21" s="22"/>
      <c r="L21" s="22"/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9" t="s">
        <v>156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B154" s="1"/>
    </row>
    <row r="155" spans="1:41">
      <c r="B155" s="1"/>
    </row>
  </sheetData>
  <sheetProtection algorithmName="SHA-512" hashValue="mBVIb2BvaFtSXl0Z4dBihZ/h4ZM6mAH0zJWP2MlN8Y7Wo4vlc24NOyft0V+SyP+8WiJ2hAeKnAqyYYco3PCJEA==" saltValue="QuITfpXam/E8mq+uCI2mZQ==" spinCount="100000" sheet="1" objects="1" scenarios="1"/>
  <mergeCells count="5">
    <mergeCell ref="B3:H4"/>
    <mergeCell ref="I3:K3"/>
    <mergeCell ref="L3:N3"/>
    <mergeCell ref="I4:K4"/>
    <mergeCell ref="L4:N4"/>
  </mergeCell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G143"/>
  <sheetViews>
    <sheetView tabSelected="1" zoomScale="70" zoomScaleNormal="70" workbookViewId="0">
      <selection activeCell="J126" sqref="J126"/>
    </sheetView>
  </sheetViews>
  <sheetFormatPr baseColWidth="10" defaultColWidth="11.453125" defaultRowHeight="13"/>
  <cols>
    <col min="1" max="1" width="30.81640625" style="132" customWidth="1"/>
    <col min="2" max="2" width="21.453125" style="132" customWidth="1"/>
    <col min="3" max="3" width="23.1796875" style="142" customWidth="1"/>
    <col min="4" max="4" width="15.81640625" style="142" customWidth="1"/>
    <col min="5" max="5" width="15.81640625" style="132" customWidth="1"/>
    <col min="6" max="6" width="19.1796875" style="132" customWidth="1"/>
    <col min="7" max="7" width="22.1796875" style="132" customWidth="1"/>
    <col min="8" max="8" width="17.54296875" style="132" customWidth="1"/>
    <col min="9" max="9" width="17.1796875" style="142" customWidth="1"/>
    <col min="10" max="10" width="37.453125" style="132" customWidth="1"/>
    <col min="11" max="11" width="15.81640625" style="142" customWidth="1"/>
    <col min="12" max="12" width="16.453125" style="142" customWidth="1"/>
    <col min="13" max="13" width="11.453125" style="132" customWidth="1"/>
    <col min="14" max="18" width="11.453125" style="132"/>
    <col min="19" max="19" width="13.54296875" style="132" bestFit="1" customWidth="1"/>
    <col min="20" max="16384" width="11.453125" style="132"/>
  </cols>
  <sheetData>
    <row r="1" spans="1:24" ht="28.5" thickTop="1">
      <c r="A1" s="497" t="s">
        <v>342</v>
      </c>
      <c r="B1" s="482"/>
      <c r="C1" s="483"/>
      <c r="D1" s="484" t="s">
        <v>214</v>
      </c>
      <c r="E1" s="485"/>
      <c r="F1" s="463" t="s">
        <v>2</v>
      </c>
      <c r="G1" s="486" t="s">
        <v>350</v>
      </c>
      <c r="H1" s="463" t="s">
        <v>359</v>
      </c>
      <c r="I1" s="487"/>
      <c r="J1" s="469" t="s">
        <v>343</v>
      </c>
      <c r="K1" s="470"/>
      <c r="L1" s="471"/>
      <c r="M1" s="472"/>
      <c r="N1" s="473"/>
      <c r="O1" s="473"/>
      <c r="P1" s="474"/>
    </row>
    <row r="2" spans="1:24" ht="25.5" customHeight="1">
      <c r="A2" s="490"/>
      <c r="B2" s="464" t="s">
        <v>448</v>
      </c>
      <c r="C2" s="465" t="s">
        <v>447</v>
      </c>
      <c r="D2" s="627" t="s">
        <v>96</v>
      </c>
      <c r="E2" s="628"/>
      <c r="F2" s="491"/>
      <c r="G2" s="491"/>
      <c r="H2" s="491"/>
      <c r="I2" s="488"/>
      <c r="J2" s="461" t="s">
        <v>481</v>
      </c>
      <c r="K2" s="374">
        <f>B111</f>
        <v>6</v>
      </c>
      <c r="L2" s="475"/>
      <c r="M2" s="476"/>
      <c r="N2" s="476"/>
      <c r="O2" s="476"/>
      <c r="P2" s="477"/>
    </row>
    <row r="3" spans="1:24">
      <c r="A3" s="500" t="s">
        <v>72</v>
      </c>
      <c r="B3" s="499">
        <f>SUMIFS($B$12:$B$101,$A$12:$A$101,A3)</f>
        <v>0</v>
      </c>
      <c r="C3" s="499">
        <f ca="1">B3+H19+H29+H39+H49+H59+H69+H79+H89+H99+F17+F27+F37+F47+F57+F67+F77+F87+F97</f>
        <v>0</v>
      </c>
      <c r="D3" s="618" t="s">
        <v>113</v>
      </c>
      <c r="E3" s="619"/>
      <c r="F3" s="620"/>
      <c r="G3" s="466" t="s">
        <v>206</v>
      </c>
      <c r="H3" s="496">
        <f>G5+G6+K4</f>
        <v>0</v>
      </c>
      <c r="I3" s="488"/>
      <c r="J3" s="498" t="s">
        <v>275</v>
      </c>
      <c r="K3" s="457">
        <f>P119+P126+P133+P140</f>
        <v>0</v>
      </c>
      <c r="L3" s="475">
        <f>IF(AND(K3&gt;0,K4&gt;1),1,0)</f>
        <v>0</v>
      </c>
      <c r="M3" s="476"/>
      <c r="N3" s="476"/>
      <c r="O3" s="476"/>
      <c r="P3" s="477"/>
    </row>
    <row r="4" spans="1:24" ht="12.75" customHeight="1">
      <c r="A4" s="500" t="s">
        <v>74</v>
      </c>
      <c r="B4" s="499">
        <f ca="1">SUMIFS($B$12:$B$101,$A$12:$A$101,A4)</f>
        <v>0</v>
      </c>
      <c r="C4" s="499">
        <f ca="1">$E$17+$B$4+$E$27+$E$37+$E$47+$E$57+$E$67+$E$77+$E$87+$E$97</f>
        <v>0</v>
      </c>
      <c r="D4" s="618" t="s">
        <v>419</v>
      </c>
      <c r="E4" s="619"/>
      <c r="F4" s="620"/>
      <c r="G4" s="496">
        <f>SUMIFS(B1:B101,A1:A101,"PERFIL DE ALTA")</f>
        <v>0</v>
      </c>
      <c r="H4" s="491"/>
      <c r="I4" s="488"/>
      <c r="J4" s="498" t="s">
        <v>335</v>
      </c>
      <c r="K4" s="457">
        <f>L119+L126+L133+L140</f>
        <v>0</v>
      </c>
      <c r="L4" s="475"/>
      <c r="M4" s="476"/>
      <c r="N4" s="476"/>
      <c r="O4" s="476"/>
      <c r="P4" s="477"/>
    </row>
    <row r="5" spans="1:24">
      <c r="A5" s="500" t="s">
        <v>118</v>
      </c>
      <c r="B5" s="499">
        <f>SUMIFS($B$12:$B$101,$A$12:$A$101,A5)</f>
        <v>0</v>
      </c>
      <c r="C5" s="499"/>
      <c r="D5" s="618" t="s">
        <v>97</v>
      </c>
      <c r="E5" s="619"/>
      <c r="F5" s="620"/>
      <c r="G5" s="502">
        <f>SUMIFS(B1:B101,A1:A101,"PERFIL DE ALTA",D1:D101,"multilínea",F1:F101,"sin datos")</f>
        <v>0</v>
      </c>
      <c r="H5" s="491"/>
      <c r="I5" s="488"/>
      <c r="J5" s="498" t="s">
        <v>344</v>
      </c>
      <c r="K5" s="457">
        <f>O119+O126+O133+O140</f>
        <v>0</v>
      </c>
      <c r="L5" s="475">
        <f>IF(K5&gt;0,1,0)</f>
        <v>0</v>
      </c>
      <c r="M5" s="476"/>
      <c r="N5" s="476"/>
      <c r="O5" s="476"/>
      <c r="P5" s="477"/>
    </row>
    <row r="6" spans="1:24">
      <c r="A6" s="501" t="s">
        <v>76</v>
      </c>
      <c r="B6" s="499">
        <f ca="1">SUMIFS($B$12:$B$101,$A$12:$A$101,A6)</f>
        <v>0</v>
      </c>
      <c r="C6" s="499">
        <f ca="1">B6</f>
        <v>0</v>
      </c>
      <c r="D6" s="618" t="s">
        <v>98</v>
      </c>
      <c r="E6" s="619"/>
      <c r="F6" s="620"/>
      <c r="G6" s="502">
        <f>SUMIFS(B1:B101,A1:A101,"PERFIL DE ALTA",D1:D101,"multilínea")-G5</f>
        <v>0</v>
      </c>
      <c r="H6" s="491"/>
      <c r="I6" s="488"/>
      <c r="J6" s="498" t="s">
        <v>247</v>
      </c>
      <c r="K6" s="457">
        <f>M119+M126+M133+M140</f>
        <v>0</v>
      </c>
      <c r="L6" s="475">
        <f>IF(K6&gt;1,K6,0)</f>
        <v>0</v>
      </c>
      <c r="M6" s="476"/>
      <c r="N6" s="476"/>
      <c r="O6" s="476"/>
      <c r="P6" s="477"/>
    </row>
    <row r="7" spans="1:24">
      <c r="A7" s="461" t="s">
        <v>112</v>
      </c>
      <c r="B7" s="499">
        <f ca="1">SUMIFS($B$12:$B$101,$A$12:$A$101,A7)</f>
        <v>0</v>
      </c>
      <c r="C7" s="499">
        <f ca="1">C3+C4+C6</f>
        <v>0</v>
      </c>
      <c r="D7" s="618" t="s">
        <v>99</v>
      </c>
      <c r="E7" s="619"/>
      <c r="F7" s="620"/>
      <c r="G7" s="502">
        <f>G4-G5-G6</f>
        <v>0</v>
      </c>
      <c r="H7" s="491"/>
      <c r="I7" s="488"/>
      <c r="J7" s="498" t="s">
        <v>336</v>
      </c>
      <c r="K7" s="457">
        <f>N119+N126+N133+N140</f>
        <v>0</v>
      </c>
      <c r="L7" s="475">
        <f>IF(K7&gt;0,1,0)</f>
        <v>0</v>
      </c>
      <c r="M7" s="476"/>
      <c r="N7" s="476"/>
      <c r="O7" s="476"/>
      <c r="P7" s="477"/>
    </row>
    <row r="8" spans="1:24">
      <c r="A8" s="614"/>
      <c r="B8" s="615"/>
      <c r="C8" s="492"/>
      <c r="D8" s="621"/>
      <c r="E8" s="621"/>
      <c r="F8" s="621"/>
      <c r="G8" s="491"/>
      <c r="H8" s="544">
        <f>(G4+IF(K4&gt;1,K4,0)-G7)</f>
        <v>0</v>
      </c>
      <c r="I8" s="489" t="s">
        <v>355</v>
      </c>
      <c r="J8" s="498" t="s">
        <v>366</v>
      </c>
      <c r="K8" s="457">
        <f>Q119+Q126+Q133+Q140</f>
        <v>0</v>
      </c>
      <c r="L8" s="475">
        <f>IF(K8&gt;0,1,0)</f>
        <v>0</v>
      </c>
      <c r="M8" s="476"/>
      <c r="N8" s="476"/>
      <c r="O8" s="476"/>
      <c r="P8" s="477"/>
    </row>
    <row r="9" spans="1:24" ht="24.75" customHeight="1" thickBot="1">
      <c r="A9" s="608" t="s">
        <v>361</v>
      </c>
      <c r="B9" s="609"/>
      <c r="C9" s="467" t="s">
        <v>2</v>
      </c>
      <c r="D9" s="622" t="s">
        <v>356</v>
      </c>
      <c r="E9" s="609"/>
      <c r="F9" s="543" t="str">
        <f>IF(AND(M13="SI",H8&gt;99),"NO",IF(C9="NO",IF(H9&gt;19,"SI",IF(L10&gt;0.5,"SI","NO")),IF(H9&gt;2,"SI",IF(K6+L7+L8+L5+L3+L9+L10&gt;0,"SI","NO"))))</f>
        <v>NO</v>
      </c>
      <c r="G9" s="494" t="s">
        <v>360</v>
      </c>
      <c r="H9" s="543">
        <f>IF(M13="SI",IF(H8&gt;99,99,H8),H8)</f>
        <v>0</v>
      </c>
      <c r="I9" s="391">
        <f>($I$15*$B$13+$I$25*$B$23+$I$35*$B$33+$I$45*$B$43+$I$55*$B$53+$I$65*$B$63+$I$75*$B$73+$I$85*$B$83+$I$95*$B$93+$B$110)/MR!$I$13</f>
        <v>0</v>
      </c>
      <c r="J9" s="498" t="s">
        <v>479</v>
      </c>
      <c r="K9" s="457">
        <f>S119+S126+S133+S140</f>
        <v>0</v>
      </c>
      <c r="L9" s="475">
        <f>IF(K9&gt;1,1,0)</f>
        <v>0</v>
      </c>
      <c r="M9" s="476"/>
      <c r="N9" s="476"/>
      <c r="O9" s="476"/>
      <c r="P9" s="477"/>
    </row>
    <row r="10" spans="1:24" ht="24" customHeight="1" thickTop="1" thickBot="1">
      <c r="A10" s="462" t="s">
        <v>363</v>
      </c>
      <c r="B10" s="468">
        <f ca="1">B7+K2+I10</f>
        <v>6</v>
      </c>
      <c r="C10" s="468">
        <f ca="1">C7+K2+I10</f>
        <v>6</v>
      </c>
      <c r="D10" s="493"/>
      <c r="E10" s="623" t="s">
        <v>364</v>
      </c>
      <c r="F10" s="624"/>
      <c r="G10" s="495" t="s">
        <v>365</v>
      </c>
      <c r="H10" s="503">
        <f>IF(AND(M13="SI",H8&gt;99),0,IF(F9="NO",0,J15+J25+J35+J45+J55+J65+J75+J85+J95+B110))</f>
        <v>0</v>
      </c>
      <c r="I10" s="504">
        <f>IF(H10&gt;6000,6000-H10,0)</f>
        <v>0</v>
      </c>
      <c r="J10" s="459" t="s">
        <v>480</v>
      </c>
      <c r="K10" s="460">
        <f>$T$120+$T$127+$T$134+$T$141</f>
        <v>0</v>
      </c>
      <c r="L10" s="478">
        <f>SUM(L3:L9)+K10</f>
        <v>0</v>
      </c>
      <c r="M10" s="479"/>
      <c r="N10" s="480"/>
      <c r="O10" s="480"/>
      <c r="P10" s="481"/>
    </row>
    <row r="11" spans="1:24" ht="14" thickTop="1" thickBot="1">
      <c r="A11" s="133"/>
      <c r="B11" s="133"/>
      <c r="C11" s="64"/>
      <c r="D11" s="64"/>
      <c r="E11" s="133"/>
      <c r="F11" s="133"/>
      <c r="G11" s="133"/>
      <c r="H11" s="133"/>
      <c r="I11" s="64"/>
      <c r="J11" s="133"/>
      <c r="K11" s="64"/>
      <c r="L11" s="64"/>
    </row>
    <row r="12" spans="1:24" s="52" customFormat="1" ht="26">
      <c r="A12" s="51"/>
      <c r="B12" s="29" t="s">
        <v>31</v>
      </c>
      <c r="C12" s="30" t="s">
        <v>14</v>
      </c>
      <c r="D12" s="30" t="s">
        <v>89</v>
      </c>
      <c r="E12" s="30" t="s">
        <v>19</v>
      </c>
      <c r="F12" s="30" t="s">
        <v>23</v>
      </c>
      <c r="G12" s="30" t="s">
        <v>30</v>
      </c>
      <c r="H12" s="30" t="s">
        <v>29</v>
      </c>
      <c r="I12" s="30" t="s">
        <v>33</v>
      </c>
      <c r="J12" s="30" t="s">
        <v>0</v>
      </c>
      <c r="K12" s="30" t="s">
        <v>75</v>
      </c>
      <c r="L12" s="31" t="s">
        <v>67</v>
      </c>
      <c r="M12" s="30" t="s">
        <v>204</v>
      </c>
      <c r="N12" s="30" t="s">
        <v>394</v>
      </c>
      <c r="O12" s="30" t="s">
        <v>441</v>
      </c>
      <c r="P12" s="30" t="s">
        <v>470</v>
      </c>
    </row>
    <row r="13" spans="1:24" s="55" customFormat="1" ht="13.5" thickBot="1">
      <c r="A13" s="32" t="s">
        <v>28</v>
      </c>
      <c r="B13" s="53">
        <v>0</v>
      </c>
      <c r="C13" s="54"/>
      <c r="D13" s="61" t="str">
        <f>IFERROR(INDEX(MR!Q:Q,MATCH(C13,MR!P:P,0)),"")</f>
        <v/>
      </c>
      <c r="E13" s="54"/>
      <c r="F13" s="54"/>
      <c r="G13" s="54"/>
      <c r="H13" s="54"/>
      <c r="I13" s="54" t="s">
        <v>2</v>
      </c>
      <c r="J13" s="54"/>
      <c r="K13" s="399" t="str">
        <f>IF(J13="","SIN TERMINAL",IF(D13="IEW",INDEX('PVP Subv IEW - Pyme'!F:F,MATCH(J13,'PVP Subv IEW - Pyme'!C:C,0)),INDEX('PVP Subv - Optima Pyme'!F:F,MATCH(J13,'PVP Subv - Optima Pyme'!C:C,0))))</f>
        <v>SIN TERMINAL</v>
      </c>
      <c r="L13" s="62" t="str">
        <f>IFERROR(IF(D13="IEW",INDEX('MODULOS OT IEW'!D:D,MATCH(C13,'MODULOS OT IEW'!A:A,0)),INDEX('MODULOS OT MULTILINEA'!F:F,MATCH(E13&amp;F13&amp;K13,'MODULOS OT MULTILINEA'!A:A,0))),"")</f>
        <v/>
      </c>
      <c r="M13" s="61" t="str">
        <f>+IF(C13="","",IF(OR(C13="Óptima Plus Empresas",C13="Óptima Plus Empresas BIG"),"SI","NO"))</f>
        <v/>
      </c>
      <c r="N13" s="61" t="str">
        <f>+IF(C13="","",IF($C$9="SI","NO",IF(OR(C13="Óptima Plus Empresas",C13="Óptima Plus Empresas BIG"),"SI","NO")))</f>
        <v/>
      </c>
      <c r="O13" s="61" t="str">
        <f>+IF(N13="NO","NO",IF(AND(E13="portabilidad",L13&lt;&gt;"ENTRADA PRO"),"SI","NO"))</f>
        <v>NO</v>
      </c>
      <c r="P13" s="61">
        <f>IF(AND(E13="capta",F13="EMPRESAS VOZ"),0,1)</f>
        <v>1</v>
      </c>
    </row>
    <row r="14" spans="1:24" s="52" customFormat="1" ht="24.65" customHeight="1">
      <c r="A14" s="56"/>
      <c r="B14" s="33" t="s">
        <v>78</v>
      </c>
      <c r="C14" s="34" t="s">
        <v>77</v>
      </c>
      <c r="D14" s="57" t="s">
        <v>23</v>
      </c>
      <c r="E14" s="33" t="s">
        <v>235</v>
      </c>
      <c r="F14" s="33" t="s">
        <v>328</v>
      </c>
      <c r="G14" s="66" t="s">
        <v>73</v>
      </c>
      <c r="H14" s="66" t="s">
        <v>394</v>
      </c>
      <c r="I14" s="205" t="s">
        <v>354</v>
      </c>
      <c r="J14" s="63"/>
      <c r="K14" s="63"/>
      <c r="L14" s="35"/>
      <c r="M14" s="35"/>
      <c r="N14" s="35">
        <f>IF(N13="SI",1,0)</f>
        <v>0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24" s="55" customFormat="1">
      <c r="A15" s="36" t="s">
        <v>72</v>
      </c>
      <c r="B15" s="37">
        <f>C15*B13</f>
        <v>0</v>
      </c>
      <c r="C15" s="60">
        <f>D15+E15+F15+G15-H16*N14+I15</f>
        <v>0</v>
      </c>
      <c r="D15" s="441">
        <f>IFERROR(IF(AND(M13="SI",$G$3="Cliente 1-19 líneas"),SUMIFS(MR!$B$5:$B$13,MR!$A$5:$A$13,F13),IF(AND(M13="SI",$G$3="Cliente 20-39 líneas"),SUMIFS(MR!$C$5:$C$13,MR!$A$5:$A$13,F13),IF(AND(M13="SI",$G$3="Cliente &gt; 40 líneas"),SUMIFS(MR!$D$5:$D$13,MR!$A$5:$A$13,F13),IF(AND(M13="NO",$G$3="Cliente 1-19 líneas"),SUMIFS(MR!$B$17:$B$25,MR!$A$17:$A$25,F13),IF(AND(M13="NO",$G$3="Cliente 20-39 líneas"),SUMIFS(MR!$C$17:$C$25,MR!$A$17:$A$25,F13),IF(AND(M13="NO",$G$3="Cliente &gt; 40 líneas"),SUMIFS(MR!$D$17:$D$25,MR!$A$17:$A$25,F13),0)))))),)+IFERROR(IF(AND(M13="SI",$G$3="Cliente 1-19 líneas"),SUMIFS(MR!$B$30:$B$37,MR!$A$30:$A$37,F13),IF(AND(M13="SI",$G$3="Cliente 20-39 líneas"),SUMIFS(MR!$C$30:$C$37,MR!$A$30:$A$37,F13),IF(AND(M13="SI",$G$3="Cliente &gt; 40 líneas"),SUMIFS(MR!$D$30:$D$37,MR!$A$30:$A$37,F13),IF(AND(M13="NO",$G$3="Cliente 1-19 líneas"),SUMIFS(MR!$B$41:$B$48,MR!$A$41:$A$48,F13),IF(AND(M13="NO",$G$3="Cliente 20-39 líneas"),SUMIFS(MR!$C$41:$C$48,MR!$A$41:$A$48,F13),IF(AND(M13="NO",$G$3="Cliente &gt; 40 líneas"),SUMIFS(MR!$D$41:$D$48,MR!$A$41:$A$48,F13),0)))))),)</f>
        <v>0</v>
      </c>
      <c r="E15" s="442">
        <f>IFERROR(IF(AND(M13="SI",E13="capta",D13="multilínea"),SUMIFS(MR!$E$5:$E$13,MR!$A$5:$A$13,F13),IF(AND(M13="SI",E13="portabilidad",D13="multilínea"),SUMIFS(MR!$F$5:$F$13,MR!$A$5:$A$13,F13),IF(AND(M13="NO",E13="capta",D13="multilínea"),SUMIFS(MR!$E$17:$E$25,MR!$A$17:$A$25,F13),IF(AND(M13="NO",E13="portabilidad",D13="multilínea"),SUMIFS(MR!$F$17:$F$25,MR!$A$17:$A$25,F13),IF(AND(M13="NO",E13="capta",D13="IEW"),SUMIFS(MR!$B$53:$B$61,MR!$A$53:$A$61,C13),IF(AND(M13="NO",E13="portabilidad",D13="IEW"),SUMIFS(MR!$B$53:$B$61,MR!$A$53:$A$61,C13),0)))))),)+IFERROR(IF(AND(M13="SI",E13="capta",D13="multilínea"),SUMIFS(MR!$E$30:$E$37,MR!$A$30:$A$37,F13),IF(AND(M13="SI",E13="portabilidad",D13="multilínea"),SUMIFS(MR!$F$30:$F$37,MR!$A$30:$A$37,F13),IF(AND(M13="NO",E13="capta",D13="multilínea"),SUMIFS(MR!$E$48:$E$398,MR!$A$41:$A$48,F13),IF(AND(M13="NO",E13="portabilidad",D13="multilínea"),SUMIFS(MR!$F$41:$F$48,MR!$A$41:$A$48,F13),0)))),)</f>
        <v>0</v>
      </c>
      <c r="F15" s="442">
        <f>(IFERROR(IF(K13="SIN TERMINAL",0,IF(I13="SI",10,SUMIFS(MR!$G$6:$G$11,MR!$A$6:$A$11,F13))),0))*K15</f>
        <v>0</v>
      </c>
      <c r="G15" s="443">
        <f>IFERROR(IF(D13="multilínea",IF(G13="SI",MR!$N$4,0)+IF(H13="SI",MR!$N$5,0),0),0)</f>
        <v>0</v>
      </c>
      <c r="H15" s="444"/>
      <c r="I15" s="445">
        <f>(IF(D13="multilínea",IF($F$9="SI",IF($M13="SI",SUMIFS(MR!$I$6:$I$11,MR!$A$6:$A$11,F13),SUMIFS(MR!$I$18:$I$23,MR!$A$18:$A$23,F13))),SUMIFS(MR!$D$54:$D$61,MR!$A$54:$A$61,C13)))*P13</f>
        <v>0</v>
      </c>
      <c r="J15" s="65">
        <f>IF(M13="SI",IF(B13&gt;99,99*I15,I15*B13),I15*B13)</f>
        <v>0</v>
      </c>
      <c r="K15" s="35">
        <f>IF(IFERROR(SEARCH("CESIÓN",$J13,1),0)&gt;0,0,1)</f>
        <v>1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s="55" customFormat="1">
      <c r="A16" s="36" t="s">
        <v>74</v>
      </c>
      <c r="B16" s="37" t="str">
        <f ca="1">IFERROR(C16*B13,"SIN OFERTA")</f>
        <v>SIN OFERTA</v>
      </c>
      <c r="C16" s="69" t="str">
        <f ca="1">IFERROR(IFERROR(IF($F$1="NO",
IF(I13="SI",IF(E13="portabilidad",
IF(D13="multilínea",IF(AND(C13&lt;&gt;"Soluciones Personalizadas RPV",C13&lt;&gt;"Soluciones Personalizadas Centrex"),
OFFSET(CeldaInicioDxCVAP,MATCH(J13,'PVP VaP - Pyme'!C:C,0)-1,MATCH(L13,'PVP VaP - Pyme'!$Z$22:$AL$22,0)-1)
+OFFSET(CeldaInicioDxCVAP,MATCH(J13,'PVP VaP - Pyme'!C:C,0)-1,MATCH(L13,'PVP VaP - Pyme'!$Z$22:$AL$22,0)))),
IF(D13="IEW",
OFFSET(CeldaInicioDxCVAPIEW,MATCH(J13,'PVP VaP IEW Pro - Pyme'!C:C,0)-1,MATCH(L13,'PVP VaP IEW Pro - Pyme'!$AA$22:$AH$22,0)-1)
+OFFSET(CeldaInicioDxCVAPIEW,MATCH(J13,'PVP VaP IEW Pro - Pyme'!C:C,0)-1,MATCH(L13,'PVP VaP IEW Pro - Pyme'!$AA$22:$AH$22,0)),
)),
IF(M13="","SIN OFERTA",IF(M13="SI",IF(B17="SIN OFERTA",B17,IF(D13="IEW",OFFSET(CeldaInicioDxCIEW,MATCH(J13,'PVP Subv IEW - Pyme'!C:C,0)-1,MATCH(L13,'PVP Subv IEW - Pyme'!$I$4:$L$4,0)-1),OFFSET(IF(E13="portabilidad",CeldaInicioDxCPorta,CeldaInicioDxCCapta),MATCH(J13,'PVP Subv - Optima Pyme'!$C:$C,0)-1,MATCH(L13,'PVP Subv - Optima Pyme'!$I$4:$M$4,0)-1))),
IF(B17="SIN OFERTA",B17,IF(D13="IEW",OFFSET(CeldaInicioDxCIEW,MATCH(J13,'PVP Subv IEW - Pyme'!C:C,0)-1,MATCH(L13,'PVP Subv IEW - Pyme'!$I$4:$L$4,0)-1),OFFSET(IF(E13="portabilidad",CeldaInicioDxCPorta9MAS,CeldaInicioDxCCapta9MAS),MATCH(J13,'PVP Subv - Sol Pers Pyme'!$C:$C,0)-1,MATCH(L13,'PVP Subv - Sol Pers Pyme'!$I$4:$M$4,0)-1)))))))
+IF($F$1="SI",
IF(I13="SI",IF(E13="portabilidad",
IF(D13="multilínea",IF(AND(C13&lt;&gt;"Soluciones Personalizadas RPV",C13&lt;&gt;"Soluciones Personalizadas Centrex"),
OFFSET(CeldaInicioDxCVAP,MATCH(J13,'PVP VaP - Pyme'!C:C,0)-1,MATCH(L13,'PVP VaP - Pyme'!$Z$22:$AL$22,0)-1)
+OFFSET(CeldaInicioDxCVAP,MATCH(J13,'PVP VaP - Pyme'!C:C,0)-1,MATCH(L13,'PVP VaP - Pyme'!$Z$22:$AL$22,0)))),
IF(D13="IEW",
OFFSET(CeldaInicioDxCVAPIEW,MATCH(J13,'PVP VaP IEW Pro - Pyme'!C:C,0)-1,MATCH(L13,'PVP VaP IEW Pro - Pyme'!$AA$22:$AH$22,0)-1)
+OFFSET(CeldaInicioDxCVAPIEW,MATCH(J13,'PVP VaP IEW Pro - Pyme'!C:C,0)-1,MATCH(L13,'PVP VaP IEW Pro - Pyme'!$AA$22:$AH$22,0)),
)),
IF(M13="","SIN OFERTA",IF(M13="SI",IF(B17="SIN OFERTA",B17,IF(D13="IEW",OFFSET(CeldaInicioDxCIEWAAPP,MATCH(J13,'PVP Subv IEW - Pyme AAPP'!C:C,0)-1,MATCH(L13,'PVP Subv IEW - Pyme AAPP'!$I$4:$L$4,0)-1),OFFSET(IF(E13="portabilidad",CeldaInicioDxCPortaAAPP,CeldaInicioDxCCaptaAAPP),MATCH(J13,'PVP Subv - Optima Pyme AAPP'!$C:$C,0)-1,MATCH(L13,'PVP Subv - Optima Pyme AAPP'!$I$4:$M$4,0)-1))),
IF(B17="SIN OFERTA",B17,IF(D13="IEW",OFFSET(CeldaInicioDxCIEWAAPP,MATCH(J13,'PVP Subv IEW - Pyme AAPP'!C:C,0)-1,MATCH(L13,'PVP Subv IEW - Pyme AAPP'!$I$4:$L$4,0)-1),OFFSET(IF(E13="portabilidad",CeldaInicioDxCPorta9MASAAPP,CeldaInicioDxCCapta9MASAAPP),MATCH(J13,'PVP Subv - Sol Pers Pyme AAPP'!$C:$C,0)-1,MATCH(L13,'PVP Subv - Sol Pers Pyme AAPP'!$I$4:$M$4,0)-1))))))),"SIN OFERTA")+D16,"SIN OFERTA")</f>
        <v>SIN OFERTA</v>
      </c>
      <c r="D16" s="438"/>
      <c r="E16" s="447" t="str">
        <f ca="1">IFERROR(F16*B13,"SIN OFERTA")</f>
        <v>SIN OFERTA</v>
      </c>
      <c r="F16" s="448" t="str">
        <f ca="1">IF(O13="SI",OFFSET(CeldadeinicioDxCportaCP36,MATCH(J13,'PVP Subv - Optima Pyme'!$C:$C,0)-1,MATCH(L13,'PVP Subv - Optima Pyme'!$BK$23:$BO$23,0)-1),"-")</f>
        <v>-</v>
      </c>
      <c r="G16" s="446"/>
      <c r="H16" s="407">
        <f>IFERROR(IF(N13="NO",0,SUMIFS(MR!$N$17:$N$21,MR!$M$17:$M$21,H15)),0)</f>
        <v>0</v>
      </c>
      <c r="J16" s="400"/>
      <c r="K16" s="63"/>
      <c r="L16" s="63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spans="1:25" s="55" customFormat="1" ht="14">
      <c r="A17" s="36" t="s">
        <v>118</v>
      </c>
      <c r="B17" s="37">
        <f>IFERROR(C17*B13,"SIN OFERTA")</f>
        <v>0</v>
      </c>
      <c r="C17" s="70"/>
      <c r="D17" s="40" t="s">
        <v>442</v>
      </c>
      <c r="E17" s="440">
        <f ca="1">IF(E16="SIN OFERTA",0,(E16-B16))</f>
        <v>0</v>
      </c>
      <c r="F17" s="513">
        <f ca="1">IF(B16="SIN OFERTA",0,5*B13)</f>
        <v>0</v>
      </c>
      <c r="G17" s="408" t="s">
        <v>404</v>
      </c>
      <c r="H17" s="625" t="str">
        <f>IFERROR(INDEX(Tabla32[APLICA],MATCH(H15,Tabla32[PROMO],0)),"")</f>
        <v/>
      </c>
      <c r="I17" s="626"/>
      <c r="J17" s="626"/>
      <c r="K17" s="63"/>
      <c r="L17" s="63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5" s="55" customFormat="1">
      <c r="A18" s="39" t="s">
        <v>76</v>
      </c>
      <c r="B18" s="37" t="str">
        <f ca="1">IFERROR(C18*B13,"SIN OFERTA")</f>
        <v>SIN OFERTA</v>
      </c>
      <c r="C18" s="69" t="str">
        <f ca="1">IF(M13="SI",IFERROR(-IF(D13="IEW",OFFSET(CeldaInicioPrecioCesiónIEW,MATCH(J13,'PVP Subv IEW - Pyme'!C:C,0)-1,0),OFFSET(CeldaInicioPrecioCesión,MATCH(J13,'PVP Subv - Optima Pyme'!$C:$C,0)-1,0)),"SIN OFERTA"),
IFERROR(-IF(D13="IEW",OFFSET(CeldaInicioPrecioCesiónIEW,MATCH(J13,'PVP Subv IEW - Pyme'!C:C,0)-1,0),OFFSET(CeldaInicioPrecioCesión,MATCH(J13,'PVP Subv - Sol Pers Pyme'!$C:$C,0)-1,0)),"SIN OFERTA"))</f>
        <v>SIN OFERTA</v>
      </c>
      <c r="D18" s="40"/>
      <c r="F18" s="439"/>
      <c r="H18" s="407">
        <f>IF(H16=12,H16+MR!$L$24,IF(H16=18,H16+MR!$L$23,IF(H16=48,H16+MR!$L$22,0)))</f>
        <v>0</v>
      </c>
      <c r="I18" s="63"/>
      <c r="J18" s="35"/>
      <c r="K18" s="63"/>
      <c r="L18" s="63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spans="1:25" s="55" customFormat="1" ht="13.5" customHeight="1" thickBot="1">
      <c r="A19" s="41" t="s">
        <v>112</v>
      </c>
      <c r="B19" s="42">
        <f ca="1">IFERROR(B13*C19,"SIN OFERTA")</f>
        <v>0</v>
      </c>
      <c r="C19" s="43">
        <f ca="1">IFERROR(C15+IF(NOT(ISNUMBER(C16)),0,C16)+IF(NOT(ISNUMBER(C17)),0,C17)+IF(NOT(ISNUMBER(C18)),0,C18),"SIN OFERTA")</f>
        <v>0</v>
      </c>
      <c r="D19" s="41" t="s">
        <v>449</v>
      </c>
      <c r="E19" s="42">
        <f ca="1">IFERROR(B13*F19,"SIN OFERTA")</f>
        <v>0</v>
      </c>
      <c r="F19" s="43">
        <f ca="1">IFERROR(C19+(E17/B13),0)</f>
        <v>0</v>
      </c>
      <c r="H19" s="407">
        <f>(H16-H18)*B13</f>
        <v>0</v>
      </c>
      <c r="I19" s="407" t="s">
        <v>457</v>
      </c>
      <c r="J19" s="410"/>
      <c r="K19" s="63"/>
      <c r="L19" s="63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spans="1:25" s="55" customFormat="1">
      <c r="C20" s="142"/>
      <c r="D20" s="142"/>
      <c r="I20" s="142"/>
      <c r="K20" s="142"/>
      <c r="L20" s="142"/>
    </row>
    <row r="21" spans="1:25" s="55" customFormat="1" ht="13.5" thickBot="1">
      <c r="C21" s="142"/>
      <c r="D21" s="142"/>
      <c r="I21" s="142"/>
      <c r="K21" s="142"/>
      <c r="L21" s="142"/>
    </row>
    <row r="22" spans="1:25" s="52" customFormat="1" ht="26">
      <c r="A22" s="36" t="s">
        <v>74</v>
      </c>
      <c r="B22" s="29" t="s">
        <v>31</v>
      </c>
      <c r="C22" s="30" t="s">
        <v>14</v>
      </c>
      <c r="D22" s="30" t="s">
        <v>89</v>
      </c>
      <c r="E22" s="30" t="s">
        <v>19</v>
      </c>
      <c r="F22" s="30" t="s">
        <v>23</v>
      </c>
      <c r="G22" s="30" t="s">
        <v>30</v>
      </c>
      <c r="H22" s="30" t="s">
        <v>29</v>
      </c>
      <c r="I22" s="30" t="s">
        <v>33</v>
      </c>
      <c r="J22" s="30" t="s">
        <v>0</v>
      </c>
      <c r="K22" s="30" t="s">
        <v>75</v>
      </c>
      <c r="L22" s="31" t="s">
        <v>67</v>
      </c>
      <c r="M22" s="30" t="s">
        <v>204</v>
      </c>
      <c r="N22" s="30" t="s">
        <v>394</v>
      </c>
      <c r="O22" s="30" t="s">
        <v>441</v>
      </c>
      <c r="P22" s="30" t="s">
        <v>470</v>
      </c>
    </row>
    <row r="23" spans="1:25" s="55" customFormat="1" ht="13.5" thickBot="1">
      <c r="A23" s="32" t="s">
        <v>28</v>
      </c>
      <c r="B23" s="53"/>
      <c r="C23" s="54"/>
      <c r="D23" s="61" t="str">
        <f>IFERROR(INDEX(MR!Q:Q,MATCH(C23,MR!P:P,0)),"")</f>
        <v/>
      </c>
      <c r="E23" s="54"/>
      <c r="F23" s="54"/>
      <c r="G23" s="54"/>
      <c r="H23" s="54"/>
      <c r="I23" s="54" t="s">
        <v>2</v>
      </c>
      <c r="J23" s="54"/>
      <c r="K23" s="399" t="str">
        <f>IF(J23="","SIN TERMINAL",IF(D23="IEW",INDEX('PVP Subv IEW - Pyme'!F:F,MATCH(J23,'PVP Subv IEW - Pyme'!C:C,0)),INDEX('PVP Subv - Optima Pyme'!F:F,MATCH(J23,'PVP Subv - Optima Pyme'!C:C,0))))</f>
        <v>SIN TERMINAL</v>
      </c>
      <c r="L23" s="62" t="str">
        <f>IFERROR(IF(D23="IEW",INDEX('MODULOS OT IEW'!D:D,MATCH(C23,'MODULOS OT IEW'!A:A,0)),INDEX('MODULOS OT MULTILINEA'!F:F,MATCH(E23&amp;F23&amp;K23,'MODULOS OT MULTILINEA'!A:A,0))),"")</f>
        <v/>
      </c>
      <c r="M23" s="61" t="str">
        <f>+IF(C23="","",IF(OR(C23="Óptima Plus Empresas",C23="Óptima Plus Empresas BIG"),"SI","NO"))</f>
        <v/>
      </c>
      <c r="N23" s="61" t="str">
        <f>+IF(C23="","",IF($C$9="SI","NO",IF(OR(C23="Óptima Plus Empresas",C23="Óptima Plus Empresas BIG"),"SI","NO")))</f>
        <v/>
      </c>
      <c r="O23" s="61" t="str">
        <f>+IF(N23="NO","NO",IF(AND(E23="portabilidad",L23&lt;&gt;"ENTRADA PRO"),"SI","NO"))</f>
        <v>NO</v>
      </c>
      <c r="P23" s="61">
        <f>IF(AND(E23="capta",F23="EMPRESAS VOZ"),0,1)</f>
        <v>1</v>
      </c>
    </row>
    <row r="24" spans="1:25" s="52" customFormat="1" ht="24.65" customHeight="1">
      <c r="A24" s="56"/>
      <c r="B24" s="33" t="s">
        <v>78</v>
      </c>
      <c r="C24" s="34" t="s">
        <v>77</v>
      </c>
      <c r="D24" s="57" t="s">
        <v>23</v>
      </c>
      <c r="E24" s="33" t="s">
        <v>235</v>
      </c>
      <c r="F24" s="33" t="s">
        <v>328</v>
      </c>
      <c r="G24" s="66" t="s">
        <v>73</v>
      </c>
      <c r="H24" s="66" t="s">
        <v>394</v>
      </c>
      <c r="I24" s="205" t="s">
        <v>354</v>
      </c>
      <c r="J24" s="35"/>
      <c r="K24" s="63"/>
      <c r="L24" s="63"/>
      <c r="M24" s="35"/>
      <c r="N24" s="35">
        <f>IF(N23="SI",1,0)</f>
        <v>0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spans="1:25" s="55" customFormat="1" ht="13.5" thickBot="1">
      <c r="A25" s="36" t="s">
        <v>72</v>
      </c>
      <c r="B25" s="42">
        <f>C25*B23</f>
        <v>0</v>
      </c>
      <c r="C25" s="60">
        <f>D25+E25+F25+G25-H26*N24+I25</f>
        <v>0</v>
      </c>
      <c r="D25" s="103">
        <f>IFERROR(IF(AND(M23="SI",$G$3="Cliente 1-19 líneas"),SUMIFS(MR!$B$5:$B$13,MR!$A$5:$A$13,F23),IF(AND(M23="SI",$G$3="Cliente 20-39 líneas"),SUMIFS(MR!$C$5:$C$13,MR!$A$5:$A$13,F23),IF(AND(M23="SI",$G$3="Cliente &gt; 40 líneas"),SUMIFS(MR!$D$5:$D$13,MR!$A$5:$A$13,F23),IF(AND(M23="NO",$G$3="Cliente 1-19 líneas"),SUMIFS(MR!$B$17:$B$25,MR!$A$17:$A$25,F23),IF(AND(M23="NO",$G$3="Cliente 20-39 líneas"),SUMIFS(MR!$C$17:$C$25,MR!$A$17:$A$25,F23),IF(AND(M23="NO",$G$3="Cliente &gt; 40 líneas"),SUMIFS(MR!$D$17:$D$25,MR!$A$17:$A$25,F23),0)))))),)+IFERROR(IF(AND(M23="SI",$G$3="Cliente 1-19 líneas"),SUMIFS(MR!$B$30:$B$37,MR!$A$30:$A$37,F23),IF(AND(M23="SI",$G$3="Cliente 20-39 líneas"),SUMIFS(MR!$C$30:$C$37,MR!$A$30:$A$37,F23),IF(AND(M23="SI",$G$3="Cliente &gt; 40 líneas"),SUMIFS(MR!$D$30:$D$37,MR!$A$30:$A$37,F23),IF(AND(M23="NO",$G$3="Cliente 1-19 líneas"),SUMIFS(MR!$B$41:$B$48,MR!$A$41:$A$48,F23),IF(AND(M23="NO",$G$3="Cliente 20-39 líneas"),SUMIFS(MR!$C$41:$C$48,MR!$A$41:$A$48,F23),IF(AND(M23="NO",$G$3="Cliente &gt; 40 líneas"),SUMIFS(MR!$D$41:$D$48,MR!$A$41:$A$48,F23),0)))))),)</f>
        <v>0</v>
      </c>
      <c r="E25" s="58">
        <f>IFERROR(IF(AND(M23="SI",E23="capta",D23="multilínea"),SUMIFS(MR!$E$5:$E$13,MR!$A$5:$A$13,F23),IF(AND(M23="SI",E23="portabilidad",D23="multilínea"),SUMIFS(MR!$F$5:$F$13,MR!$A$5:$A$13,F23),IF(AND(M23="NO",E23="capta",D23="multilínea"),SUMIFS(MR!$E$17:$E$25,MR!$A$17:$A$25,F23),IF(AND(M23="NO",E23="portabilidad",D23="multilínea"),SUMIFS(MR!$F$17:$F$25,MR!$A$17:$A$25,F23),IF(AND(M23="NO",E23="capta",D23="IEW"),SUMIFS(MR!$B$53:$B$61,MR!$A$53:$A$61,C23),IF(AND(M23="NO",E23="portabilidad",D23="IEW"),SUMIFS(MR!$B$53:$B$61,MR!$A$53:$A$61,C23),0)))))),)+IFERROR(IF(AND(M23="SI",E23="capta",D23="multilínea"),SUMIFS(MR!$E$30:$E$37,MR!$A$30:$A$37,F23),IF(AND(M23="SI",E23="portabilidad",D23="multilínea"),SUMIFS(MR!$F$30:$F$37,MR!$A$30:$A$37,F23),IF(AND(M23="NO",E23="capta",D23="multilínea"),SUMIFS(MR!$E$48:$E$398,MR!$A$41:$A$48,F23),IF(AND(M23="NO",E23="portabilidad",D23="multilínea"),SUMIFS(MR!$F$41:$F$48,MR!$A$41:$A$48,F23),0)))),)</f>
        <v>0</v>
      </c>
      <c r="F25" s="442">
        <f>(IFERROR(IF(K23="SIN TERMINAL",0,IF(I23="SI",10,SUMIFS(MR!$G$6:$G$11,MR!$A$6:$A$11,F23))),0))*K25</f>
        <v>0</v>
      </c>
      <c r="G25" s="324">
        <f>IFERROR(IF(D23="multilínea",IF(G23="SI",MR!$N$4,0)+IF(H23="SI",MR!$N$5,0),0),0)</f>
        <v>0</v>
      </c>
      <c r="H25" s="409"/>
      <c r="I25" s="445">
        <f>(IF(D23="multilínea",IF($F$9="SI",IF($M23="SI",SUMIFS(MR!$I$6:$I$11,MR!$A$6:$A$11,F23),SUMIFS(MR!$I$18:$I$23,MR!$A$18:$A$23,F23))),SUMIFS(MR!$D$54:$D$61,MR!$A$54:$A$61,C23)))*P23</f>
        <v>0</v>
      </c>
      <c r="J25" s="65">
        <f>IF(M23="SI",IF($B$13+$B$23&gt;99,(99-$B$13)*I25,B23*I25),B23*I25)</f>
        <v>0</v>
      </c>
      <c r="K25" s="35">
        <f>IF(IFERROR(SEARCH("CESIÓN",$J23,1),0)&gt;0,0,1)</f>
        <v>1</v>
      </c>
      <c r="L25" s="63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55" customFormat="1">
      <c r="A26" s="36" t="s">
        <v>74</v>
      </c>
      <c r="B26" s="37" t="str">
        <f ca="1">IFERROR(C26*B23,"SIN OFERTA")</f>
        <v>SIN OFERTA</v>
      </c>
      <c r="C26" s="69" t="str">
        <f ca="1">IFERROR(IFERROR(IF($F$1="NO",
IF(I23="SI",IF(E23="portabilidad",
IF(D23="multilínea",IF(AND(C23&lt;&gt;"Soluciones Personalizadas RPV",C23&lt;&gt;"Soluciones Personalizadas Centrex"),
OFFSET(CeldaInicioDxCVAP,MATCH(J23,'PVP VaP - Pyme'!C:C,0)-1,MATCH(L23,'PVP VaP - Pyme'!$Z$22:$AL$22,0)-1)
+OFFSET(CeldaInicioDxCVAP,MATCH(J23,'PVP VaP - Pyme'!C:C,0)-1,MATCH(L23,'PVP VaP - Pyme'!$Z$22:$AL$22,0)))),
IF(D23="IEW",
OFFSET(CeldaInicioDxCVAPIEW,MATCH(J23,'PVP VaP IEW Pro - Pyme'!C:C,0)-1,MATCH(L23,'PVP VaP IEW Pro - Pyme'!$AA$22:$AH$22,0)-1)
+OFFSET(CeldaInicioDxCVAPIEW,MATCH(J23,'PVP VaP IEW Pro - Pyme'!C:C,0)-1,MATCH(L23,'PVP VaP IEW Pro - Pyme'!$AA$22:$AH$22,0)),
)),
IF(M23="","SIN OFERTA",IF(M23="SI",IF(B27="SIN OFERTA",B27,IF(D23="IEW",OFFSET(CeldaInicioDxCIEW,MATCH(J23,'PVP Subv IEW - Pyme'!C:C,0)-1,MATCH(L23,'PVP Subv IEW - Pyme'!$I$4:$L$4,0)-1),OFFSET(IF(E23="portabilidad",CeldaInicioDxCPorta,CeldaInicioDxCCapta),MATCH(J23,'PVP Subv - Optima Pyme'!$C:$C,0)-1,MATCH(L23,'PVP Subv - Optima Pyme'!$I$4:$M$4,0)-1))),
IF(B27="SIN OFERTA",B27,IF(D23="IEW",OFFSET(CeldaInicioDxCIEW,MATCH(J23,'PVP Subv IEW - Pyme'!C:C,0)-1,MATCH(L23,'PVP Subv IEW - Pyme'!$I$4:$L$4,0)-1),OFFSET(IF(E23="portabilidad",CeldaInicioDxCPorta9MAS,CeldaInicioDxCCapta9MAS),MATCH(J23,'PVP Subv - Sol Pers Pyme'!$C:$C,0)-1,MATCH(L23,'PVP Subv - Sol Pers Pyme'!$I$4:$M$4,0)-1)))))))
+IF($F$1="SI",
IF(I23="SI",IF(E23="portabilidad",
IF(D23="multilínea",IF(AND(C23&lt;&gt;"Soluciones Personalizadas RPV",C23&lt;&gt;"Soluciones Personalizadas Centrex"),
OFFSET(CeldaInicioDxCVAP,MATCH(J23,'PVP VaP - Pyme'!C:C,0)-1,MATCH(L23,'PVP VaP - Pyme'!$Z$22:$AL$22,0)-1)
+OFFSET(CeldaInicioDxCVAP,MATCH(J23,'PVP VaP - Pyme'!C:C,0)-1,MATCH(L23,'PVP VaP - Pyme'!$Z$22:$AL$22,0)))),
IF(D23="IEW",
OFFSET(CeldaInicioDxCVAPIEW,MATCH(J23,'PVP VaP IEW Pro - Pyme'!C:C,0)-1,MATCH(L23,'PVP VaP IEW Pro - Pyme'!$AA$22:$AH$22,0)-1)
+OFFSET(CeldaInicioDxCVAPIEW,MATCH(J23,'PVP VaP IEW Pro - Pyme'!C:C,0)-1,MATCH(L23,'PVP VaP IEW Pro - Pyme'!$AA$22:$AH$22,0)),
)),
IF(M23="","SIN OFERTA",IF(M23="SI",IF(B27="SIN OFERTA",B27,IF(D23="IEW",OFFSET(CeldaInicioDxCIEWAAPP,MATCH(J23,'PVP Subv IEW - Pyme AAPP'!C:C,0)-1,MATCH(L23,'PVP Subv IEW - Pyme AAPP'!$I$4:$L$4,0)-1),OFFSET(IF(E23="portabilidad",CeldaInicioDxCPortaAAPP,CeldaInicioDxCCaptaAAPP),MATCH(J23,'PVP Subv - Optima Pyme AAPP'!$C:$C,0)-1,MATCH(L23,'PVP Subv - Optima Pyme AAPP'!$I$4:$M$4,0)-1))),
IF(B27="SIN OFERTA",B27,IF(D23="IEW",OFFSET(CeldaInicioDxCIEWAAPP,MATCH(J23,'PVP Subv IEW - Pyme AAPP'!C:C,0)-1,MATCH(L23,'PVP Subv IEW - Pyme AAPP'!$I$4:$L$4,0)-1),OFFSET(IF(E23="portabilidad",CeldaInicioDxCPorta9MASAAPP,CeldaInicioDxCCapta9MASAAPP),MATCH(J23,'PVP Subv - Sol Pers Pyme AAPP'!$C:$C,0)-1,MATCH(L23,'PVP Subv - Sol Pers Pyme AAPP'!$I$4:$M$4,0)-1))))))),"SIN OFERTA")+D26,"SIN OFERTA")</f>
        <v>SIN OFERTA</v>
      </c>
      <c r="D26" s="438"/>
      <c r="E26" s="447" t="str">
        <f ca="1">IFERROR(F26*B23,"SIN OFERTA")</f>
        <v>SIN OFERTA</v>
      </c>
      <c r="F26" s="448" t="str">
        <f ca="1">IF(O23="SI",OFFSET(CeldadeinicioDxCportaCP36,MATCH(J23,'PVP Subv - Optima Pyme'!$C:$C,0)-1,MATCH(L23,'PVP Subv - Optima Pyme'!$BK$23:$BO$23,0)-1),"-")</f>
        <v>-</v>
      </c>
      <c r="H26" s="407">
        <f>IFERROR(IF(N23="NO",0,SUMIFS(MR!$N$17:$N$21,MR!$M$17:$M$21,H25)),0)</f>
        <v>0</v>
      </c>
      <c r="I26" s="63"/>
      <c r="J26" s="35"/>
      <c r="K26" s="63"/>
      <c r="L26" s="63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spans="1:25" s="55" customFormat="1" ht="14">
      <c r="A27" s="36" t="s">
        <v>118</v>
      </c>
      <c r="B27" s="37">
        <f>IFERROR(C27*B23,"SIN OFERTA")</f>
        <v>0</v>
      </c>
      <c r="C27" s="70"/>
      <c r="D27" s="40" t="s">
        <v>442</v>
      </c>
      <c r="E27" s="440">
        <f ca="1">IF(E26="SIN OFERTA",0,(E26-B26))</f>
        <v>0</v>
      </c>
      <c r="F27" s="513">
        <f ca="1">IF(B26="SIN OFERTA",0,5*B23)</f>
        <v>0</v>
      </c>
      <c r="G27" s="408" t="s">
        <v>404</v>
      </c>
      <c r="H27" s="625" t="str">
        <f>IFERROR(INDEX(Tabla32[APLICA],MATCH(H25,Tabla32[PROMO],0)),"")</f>
        <v/>
      </c>
      <c r="I27" s="625"/>
      <c r="J27" s="625"/>
      <c r="K27" s="63"/>
      <c r="L27" s="63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5" s="55" customFormat="1">
      <c r="A28" s="39" t="s">
        <v>76</v>
      </c>
      <c r="B28" s="37" t="str">
        <f ca="1">IFERROR(C28*B23,"SIN OFERTA")</f>
        <v>SIN OFERTA</v>
      </c>
      <c r="C28" s="69" t="str">
        <f ca="1">IF(M23="SI",IFERROR(-IF(D23="IEW",OFFSET(CeldaInicioPrecioCesiónIEW,MATCH(J23,'PVP Subv IEW - Pyme'!C:C,0)-1,0),OFFSET(CeldaInicioPrecioCesión,MATCH(J23,'PVP Subv - Optima Pyme'!$C:$C,0)-1,0)),"SIN OFERTA"),
IFERROR(-IF(D23="IEW",OFFSET(CeldaInicioPrecioCesiónIEW,MATCH(J23,'PVP Subv IEW - Pyme'!C:C,0)-1,0),OFFSET(CeldaInicioPrecioCesión,MATCH(J23,'PVP Subv - Sol Pers Pyme'!$C:$C,0)-1,0)),"SIN OFERTA"))</f>
        <v>SIN OFERTA</v>
      </c>
      <c r="D28" s="40"/>
      <c r="H28" s="407">
        <f>IF(H26=12,H26+MR!$L$24,IF(H26=18,H26+MR!$L$23,IF(H26=48,H26+MR!$L$22,0)))</f>
        <v>0</v>
      </c>
      <c r="I28" s="63"/>
      <c r="J28" s="35"/>
      <c r="K28" s="63"/>
      <c r="L28" s="63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spans="1:25" s="55" customFormat="1" ht="13.5" thickBot="1">
      <c r="A29" s="41" t="s">
        <v>112</v>
      </c>
      <c r="B29" s="42">
        <f ca="1">IFERROR(B23*C29,"SIN OFERTA")</f>
        <v>0</v>
      </c>
      <c r="C29" s="43">
        <f ca="1">IFERROR(C25+IF(NOT(ISNUMBER(C26)),0,C26)+IF(NOT(ISNUMBER(C27)),0,C27)+IF(NOT(ISNUMBER(C28)),0,C28),"SIN OFERTA")</f>
        <v>0</v>
      </c>
      <c r="D29" s="41" t="s">
        <v>449</v>
      </c>
      <c r="E29" s="42">
        <f ca="1">IFERROR(B23*F29,"SIN OFERTA")</f>
        <v>0</v>
      </c>
      <c r="F29" s="43">
        <f ca="1">IFERROR(C29+(E27/B23),0)</f>
        <v>0</v>
      </c>
      <c r="H29" s="407">
        <f>(H26-H28)*B23</f>
        <v>0</v>
      </c>
      <c r="I29" s="407" t="s">
        <v>457</v>
      </c>
      <c r="J29" s="35"/>
      <c r="K29" s="63"/>
      <c r="L29" s="63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spans="1:25" s="55" customFormat="1">
      <c r="C30" s="142"/>
      <c r="D30" s="142"/>
      <c r="I30" s="142"/>
      <c r="K30" s="142"/>
      <c r="L30" s="142"/>
    </row>
    <row r="31" spans="1:25" s="55" customFormat="1" ht="13.5" thickBot="1">
      <c r="C31" s="142"/>
      <c r="D31" s="142"/>
      <c r="I31" s="142"/>
      <c r="K31" s="142"/>
      <c r="L31" s="142"/>
    </row>
    <row r="32" spans="1:25" s="52" customFormat="1" ht="26">
      <c r="A32" s="51"/>
      <c r="B32" s="29" t="s">
        <v>31</v>
      </c>
      <c r="C32" s="30" t="s">
        <v>14</v>
      </c>
      <c r="D32" s="30" t="s">
        <v>89</v>
      </c>
      <c r="E32" s="30" t="s">
        <v>19</v>
      </c>
      <c r="F32" s="30" t="s">
        <v>23</v>
      </c>
      <c r="G32" s="30" t="s">
        <v>30</v>
      </c>
      <c r="H32" s="30" t="s">
        <v>29</v>
      </c>
      <c r="I32" s="30" t="s">
        <v>33</v>
      </c>
      <c r="J32" s="30" t="s">
        <v>0</v>
      </c>
      <c r="K32" s="30" t="s">
        <v>75</v>
      </c>
      <c r="L32" s="31" t="s">
        <v>67</v>
      </c>
      <c r="M32" s="30" t="s">
        <v>204</v>
      </c>
      <c r="N32" s="30" t="s">
        <v>394</v>
      </c>
      <c r="O32" s="30" t="s">
        <v>441</v>
      </c>
      <c r="P32" s="30" t="s">
        <v>470</v>
      </c>
    </row>
    <row r="33" spans="1:25" s="55" customFormat="1" ht="25.5" customHeight="1" thickBot="1">
      <c r="A33" s="32" t="s">
        <v>28</v>
      </c>
      <c r="B33" s="53"/>
      <c r="C33" s="54"/>
      <c r="D33" s="61" t="str">
        <f>IFERROR(INDEX(MR!Q:Q,MATCH(C33,MR!P:P,0)),"")</f>
        <v/>
      </c>
      <c r="E33" s="54"/>
      <c r="F33" s="54"/>
      <c r="G33" s="54"/>
      <c r="H33" s="54"/>
      <c r="I33" s="54" t="s">
        <v>2</v>
      </c>
      <c r="J33" s="54"/>
      <c r="K33" s="399" t="str">
        <f>IF(J33="","SIN TERMINAL",IF(D33="IEW",INDEX('PVP Subv IEW - Pyme'!F:F,MATCH(J33,'PVP Subv IEW - Pyme'!C:C,0)),INDEX('PVP Subv - Optima Pyme'!F:F,MATCH(J33,'PVP Subv - Optima Pyme'!C:C,0))))</f>
        <v>SIN TERMINAL</v>
      </c>
      <c r="L33" s="62" t="str">
        <f>IFERROR(IF(D33="IEW",INDEX('MODULOS OT IEW'!D:D,MATCH(C33,'MODULOS OT IEW'!A:A,0)),INDEX('MODULOS OT MULTILINEA'!F:F,MATCH(E33&amp;F33&amp;K33,'MODULOS OT MULTILINEA'!A:A,0))),"")</f>
        <v/>
      </c>
      <c r="M33" s="61" t="str">
        <f>+IF(C33="","",IF(OR(C33="Óptima Plus Empresas",C33="Óptima Plus Empresas BIG"),"SI","NO"))</f>
        <v/>
      </c>
      <c r="N33" s="61" t="str">
        <f>+IF(C33="","",IF($C$9="SI","NO",IF(OR(C33="Óptima Plus Empresas",C33="Óptima Plus Empresas BIG"),"SI","NO")))</f>
        <v/>
      </c>
      <c r="O33" s="61" t="str">
        <f>+IF(N33="NO","NO",IF(AND(E33="portabilidad",L33&lt;&gt;"ENTRADA PRO"),"SI","NO"))</f>
        <v>NO</v>
      </c>
      <c r="P33" s="61">
        <f>IF(AND(E33="capta",F33="EMPRESAS VOZ"),0,1)</f>
        <v>1</v>
      </c>
    </row>
    <row r="34" spans="1:25" s="52" customFormat="1" ht="24.65" customHeight="1">
      <c r="A34" s="56"/>
      <c r="B34" s="33"/>
      <c r="C34" s="34" t="s">
        <v>77</v>
      </c>
      <c r="D34" s="57" t="s">
        <v>23</v>
      </c>
      <c r="E34" s="33" t="s">
        <v>235</v>
      </c>
      <c r="F34" s="33" t="s">
        <v>328</v>
      </c>
      <c r="G34" s="66" t="s">
        <v>73</v>
      </c>
      <c r="H34" s="66" t="s">
        <v>394</v>
      </c>
      <c r="I34" s="205" t="s">
        <v>354</v>
      </c>
      <c r="J34" s="35"/>
      <c r="K34" s="63"/>
      <c r="L34" s="63"/>
      <c r="M34" s="35"/>
      <c r="N34" s="35">
        <f>IF(N33="SI",1,0)</f>
        <v>0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s="55" customFormat="1" ht="16.5" customHeight="1" thickBot="1">
      <c r="A35" s="36" t="s">
        <v>72</v>
      </c>
      <c r="B35" s="37">
        <f>C35*B33</f>
        <v>0</v>
      </c>
      <c r="C35" s="60">
        <f>D35+E35+F35+G35-H36*N34+I35</f>
        <v>0</v>
      </c>
      <c r="D35" s="103">
        <f>IFERROR(IF(AND(M33="SI",$G$3="Cliente 1-19 líneas"),SUMIFS(MR!$B$5:$B$13,MR!$A$5:$A$13,F33),IF(AND(M33="SI",$G$3="Cliente 20-39 líneas"),SUMIFS(MR!$C$5:$C$13,MR!$A$5:$A$13,F33),IF(AND(M33="SI",$G$3="Cliente &gt; 40 líneas"),SUMIFS(MR!$D$5:$D$13,MR!$A$5:$A$13,F33),IF(AND(M33="NO",$G$3="Cliente 1-19 líneas"),SUMIFS(MR!$B$17:$B$25,MR!$A$17:$A$25,F33),IF(AND(M33="NO",$G$3="Cliente 20-39 líneas"),SUMIFS(MR!$C$17:$C$25,MR!$A$17:$A$25,F33),IF(AND(M33="NO",$G$3="Cliente &gt; 40 líneas"),SUMIFS(MR!$D$17:$D$25,MR!$A$17:$A$25,F33),0)))))),)+IFERROR(IF(AND(M33="SI",$G$3="Cliente 1-19 líneas"),SUMIFS(MR!$B$30:$B$37,MR!$A$30:$A$37,F33),IF(AND(M33="SI",$G$3="Cliente 20-39 líneas"),SUMIFS(MR!$C$30:$C$37,MR!$A$30:$A$37,F33),IF(AND(M33="SI",$G$3="Cliente &gt; 40 líneas"),SUMIFS(MR!$D$30:$D$37,MR!$A$30:$A$37,F33),IF(AND(M33="NO",$G$3="Cliente 1-19 líneas"),SUMIFS(MR!$B$41:$B$48,MR!$A$41:$A$48,F33),IF(AND(M33="NO",$G$3="Cliente 20-39 líneas"),SUMIFS(MR!$C$41:$C$48,MR!$A$41:$A$48,F33),IF(AND(M33="NO",$G$3="Cliente &gt; 40 líneas"),SUMIFS(MR!$D$41:$D$48,MR!$A$41:$A$48,F33),0)))))),)</f>
        <v>0</v>
      </c>
      <c r="E35" s="58">
        <f>IFERROR(IF(AND(M33="SI",E33="capta",D33="multilínea"),SUMIFS(MR!$E$5:$E$13,MR!$A$5:$A$13,F33),IF(AND(M33="SI",E33="portabilidad",D33="multilínea"),SUMIFS(MR!$F$5:$F$13,MR!$A$5:$A$13,F33),IF(AND(M33="NO",E33="capta",D33="multilínea"),SUMIFS(MR!$E$17:$E$25,MR!$A$17:$A$25,F33),IF(AND(M33="NO",E33="portabilidad",D33="multilínea"),SUMIFS(MR!$F$17:$F$25,MR!$A$17:$A$25,F33),IF(AND(M33="NO",E33="capta",D33="IEW"),SUMIFS(MR!$B$53:$B$61,MR!$A$53:$A$61,C33),IF(AND(M33="NO",E33="portabilidad",D33="IEW"),SUMIFS(MR!$B$53:$B$61,MR!$A$53:$A$61,C33),0)))))),)+IFERROR(IF(AND(M33="SI",E33="capta",D33="multilínea"),SUMIFS(MR!$E$30:$E$37,MR!$A$30:$A$37,F33),IF(AND(M33="SI",E33="portabilidad",D33="multilínea"),SUMIFS(MR!$F$30:$F$37,MR!$A$30:$A$37,F33),IF(AND(M33="NO",E33="capta",D33="multilínea"),SUMIFS(MR!$E$48:$E$398,MR!$A$41:$A$48,F33),IF(AND(M33="NO",E33="portabilidad",D33="multilínea"),SUMIFS(MR!$F$41:$F$48,MR!$A$41:$A$48,F33),0)))),)</f>
        <v>0</v>
      </c>
      <c r="F35" s="442">
        <f>(IFERROR(IF(K33="SIN TERMINAL",0,IF(I33="SI",10,SUMIFS(MR!$G$6:$G$11,MR!$A$6:$A$11,F33))),0))*K35</f>
        <v>0</v>
      </c>
      <c r="G35" s="59">
        <f>IFERROR(IF(D33="multilínea",IF(G33="SI",MR!$N$4,0)+IF(H33="SI",MR!$N$5,0),0),0)</f>
        <v>0</v>
      </c>
      <c r="H35" s="409"/>
      <c r="I35" s="445">
        <f>(IF(D33="multilínea",IF($F$9="SI",IF($M33="SI",SUMIFS(MR!$I$6:$I$11,MR!$A$6:$A$11,F33),SUMIFS(MR!$I$18:$I$23,MR!$A$18:$A$23,F33))),SUMIFS(MR!$D$54:$D$61,MR!$A$54:$A$61,C33)))*P33</f>
        <v>0</v>
      </c>
      <c r="J35" s="65">
        <f>IF(M33="SI",IF($B$13+$B$23+$B$33&gt;99,(99-$B$13-$B$23)*I35,B33*I35),B33*I35)</f>
        <v>0</v>
      </c>
      <c r="K35" s="35">
        <f>IF(IFERROR(SEARCH("CESIÓN",$J33,1),0)&gt;0,0,1)</f>
        <v>1</v>
      </c>
      <c r="L35" s="63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55" customFormat="1">
      <c r="A36" s="36" t="s">
        <v>74</v>
      </c>
      <c r="B36" s="37" t="str">
        <f ca="1">IFERROR(C36*B33,"SIN OFERTA")</f>
        <v>SIN OFERTA</v>
      </c>
      <c r="C36" s="69" t="str">
        <f ca="1">IFERROR(IFERROR(IF($F$1="NO",
IF(I33="SI",IF(E33="portabilidad",
IF(D33="multilínea",IF(AND(C33&lt;&gt;"Soluciones Personalizadas RPV",C33&lt;&gt;"Soluciones Personalizadas Centrex"),
OFFSET(CeldaInicioDxCVAP,MATCH(J33,'PVP VaP - Pyme'!C:C,0)-1,MATCH(L33,'PVP VaP - Pyme'!$Z$22:$AL$22,0)-1)
+OFFSET(CeldaInicioDxCVAP,MATCH(J33,'PVP VaP - Pyme'!C:C,0)-1,MATCH(L33,'PVP VaP - Pyme'!$Z$22:$AL$22,0)))),
IF(D33="IEW",
OFFSET(CeldaInicioDxCVAPIEW,MATCH(J33,'PVP VaP IEW Pro - Pyme'!C:C,0)-1,MATCH(L33,'PVP VaP IEW Pro - Pyme'!$AA$22:$AH$22,0)-1)
+OFFSET(CeldaInicioDxCVAPIEW,MATCH(J33,'PVP VaP IEW Pro - Pyme'!C:C,0)-1,MATCH(L33,'PVP VaP IEW Pro - Pyme'!$AA$22:$AH$22,0)),
)),
IF(M33="","SIN OFERTA",IF(M33="SI",IF(B37="SIN OFERTA",B37,IF(D33="IEW",OFFSET(CeldaInicioDxCIEW,MATCH(J33,'PVP Subv IEW - Pyme'!C:C,0)-1,MATCH(L33,'PVP Subv IEW - Pyme'!$I$4:$L$4,0)-1),OFFSET(IF(E33="portabilidad",CeldaInicioDxCPorta,CeldaInicioDxCCapta),MATCH(J33,'PVP Subv - Optima Pyme'!$C:$C,0)-1,MATCH(L33,'PVP Subv - Optima Pyme'!$I$4:$M$4,0)-1))),
IF(B37="SIN OFERTA",B37,IF(D33="IEW",OFFSET(CeldaInicioDxCIEW,MATCH(J33,'PVP Subv IEW - Pyme'!C:C,0)-1,MATCH(L33,'PVP Subv IEW - Pyme'!$I$4:$L$4,0)-1),OFFSET(IF(E33="portabilidad",CeldaInicioDxCPorta9MAS,CeldaInicioDxCCapta9MAS),MATCH(J33,'PVP Subv - Sol Pers Pyme'!$C:$C,0)-1,MATCH(L33,'PVP Subv - Sol Pers Pyme'!$I$4:$M$4,0)-1)))))))
+IF($F$1="SI",
IF(I33="SI",IF(E33="portabilidad",
IF(D33="multilínea",IF(AND(C33&lt;&gt;"Soluciones Personalizadas RPV",C33&lt;&gt;"Soluciones Personalizadas Centrex"),
OFFSET(CeldaInicioDxCVAP,MATCH(J33,'PVP VaP - Pyme'!C:C,0)-1,MATCH(L33,'PVP VaP - Pyme'!$Z$22:$AL$22,0)-1)
+OFFSET(CeldaInicioDxCVAP,MATCH(J33,'PVP VaP - Pyme'!C:C,0)-1,MATCH(L33,'PVP VaP - Pyme'!$Z$22:$AL$22,0)))),
IF(D33="IEW",
OFFSET(CeldaInicioDxCVAPIEW,MATCH(J33,'PVP VaP IEW Pro - Pyme'!C:C,0)-1,MATCH(L33,'PVP VaP IEW Pro - Pyme'!$AA$22:$AH$22,0)-1)
+OFFSET(CeldaInicioDxCVAPIEW,MATCH(J33,'PVP VaP IEW Pro - Pyme'!C:C,0)-1,MATCH(L33,'PVP VaP IEW Pro - Pyme'!$AA$22:$AH$22,0)),
)),
IF(M33="","SIN OFERTA",IF(M33="SI",IF(B37="SIN OFERTA",B37,IF(D33="IEW",OFFSET(CeldaInicioDxCIEWAAPP,MATCH(J33,'PVP Subv IEW - Pyme AAPP'!C:C,0)-1,MATCH(L33,'PVP Subv IEW - Pyme AAPP'!$I$4:$L$4,0)-1),OFFSET(IF(E33="portabilidad",CeldaInicioDxCPortaAAPP,CeldaInicioDxCCaptaAAPP),MATCH(J33,'PVP Subv - Optima Pyme AAPP'!$C:$C,0)-1,MATCH(L33,'PVP Subv - Optima Pyme AAPP'!$I$4:$M$4,0)-1))),
IF(B37="SIN OFERTA",B37,IF(D33="IEW",OFFSET(CeldaInicioDxCIEWAAPP,MATCH(J33,'PVP Subv IEW - Pyme AAPP'!C:C,0)-1,MATCH(L33,'PVP Subv IEW - Pyme AAPP'!$I$4:$L$4,0)-1),OFFSET(IF(E33="portabilidad",CeldaInicioDxCPorta9MASAAPP,CeldaInicioDxCCapta9MASAAPP),MATCH(J33,'PVP Subv - Sol Pers Pyme AAPP'!$C:$C,0)-1,MATCH(L33,'PVP Subv - Sol Pers Pyme AAPP'!$I$4:$M$4,0)-1))))))),"SIN OFERTA")+D36,"SIN OFERTA")</f>
        <v>SIN OFERTA</v>
      </c>
      <c r="D36" s="438"/>
      <c r="E36" s="447" t="str">
        <f ca="1">IFERROR(F36*B33,"SIN OFERTA")</f>
        <v>SIN OFERTA</v>
      </c>
      <c r="F36" s="448" t="str">
        <f ca="1">IF(O33="SI",OFFSET(CeldadeinicioDxCportaCP36,MATCH(J33,'PVP Subv - Optima Pyme'!$C:$C,0)-1,MATCH(L33,'PVP Subv - Optima Pyme'!$BK$23:$BO$23,0)-1),"-")</f>
        <v>-</v>
      </c>
      <c r="H36" s="407">
        <f>IFERROR(IF(N33="NO",0,SUMIFS(MR!$N$17:$N$21,MR!$M$17:$M$21,H35)),0)</f>
        <v>0</v>
      </c>
      <c r="I36" s="63"/>
      <c r="J36" s="35"/>
      <c r="K36" s="63"/>
      <c r="L36" s="63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spans="1:25" s="55" customFormat="1" ht="14">
      <c r="A37" s="36" t="s">
        <v>118</v>
      </c>
      <c r="B37" s="37">
        <f>IFERROR(C37*B33,"SIN OFERTA")</f>
        <v>0</v>
      </c>
      <c r="C37" s="70"/>
      <c r="D37" s="40" t="s">
        <v>442</v>
      </c>
      <c r="E37" s="440">
        <f ca="1">IF(E36="SIN OFERTA",0,(E36-B36))</f>
        <v>0</v>
      </c>
      <c r="F37" s="513">
        <f ca="1">IF(B36="SIN OFERTA",0,5*B33)</f>
        <v>0</v>
      </c>
      <c r="G37" s="408" t="s">
        <v>404</v>
      </c>
      <c r="H37" s="625" t="str">
        <f>IFERROR(INDEX(Tabla32[APLICA],MATCH(H35,Tabla32[PROMO],0)),"")</f>
        <v/>
      </c>
      <c r="I37" s="626"/>
      <c r="J37" s="626"/>
      <c r="K37" s="63"/>
      <c r="L37" s="63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spans="1:25" s="55" customFormat="1">
      <c r="A38" s="39" t="s">
        <v>76</v>
      </c>
      <c r="B38" s="37" t="str">
        <f ca="1">IFERROR(C38*B33,"SIN OFERTA")</f>
        <v>SIN OFERTA</v>
      </c>
      <c r="C38" s="69" t="str">
        <f ca="1">IF(M33="SI",IFERROR(-IF(D33="IEW",OFFSET(CeldaInicioPrecioCesiónIEW,MATCH(J33,'PVP Subv IEW - Pyme'!C:C,0)-1,0),OFFSET(CeldaInicioPrecioCesión,MATCH(J33,'PVP Subv - Optima Pyme'!$C:$C,0)-1,0)),"SIN OFERTA"),
IFERROR(-IF(D33="IEW",OFFSET(CeldaInicioPrecioCesiónIEW,MATCH(J33,'PVP Subv IEW - Pyme'!C:C,0)-1,0),OFFSET(CeldaInicioPrecioCesión,MATCH(J33,'PVP Subv - Sol Pers Pyme'!$C:$C,0)-1,0)),"SIN OFERTA"))</f>
        <v>SIN OFERTA</v>
      </c>
      <c r="D38" s="40"/>
      <c r="H38" s="407">
        <f>IF(H36=12,H36+MR!$L$24,IF(H36=18,H36+MR!$L$23,IF(H36=48,H36+MR!$L$22,0)))</f>
        <v>0</v>
      </c>
      <c r="I38" s="63"/>
      <c r="J38" s="35"/>
      <c r="K38" s="63"/>
      <c r="L38" s="63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5" s="55" customFormat="1" ht="13.5" thickBot="1">
      <c r="A39" s="41" t="s">
        <v>112</v>
      </c>
      <c r="B39" s="42">
        <f ca="1">IFERROR(B33*C39,"SIN OFERTA")</f>
        <v>0</v>
      </c>
      <c r="C39" s="43">
        <f ca="1">IFERROR(C35+IF(NOT(ISNUMBER(C36)),0,C36)+IF(NOT(ISNUMBER(C37)),0,C37)+IF(NOT(ISNUMBER(C38)),0,C38),"SIN OFERTA")</f>
        <v>0</v>
      </c>
      <c r="D39" s="41" t="s">
        <v>449</v>
      </c>
      <c r="E39" s="42">
        <f ca="1">IFERROR(B33*F39,"SIN OFERTA")</f>
        <v>0</v>
      </c>
      <c r="F39" s="43">
        <f ca="1">IFERROR(C39+(E37/B33),0)</f>
        <v>0</v>
      </c>
      <c r="H39" s="407">
        <f>(H36-H38)*B33</f>
        <v>0</v>
      </c>
      <c r="I39" s="407" t="s">
        <v>457</v>
      </c>
      <c r="J39" s="35"/>
      <c r="K39" s="63"/>
      <c r="L39" s="63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5" s="55" customFormat="1">
      <c r="C40" s="142"/>
      <c r="D40" s="142"/>
      <c r="I40" s="142"/>
      <c r="K40" s="142"/>
      <c r="L40" s="142"/>
    </row>
    <row r="41" spans="1:25" s="55" customFormat="1" ht="13.5" thickBot="1">
      <c r="C41" s="142"/>
      <c r="D41" s="142"/>
      <c r="I41" s="142"/>
      <c r="K41" s="142"/>
      <c r="L41" s="142"/>
    </row>
    <row r="42" spans="1:25" s="52" customFormat="1" ht="26">
      <c r="A42" s="51"/>
      <c r="B42" s="29" t="s">
        <v>31</v>
      </c>
      <c r="C42" s="30" t="s">
        <v>14</v>
      </c>
      <c r="D42" s="30" t="s">
        <v>89</v>
      </c>
      <c r="E42" s="30" t="s">
        <v>19</v>
      </c>
      <c r="F42" s="30" t="s">
        <v>23</v>
      </c>
      <c r="G42" s="30" t="s">
        <v>30</v>
      </c>
      <c r="H42" s="30" t="s">
        <v>29</v>
      </c>
      <c r="I42" s="30" t="s">
        <v>33</v>
      </c>
      <c r="J42" s="30" t="s">
        <v>0</v>
      </c>
      <c r="K42" s="30" t="s">
        <v>75</v>
      </c>
      <c r="L42" s="31" t="s">
        <v>67</v>
      </c>
      <c r="M42" s="30" t="s">
        <v>204</v>
      </c>
      <c r="N42" s="30" t="s">
        <v>394</v>
      </c>
      <c r="O42" s="30" t="s">
        <v>441</v>
      </c>
      <c r="P42" s="30" t="s">
        <v>470</v>
      </c>
    </row>
    <row r="43" spans="1:25" s="55" customFormat="1" ht="21.75" customHeight="1" thickBot="1">
      <c r="A43" s="32" t="s">
        <v>28</v>
      </c>
      <c r="B43" s="53"/>
      <c r="C43" s="54"/>
      <c r="D43" s="61" t="str">
        <f>IFERROR(INDEX(MR!Q:Q,MATCH(C43,MR!P:P,0)),"")</f>
        <v/>
      </c>
      <c r="E43" s="54"/>
      <c r="F43" s="54"/>
      <c r="G43" s="54"/>
      <c r="H43" s="54"/>
      <c r="I43" s="54"/>
      <c r="J43" s="54"/>
      <c r="K43" s="399" t="str">
        <f>IF(J43="","SIN TERMINAL",IF(D43="IEW",INDEX('PVP Subv IEW - Pyme'!F:F,MATCH(J43,'PVP Subv IEW - Pyme'!C:C,0)),INDEX('PVP Subv - Optima Pyme'!F:F,MATCH(J43,'PVP Subv - Optima Pyme'!C:C,0))))</f>
        <v>SIN TERMINAL</v>
      </c>
      <c r="L43" s="62" t="str">
        <f>IFERROR(IF(D43="IEW",INDEX('MODULOS OT IEW'!D:D,MATCH(C43,'MODULOS OT IEW'!A:A,0)),INDEX('MODULOS OT MULTILINEA'!F:F,MATCH(E43&amp;F43&amp;K43,'MODULOS OT MULTILINEA'!A:A,0))),"")</f>
        <v/>
      </c>
      <c r="M43" s="61" t="str">
        <f>+IF(C43="","",IF(OR(C43="Óptima Plus Empresas",C43="Óptima Plus Empresas BIG"),"SI","NO"))</f>
        <v/>
      </c>
      <c r="N43" s="61" t="str">
        <f>+IF(C43="","",IF($C$9="SI","NO",IF(OR(C43="Óptima Plus Empresas",C43="Óptima Plus Empresas BIG"),"SI","NO")))</f>
        <v/>
      </c>
      <c r="O43" s="61" t="str">
        <f>+IF(N43="NO","NO",IF(AND(E43="portabilidad",L43&lt;&gt;"ENTRADA PRO"),"SI","NO"))</f>
        <v>NO</v>
      </c>
      <c r="P43" s="61">
        <f>IF(AND(E43="capta",F43="EMPRESAS VOZ"),0,1)</f>
        <v>1</v>
      </c>
    </row>
    <row r="44" spans="1:25" s="52" customFormat="1" ht="24.65" customHeight="1">
      <c r="A44" s="56"/>
      <c r="B44" s="33" t="s">
        <v>78</v>
      </c>
      <c r="C44" s="34" t="s">
        <v>77</v>
      </c>
      <c r="D44" s="57" t="s">
        <v>23</v>
      </c>
      <c r="E44" s="33" t="s">
        <v>235</v>
      </c>
      <c r="F44" s="33" t="s">
        <v>328</v>
      </c>
      <c r="G44" s="66" t="s">
        <v>73</v>
      </c>
      <c r="H44" s="66" t="s">
        <v>394</v>
      </c>
      <c r="I44" s="205" t="s">
        <v>354</v>
      </c>
      <c r="J44" s="35"/>
      <c r="K44" s="63"/>
      <c r="L44" s="63"/>
      <c r="M44" s="35"/>
      <c r="N44" s="35">
        <f>IF(N43="SI",1,0)</f>
        <v>0</v>
      </c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spans="1:25" s="55" customFormat="1" ht="13.5" thickBot="1">
      <c r="A45" s="36" t="s">
        <v>72</v>
      </c>
      <c r="B45" s="37">
        <f>C45*B43</f>
        <v>0</v>
      </c>
      <c r="C45" s="60">
        <f>D45+E45+F45+G45-H46*N44+I45</f>
        <v>0</v>
      </c>
      <c r="D45" s="103">
        <f>IFERROR(IF(AND(M43="SI",$G$3="Cliente 1-19 líneas"),SUMIFS(MR!$B$5:$B$13,MR!$A$5:$A$13,F43),IF(AND(M43="SI",$G$3="Cliente 20-39 líneas"),SUMIFS(MR!$C$5:$C$13,MR!$A$5:$A$13,F43),IF(AND(M43="SI",$G$3="Cliente &gt; 40 líneas"),SUMIFS(MR!$D$5:$D$13,MR!$A$5:$A$13,F43),IF(AND(M43="NO",$G$3="Cliente 1-19 líneas"),SUMIFS(MR!$B$17:$B$25,MR!$A$17:$A$25,F43),IF(AND(M43="NO",$G$3="Cliente 20-39 líneas"),SUMIFS(MR!$C$17:$C$25,MR!$A$17:$A$25,F43),IF(AND(M43="NO",$G$3="Cliente &gt; 40 líneas"),SUMIFS(MR!$D$17:$D$25,MR!$A$17:$A$25,F43),0)))))),)+IFERROR(IF(AND(M43="SI",$G$3="Cliente 1-19 líneas"),SUMIFS(MR!$B$30:$B$37,MR!$A$30:$A$37,F43),IF(AND(M43="SI",$G$3="Cliente 20-39 líneas"),SUMIFS(MR!$C$30:$C$37,MR!$A$30:$A$37,F43),IF(AND(M43="SI",$G$3="Cliente &gt; 40 líneas"),SUMIFS(MR!$D$30:$D$37,MR!$A$30:$A$37,F43),IF(AND(M43="NO",$G$3="Cliente 1-19 líneas"),SUMIFS(MR!$B$41:$B$48,MR!$A$41:$A$48,F43),IF(AND(M43="NO",$G$3="Cliente 20-39 líneas"),SUMIFS(MR!$C$41:$C$48,MR!$A$41:$A$48,F43),IF(AND(M43="NO",$G$3="Cliente &gt; 40 líneas"),SUMIFS(MR!$D$41:$D$48,MR!$A$41:$A$48,F43),0)))))),)</f>
        <v>0</v>
      </c>
      <c r="E45" s="58">
        <f>IFERROR(IF(AND(M43="SI",E43="capta",D43="multilínea"),SUMIFS(MR!$E$5:$E$13,MR!$A$5:$A$13,F43),IF(AND(M43="SI",E43="portabilidad",D43="multilínea"),SUMIFS(MR!$F$5:$F$13,MR!$A$5:$A$13,F43),IF(AND(M43="NO",E43="capta",D43="multilínea"),SUMIFS(MR!$E$17:$E$25,MR!$A$17:$A$25,F43),IF(AND(M43="NO",E43="portabilidad",D43="multilínea"),SUMIFS(MR!$F$17:$F$25,MR!$A$17:$A$25,F43),IF(AND(M43="NO",E43="capta",D43="IEW"),SUMIFS(MR!$B$53:$B$61,MR!$A$53:$A$61,C43),IF(AND(M43="NO",E43="portabilidad",D43="IEW"),SUMIFS(MR!$B$53:$B$61,MR!$A$53:$A$61,C43),0)))))),)+IFERROR(IF(AND(M43="SI",E43="capta",D43="multilínea"),SUMIFS(MR!$E$30:$E$37,MR!$A$30:$A$37,F43),IF(AND(M43="SI",E43="portabilidad",D43="multilínea"),SUMIFS(MR!$F$30:$F$37,MR!$A$30:$A$37,F43),IF(AND(M43="NO",E43="capta",D43="multilínea"),SUMIFS(MR!$E$48:$E$398,MR!$A$41:$A$48,F43),IF(AND(M43="NO",E43="portabilidad",D43="multilínea"),SUMIFS(MR!$F$41:$F$48,MR!$A$41:$A$48,F43),0)))),)</f>
        <v>0</v>
      </c>
      <c r="F45" s="442">
        <f>(IFERROR(IF(K43="SIN TERMINAL",0,IF(I43="SI",10,SUMIFS(MR!$G$6:$G$11,MR!$A$6:$A$11,F43))),0))*K45</f>
        <v>0</v>
      </c>
      <c r="G45" s="59">
        <f>IFERROR(IF(D43="multilínea",IF(G43="SI",MR!$N$4,0)+IF(H43="SI",MR!$N$5,0),0),0)</f>
        <v>0</v>
      </c>
      <c r="H45" s="409"/>
      <c r="I45" s="445">
        <f>(IF(D43="multilínea",IF($F$9="SI",IF($M43="SI",SUMIFS(MR!$I$6:$I$11,MR!$A$6:$A$11,F43),SUMIFS(MR!$I$18:$I$23,MR!$A$18:$A$23,F43))),SUMIFS(MR!$D$54:$D$61,MR!$A$54:$A$61,C43)))*P43</f>
        <v>0</v>
      </c>
      <c r="J45" s="65">
        <f>IF(M43="SI",IF($B$13+$B$23+$B$33+$B$43&gt;99,(99-$B$13-$B$23-$B$33)*I45,B43*I45),B43*I45)</f>
        <v>0</v>
      </c>
      <c r="K45" s="35">
        <f>IF(IFERROR(SEARCH("CESIÓN",$J43,1),0)&gt;0,0,1)</f>
        <v>1</v>
      </c>
      <c r="L45" s="63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s="55" customFormat="1">
      <c r="A46" s="36" t="s">
        <v>74</v>
      </c>
      <c r="B46" s="37" t="str">
        <f ca="1">IFERROR(C46*B43,"SIN OFERTA")</f>
        <v>SIN OFERTA</v>
      </c>
      <c r="C46" s="69" t="str">
        <f ca="1">IFERROR(IFERROR(IF($F$1="NO",
IF(I43="SI",IF(E43="portabilidad",
IF(D43="multilínea",IF(AND(C43&lt;&gt;"Soluciones Personalizadas RPV",C43&lt;&gt;"Soluciones Personalizadas Centrex"),
OFFSET(CeldaInicioDxCVAP,MATCH(J43,'PVP VaP - Pyme'!C:C,0)-1,MATCH(L43,'PVP VaP - Pyme'!$Z$22:$AL$22,0)-1)
+OFFSET(CeldaInicioDxCVAP,MATCH(J43,'PVP VaP - Pyme'!C:C,0)-1,MATCH(L43,'PVP VaP - Pyme'!$Z$22:$AL$22,0)))),
IF(D43="IEW",
OFFSET(CeldaInicioDxCVAPIEW,MATCH(J43,'PVP VaP IEW Pro - Pyme'!C:C,0)-1,MATCH(L43,'PVP VaP IEW Pro - Pyme'!$AA$22:$AH$22,0)-1)
+OFFSET(CeldaInicioDxCVAPIEW,MATCH(J43,'PVP VaP IEW Pro - Pyme'!C:C,0)-1,MATCH(L43,'PVP VaP IEW Pro - Pyme'!$AA$22:$AH$22,0)),
)),
IF(M43="","SIN OFERTA",IF(M43="SI",IF(B47="SIN OFERTA",B47,IF(D43="IEW",OFFSET(CeldaInicioDxCIEW,MATCH(J43,'PVP Subv IEW - Pyme'!C:C,0)-1,MATCH(L43,'PVP Subv IEW - Pyme'!$I$4:$L$4,0)-1),OFFSET(IF(E43="portabilidad",CeldaInicioDxCPorta,CeldaInicioDxCCapta),MATCH(J43,'PVP Subv - Optima Pyme'!$C:$C,0)-1,MATCH(L43,'PVP Subv - Optima Pyme'!$I$4:$M$4,0)-1))),
IF(B47="SIN OFERTA",B47,IF(D43="IEW",OFFSET(CeldaInicioDxCIEW,MATCH(J43,'PVP Subv IEW - Pyme'!C:C,0)-1,MATCH(L43,'PVP Subv IEW - Pyme'!$I$4:$L$4,0)-1),OFFSET(IF(E43="portabilidad",CeldaInicioDxCPorta9MAS,CeldaInicioDxCCapta9MAS),MATCH(J43,'PVP Subv - Sol Pers Pyme'!$C:$C,0)-1,MATCH(L43,'PVP Subv - Sol Pers Pyme'!$I$4:$M$4,0)-1)))))))
+IF($F$1="SI",
IF(I43="SI",IF(E43="portabilidad",
IF(D43="multilínea",IF(AND(C43&lt;&gt;"Soluciones Personalizadas RPV",C43&lt;&gt;"Soluciones Personalizadas Centrex"),
OFFSET(CeldaInicioDxCVAP,MATCH(J43,'PVP VaP - Pyme'!C:C,0)-1,MATCH(L43,'PVP VaP - Pyme'!$Z$22:$AL$22,0)-1)
+OFFSET(CeldaInicioDxCVAP,MATCH(J43,'PVP VaP - Pyme'!C:C,0)-1,MATCH(L43,'PVP VaP - Pyme'!$Z$22:$AL$22,0)))),
IF(D43="IEW",
OFFSET(CeldaInicioDxCVAPIEW,MATCH(J43,'PVP VaP IEW Pro - Pyme'!C:C,0)-1,MATCH(L43,'PVP VaP IEW Pro - Pyme'!$AA$22:$AH$22,0)-1)
+OFFSET(CeldaInicioDxCVAPIEW,MATCH(J43,'PVP VaP IEW Pro - Pyme'!C:C,0)-1,MATCH(L43,'PVP VaP IEW Pro - Pyme'!$AA$22:$AH$22,0)),
)),
IF(M43="","SIN OFERTA",IF(M43="SI",IF(B47="SIN OFERTA",B47,IF(D43="IEW",OFFSET(CeldaInicioDxCIEWAAPP,MATCH(J43,'PVP Subv IEW - Pyme AAPP'!C:C,0)-1,MATCH(L43,'PVP Subv IEW - Pyme AAPP'!$I$4:$L$4,0)-1),OFFSET(IF(E43="portabilidad",CeldaInicioDxCPortaAAPP,CeldaInicioDxCCaptaAAPP),MATCH(J43,'PVP Subv - Optima Pyme AAPP'!$C:$C,0)-1,MATCH(L43,'PVP Subv - Optima Pyme AAPP'!$I$4:$M$4,0)-1))),
IF(B47="SIN OFERTA",B47,IF(D43="IEW",OFFSET(CeldaInicioDxCIEWAAPP,MATCH(J43,'PVP Subv IEW - Pyme AAPP'!C:C,0)-1,MATCH(L43,'PVP Subv IEW - Pyme AAPP'!$I$4:$L$4,0)-1),OFFSET(IF(E43="portabilidad",CeldaInicioDxCPorta9MASAAPP,CeldaInicioDxCCapta9MASAAPP),MATCH(J43,'PVP Subv - Sol Pers Pyme AAPP'!$C:$C,0)-1,MATCH(L43,'PVP Subv - Sol Pers Pyme AAPP'!$I$4:$M$4,0)-1))))))),"SIN OFERTA")+D46,"SIN OFERTA")</f>
        <v>SIN OFERTA</v>
      </c>
      <c r="D46" s="438"/>
      <c r="E46" s="447" t="str">
        <f ca="1">IFERROR(F46*B43,"SIN OFERTA")</f>
        <v>SIN OFERTA</v>
      </c>
      <c r="F46" s="448" t="str">
        <f ca="1">IF(O43="SI",OFFSET(CeldadeinicioDxCportaCP36,MATCH(J43,'PVP Subv - Optima Pyme'!$C:$C,0)-1,MATCH(L43,'PVP Subv - Optima Pyme'!$BK$23:$BO$23,0)-1),"-")</f>
        <v>-</v>
      </c>
      <c r="H46" s="407">
        <f>IFERROR(IF(N43="NO",0,SUMIFS(MR!$N$17:$N$21,MR!$M$17:$M$21,H45)),0)</f>
        <v>0</v>
      </c>
      <c r="I46" s="63"/>
      <c r="J46" s="35"/>
      <c r="K46" s="63"/>
      <c r="L46" s="63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spans="1:25" s="55" customFormat="1" ht="14">
      <c r="A47" s="36" t="s">
        <v>118</v>
      </c>
      <c r="B47" s="37">
        <f>IFERROR(C47*B43,"SIN OFERTA")</f>
        <v>0</v>
      </c>
      <c r="C47" s="70"/>
      <c r="D47" s="40" t="s">
        <v>442</v>
      </c>
      <c r="E47" s="440">
        <f ca="1">IF(E46="SIN OFERTA",0,(E46-B46))</f>
        <v>0</v>
      </c>
      <c r="F47" s="513">
        <f ca="1">IF(B46="SIN OFERTA",0,5*B43)</f>
        <v>0</v>
      </c>
      <c r="G47" s="408" t="s">
        <v>404</v>
      </c>
      <c r="H47" s="625" t="str">
        <f>IFERROR(INDEX(Tabla32[APLICA],MATCH(H45,Tabla32[PROMO],0)),"")</f>
        <v/>
      </c>
      <c r="I47" s="626"/>
      <c r="J47" s="626"/>
      <c r="K47" s="63"/>
      <c r="L47" s="63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spans="1:25" s="55" customFormat="1">
      <c r="A48" s="39" t="s">
        <v>76</v>
      </c>
      <c r="B48" s="37" t="str">
        <f ca="1">IFERROR(C48*B43,"SIN OFERTA")</f>
        <v>SIN OFERTA</v>
      </c>
      <c r="C48" s="69" t="str">
        <f ca="1">IF(M43="SI",IFERROR(-IF(D43="IEW",OFFSET(CeldaInicioPrecioCesiónIEW,MATCH(J43,'PVP Subv IEW - Pyme'!C:C,0)-1,0),OFFSET(CeldaInicioPrecioCesión,MATCH(J43,'PVP Subv - Optima Pyme'!$C:$C,0)-1,0)),"SIN OFERTA"),
IFERROR(-IF(D43="IEW",OFFSET(CeldaInicioPrecioCesiónIEW,MATCH(J43,'PVP Subv IEW - Pyme'!C:C,0)-1,0),OFFSET(CeldaInicioPrecioCesión,MATCH(J43,'PVP Subv - Sol Pers Pyme'!$C:$C,0)-1,0)),"SIN OFERTA"))</f>
        <v>SIN OFERTA</v>
      </c>
      <c r="D48" s="40"/>
      <c r="H48" s="407">
        <f>IF(H46=12,H46+MR!$L$24,IF(H46=18,H46+MR!$L$23,IF(H46=48,H46+MR!$L$22,0)))</f>
        <v>0</v>
      </c>
      <c r="I48" s="63"/>
      <c r="J48" s="35"/>
      <c r="K48" s="63"/>
      <c r="L48" s="63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spans="1:25" s="55" customFormat="1" ht="13.5" thickBot="1">
      <c r="A49" s="41" t="s">
        <v>112</v>
      </c>
      <c r="B49" s="42">
        <f ca="1">IFERROR(B43*C49,"SIN OFERTA")</f>
        <v>0</v>
      </c>
      <c r="C49" s="43">
        <f ca="1">IFERROR(C45+IF(NOT(ISNUMBER(C46)),0,C46)+IF(NOT(ISNUMBER(C47)),0,C47)+IF(NOT(ISNUMBER(C48)),0,C48),"SIN OFERTA")</f>
        <v>0</v>
      </c>
      <c r="D49" s="41" t="s">
        <v>449</v>
      </c>
      <c r="E49" s="42">
        <f ca="1">IFERROR(B43*F49,"SIN OFERTA")</f>
        <v>0</v>
      </c>
      <c r="F49" s="43">
        <f ca="1">IFERROR(C49+(E47/B43),0)</f>
        <v>0</v>
      </c>
      <c r="H49" s="407">
        <f>(H46-H48)*B43</f>
        <v>0</v>
      </c>
      <c r="I49" s="407" t="s">
        <v>457</v>
      </c>
      <c r="J49" s="35"/>
      <c r="K49" s="63"/>
      <c r="L49" s="63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spans="1:25" s="55" customFormat="1">
      <c r="C50" s="142"/>
      <c r="D50" s="142"/>
      <c r="I50" s="142"/>
      <c r="K50" s="142"/>
      <c r="L50" s="142"/>
    </row>
    <row r="51" spans="1:25" s="55" customFormat="1" ht="13.5" thickBot="1">
      <c r="C51" s="142"/>
      <c r="D51" s="142"/>
      <c r="I51" s="142"/>
      <c r="K51" s="142"/>
      <c r="L51" s="142"/>
    </row>
    <row r="52" spans="1:25" s="52" customFormat="1" ht="26">
      <c r="A52" s="51"/>
      <c r="B52" s="29" t="s">
        <v>31</v>
      </c>
      <c r="C52" s="30" t="s">
        <v>14</v>
      </c>
      <c r="D52" s="30" t="s">
        <v>89</v>
      </c>
      <c r="E52" s="30" t="s">
        <v>19</v>
      </c>
      <c r="F52" s="30" t="s">
        <v>23</v>
      </c>
      <c r="G52" s="30" t="s">
        <v>30</v>
      </c>
      <c r="H52" s="30" t="s">
        <v>29</v>
      </c>
      <c r="I52" s="30" t="s">
        <v>33</v>
      </c>
      <c r="J52" s="30" t="s">
        <v>0</v>
      </c>
      <c r="K52" s="30" t="s">
        <v>75</v>
      </c>
      <c r="L52" s="31" t="s">
        <v>67</v>
      </c>
      <c r="M52" s="30" t="s">
        <v>204</v>
      </c>
      <c r="N52" s="30" t="s">
        <v>394</v>
      </c>
      <c r="O52" s="30" t="s">
        <v>441</v>
      </c>
      <c r="P52" s="30" t="s">
        <v>470</v>
      </c>
    </row>
    <row r="53" spans="1:25" s="55" customFormat="1" ht="21.75" customHeight="1" thickBot="1">
      <c r="A53" s="32" t="s">
        <v>28</v>
      </c>
      <c r="B53" s="53"/>
      <c r="C53" s="54"/>
      <c r="D53" s="61" t="str">
        <f>IFERROR(INDEX(MR!Q:Q,MATCH(C53,MR!P:P,0)),"")</f>
        <v/>
      </c>
      <c r="E53" s="54"/>
      <c r="F53" s="54"/>
      <c r="G53" s="54"/>
      <c r="H53" s="54"/>
      <c r="I53" s="54"/>
      <c r="J53" s="54"/>
      <c r="K53" s="399" t="str">
        <f>IF(J53="","SIN TERMINAL",IF(D53="IEW",INDEX('PVP Subv IEW - Pyme'!F:F,MATCH(J53,'PVP Subv IEW - Pyme'!C:C,0)),INDEX('PVP Subv - Optima Pyme'!F:F,MATCH(J53,'PVP Subv - Optima Pyme'!C:C,0))))</f>
        <v>SIN TERMINAL</v>
      </c>
      <c r="L53" s="62" t="str">
        <f>IFERROR(IF(D53="IEW",INDEX('MODULOS OT IEW'!D:D,MATCH(C53,'MODULOS OT IEW'!A:A,0)),INDEX('MODULOS OT MULTILINEA'!F:F,MATCH(E53&amp;F53&amp;K53,'MODULOS OT MULTILINEA'!A:A,0))),"")</f>
        <v/>
      </c>
      <c r="M53" s="61" t="str">
        <f>+IF(C53="","",IF(OR(C53="Óptima Plus Empresas",C53="Óptima Plus Empresas BIG"),"SI","NO"))</f>
        <v/>
      </c>
      <c r="N53" s="61" t="str">
        <f>+IF(C53="","",IF($C$9="SI","NO",IF(OR(C53="Óptima Plus Empresas",C53="Óptima Plus Empresas BIG"),"SI","NO")))</f>
        <v/>
      </c>
      <c r="O53" s="61" t="str">
        <f>+IF(N53="NO","NO",IF(AND(E53="portabilidad",L53&lt;&gt;"ENTRADA PRO"),"SI","NO"))</f>
        <v>NO</v>
      </c>
      <c r="P53" s="61">
        <f>IF(AND(E53="capta",F53="EMPRESAS VOZ"),0,1)</f>
        <v>1</v>
      </c>
    </row>
    <row r="54" spans="1:25" s="52" customFormat="1" ht="24.65" customHeight="1">
      <c r="A54" s="56"/>
      <c r="B54" s="33" t="s">
        <v>78</v>
      </c>
      <c r="C54" s="34" t="s">
        <v>77</v>
      </c>
      <c r="D54" s="57" t="s">
        <v>23</v>
      </c>
      <c r="E54" s="33" t="s">
        <v>235</v>
      </c>
      <c r="F54" s="33" t="s">
        <v>328</v>
      </c>
      <c r="G54" s="66" t="s">
        <v>73</v>
      </c>
      <c r="H54" s="205" t="s">
        <v>394</v>
      </c>
      <c r="I54" s="205" t="s">
        <v>354</v>
      </c>
      <c r="J54" s="35"/>
      <c r="K54" s="63"/>
      <c r="L54" s="63"/>
      <c r="M54" s="35"/>
      <c r="N54" s="35">
        <f>IF(N53="SI",1,0)</f>
        <v>0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spans="1:25" s="55" customFormat="1" ht="13.5" thickBot="1">
      <c r="A55" s="36" t="s">
        <v>72</v>
      </c>
      <c r="B55" s="37">
        <f>C55*B53</f>
        <v>0</v>
      </c>
      <c r="C55" s="60">
        <f>D55+E55+F55+G55-H56*N54+I55</f>
        <v>0</v>
      </c>
      <c r="D55" s="103">
        <f>IFERROR(IF(AND(M53="SI",$G$3="Cliente 1-19 líneas"),SUMIFS(MR!$B$5:$B$13,MR!$A$5:$A$13,F53),IF(AND(M53="SI",$G$3="Cliente 20-39 líneas"),SUMIFS(MR!$C$5:$C$13,MR!$A$5:$A$13,F53),IF(AND(M53="SI",$G$3="Cliente &gt; 40 líneas"),SUMIFS(MR!$D$5:$D$13,MR!$A$5:$A$13,F53),IF(AND(M53="NO",$G$3="Cliente 1-19 líneas"),SUMIFS(MR!$B$17:$B$25,MR!$A$17:$A$25,F53),IF(AND(M53="NO",$G$3="Cliente 20-39 líneas"),SUMIFS(MR!$C$17:$C$25,MR!$A$17:$A$25,F53),IF(AND(M53="NO",$G$3="Cliente &gt; 40 líneas"),SUMIFS(MR!$D$17:$D$25,MR!$A$17:$A$25,F53),0)))))),)</f>
        <v>0</v>
      </c>
      <c r="E55" s="58">
        <f>IFERROR(IF(AND(M53="SI",E53="capta",D53="multilínea"),SUMIFS(MR!$E$5:$E$13,MR!$A$5:$A$13,F53),IF(AND(M53="SI",E53="portabilidad",D53="multilínea"),SUMIFS(MR!$F$5:$F$13,MR!$A$5:$A$13,F53),IF(AND(M53="NO",E53="capta",D53="multilínea"),SUMIFS(MR!$E$17:$E$25,MR!$A$17:$A$25,F53),IF(AND(M53="NO",E53="portabilidad",D53="multilínea"),SUMIFS(MR!$F$17:$F$25,MR!$A$17:$A$25,F53),IF(AND(M53="NO",E53="capta",D53="IEW"),SUMIFS(MR!$B$53:$B$61,MR!$A$53:$A$61,C53),IF(AND(M53="NO",E53="portabilidad",D53="IEW"),SUMIFS(MR!$B$53:$B$61,MR!$A$53:$A$61,C53),0)))))),)</f>
        <v>0</v>
      </c>
      <c r="F55" s="442">
        <f>(IFERROR(IF(K53="SIN TERMINAL",0,IF(I53="SI",10,SUMIFS(MR!$G$6:$G$11,MR!$A$6:$A$11,F53))),0))*K55</f>
        <v>0</v>
      </c>
      <c r="G55" s="59">
        <f>IFERROR(IF(D53="multilínea",IF(G53="SI",MR!$N$4,0)+IF(H53="SI",MR!$N$5,0),0),0)</f>
        <v>0</v>
      </c>
      <c r="H55" s="409"/>
      <c r="I55" s="445">
        <f>(IF(D53="multilínea",IF($F$9="SI",IF($M53="SI",SUMIFS(MR!$I$6:$I$11,MR!$A$6:$A$11,F53),SUMIFS(MR!$I$18:$I$23,MR!$A$18:$A$23,F53))),SUMIFS(MR!$D$54:$D$61,MR!$A$54:$A$61,C53)))*P53</f>
        <v>0</v>
      </c>
      <c r="J55" s="65">
        <f>IF(M53="SI",IF($B$13+$B$23+$B$33+$B$43+$B$53&gt;99,(99-$B$13-$B$23-$B$33-$B$43)*I55,B53*I55),B53*I55)</f>
        <v>0</v>
      </c>
      <c r="K55" s="35">
        <f>IF(IFERROR(SEARCH("CESIÓN",$J53,1),0)&gt;0,0,1)</f>
        <v>1</v>
      </c>
      <c r="L55" s="63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s="55" customFormat="1">
      <c r="A56" s="36" t="s">
        <v>74</v>
      </c>
      <c r="B56" s="37" t="str">
        <f ca="1">IFERROR(C56*B53,"SIN OFERTA")</f>
        <v>SIN OFERTA</v>
      </c>
      <c r="C56" s="69" t="str">
        <f ca="1">IFERROR(IFERROR(IF($F$1="NO",
IF(I53="SI",IF(E53="portabilidad",
IF(D53="multilínea",IF(AND(C53&lt;&gt;"Soluciones Personalizadas RPV",C53&lt;&gt;"Soluciones Personalizadas Centrex"),
OFFSET(CeldaInicioDxCVAP,MATCH(J53,'PVP VaP - Pyme'!C:C,0)-1,MATCH(L53,'PVP VaP - Pyme'!$Z$22:$AL$22,0)-1)
+OFFSET(CeldaInicioDxCVAP,MATCH(J53,'PVP VaP - Pyme'!C:C,0)-1,MATCH(L53,'PVP VaP - Pyme'!$Z$22:$AL$22,0)))),
IF(D53="IEW",
OFFSET(CeldaInicioDxCVAPIEW,MATCH(J53,'PVP VaP IEW Pro - Pyme'!C:C,0)-1,MATCH(L53,'PVP VaP IEW Pro - Pyme'!$AA$22:$AH$22,0)-1)
+OFFSET(CeldaInicioDxCVAPIEW,MATCH(J53,'PVP VaP IEW Pro - Pyme'!C:C,0)-1,MATCH(L53,'PVP VaP IEW Pro - Pyme'!$AA$22:$AH$22,0)),
)),
IF(M53="","SIN OFERTA",IF(M53="SI",IF(B57="SIN OFERTA",B57,IF(D53="IEW",OFFSET(CeldaInicioDxCIEW,MATCH(J53,'PVP Subv IEW - Pyme'!C:C,0)-1,MATCH(L53,'PVP Subv IEW - Pyme'!$I$4:$L$4,0)-1),OFFSET(IF(E53="portabilidad",CeldaInicioDxCPorta,CeldaInicioDxCCapta),MATCH(J53,'PVP Subv - Optima Pyme'!$C:$C,0)-1,MATCH(L53,'PVP Subv - Optima Pyme'!$I$4:$M$4,0)-1))),
IF(B57="SIN OFERTA",B57,IF(D53="IEW",OFFSET(CeldaInicioDxCIEW,MATCH(J53,'PVP Subv IEW - Pyme'!C:C,0)-1,MATCH(L53,'PVP Subv IEW - Pyme'!$I$4:$L$4,0)-1),OFFSET(IF(E53="portabilidad",CeldaInicioDxCPorta9MAS,CeldaInicioDxCCapta9MAS),MATCH(J53,'PVP Subv - Sol Pers Pyme'!$C:$C,0)-1,MATCH(L53,'PVP Subv - Sol Pers Pyme'!$I$4:$M$4,0)-1)))))))
+IF($F$1="SI",
IF(I53="SI",IF(E53="portabilidad",
IF(D53="multilínea",IF(AND(C53&lt;&gt;"Soluciones Personalizadas RPV",C53&lt;&gt;"Soluciones Personalizadas Centrex"),
OFFSET(CeldaInicioDxCVAP,MATCH(J53,'PVP VaP - Pyme'!C:C,0)-1,MATCH(L53,'PVP VaP - Pyme'!$Z$22:$AL$22,0)-1)
+OFFSET(CeldaInicioDxCVAP,MATCH(J53,'PVP VaP - Pyme'!C:C,0)-1,MATCH(L53,'PVP VaP - Pyme'!$Z$22:$AL$22,0)))),
IF(D53="IEW",
OFFSET(CeldaInicioDxCVAPIEW,MATCH(J53,'PVP VaP IEW Pro - Pyme'!C:C,0)-1,MATCH(L53,'PVP VaP IEW Pro - Pyme'!$AA$22:$AH$22,0)-1)
+OFFSET(CeldaInicioDxCVAPIEW,MATCH(J53,'PVP VaP IEW Pro - Pyme'!C:C,0)-1,MATCH(L53,'PVP VaP IEW Pro - Pyme'!$AA$22:$AH$22,0)),
)),
IF(M53="","SIN OFERTA",IF(M53="SI",IF(B57="SIN OFERTA",B57,IF(D53="IEW",OFFSET(CeldaInicioDxCIEWAAPP,MATCH(J53,'PVP Subv IEW - Pyme AAPP'!C:C,0)-1,MATCH(L53,'PVP Subv IEW - Pyme AAPP'!$I$4:$L$4,0)-1),OFFSET(IF(E53="portabilidad",CeldaInicioDxCPortaAAPP,CeldaInicioDxCCaptaAAPP),MATCH(J53,'PVP Subv - Optima Pyme AAPP'!$C:$C,0)-1,MATCH(L53,'PVP Subv - Optima Pyme AAPP'!$I$4:$M$4,0)-1))),
IF(B57="SIN OFERTA",B57,IF(D53="IEW",OFFSET(CeldaInicioDxCIEWAAPP,MATCH(J53,'PVP Subv IEW - Pyme AAPP'!C:C,0)-1,MATCH(L53,'PVP Subv IEW - Pyme AAPP'!$I$4:$L$4,0)-1),OFFSET(IF(E53="portabilidad",CeldaInicioDxCPorta9MASAAPP,CeldaInicioDxCCapta9MASAAPP),MATCH(J53,'PVP Subv - Sol Pers Pyme AAPP'!$C:$C,0)-1,MATCH(L53,'PVP Subv - Sol Pers Pyme AAPP'!$I$4:$M$4,0)-1))))))),"SIN OFERTA")+D56,"SIN OFERTA")</f>
        <v>SIN OFERTA</v>
      </c>
      <c r="D56" s="438"/>
      <c r="E56" s="447" t="str">
        <f ca="1">IFERROR(F56*B53,"SIN OFERTA")</f>
        <v>SIN OFERTA</v>
      </c>
      <c r="F56" s="448" t="str">
        <f ca="1">IF(O53="SI",OFFSET(CeldadeinicioDxCportaCP36,MATCH(J53,'PVP Subv - Optima Pyme'!$C:$C,0)-1,MATCH(L53,'PVP Subv - Optima Pyme'!$BK$23:$BO$23,0)-1),"-")</f>
        <v>-</v>
      </c>
      <c r="H56" s="407">
        <f>IFERROR(IF(N53="NO",0,SUMIFS(MR!$N$17:$N$21,MR!$M$17:$M$21,H55)),0)</f>
        <v>0</v>
      </c>
      <c r="I56" s="63"/>
      <c r="J56" s="35"/>
      <c r="K56" s="63"/>
      <c r="L56" s="63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spans="1:25" s="55" customFormat="1" ht="14">
      <c r="A57" s="36" t="s">
        <v>118</v>
      </c>
      <c r="B57" s="37">
        <f>IFERROR(C57*B53,"SIN OFERTA")</f>
        <v>0</v>
      </c>
      <c r="C57" s="70"/>
      <c r="D57" s="40" t="s">
        <v>442</v>
      </c>
      <c r="E57" s="440">
        <f ca="1">IF(E56="SIN OFERTA",0,(E56-B56))</f>
        <v>0</v>
      </c>
      <c r="F57" s="513">
        <f ca="1">IF(B56="SIN OFERTA",0,5*B53)</f>
        <v>0</v>
      </c>
      <c r="G57" s="408" t="s">
        <v>404</v>
      </c>
      <c r="H57" s="625" t="str">
        <f>IFERROR(INDEX(Tabla32[APLICA],MATCH(H55,Tabla32[PROMO],0)),"")</f>
        <v/>
      </c>
      <c r="I57" s="626"/>
      <c r="J57" s="626"/>
      <c r="K57" s="63"/>
      <c r="L57" s="63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spans="1:25" s="55" customFormat="1">
      <c r="A58" s="39" t="s">
        <v>76</v>
      </c>
      <c r="B58" s="37" t="str">
        <f ca="1">IFERROR(C58*B53,"SIN OFERTA")</f>
        <v>SIN OFERTA</v>
      </c>
      <c r="C58" s="69" t="str">
        <f ca="1">IF(M53="SI",IFERROR(-IF(D53="IEW",OFFSET(CeldaInicioPrecioCesiónIEW,MATCH(J53,'PVP Subv IEW - Pyme'!C:C,0)-1,0),OFFSET(CeldaInicioPrecioCesión,MATCH(J53,'PVP Subv - Optima Pyme'!$C:$C,0)-1,0)),"SIN OFERTA"),
IFERROR(-IF(D53="IEW",OFFSET(CeldaInicioPrecioCesiónIEW,MATCH(J53,'PVP Subv IEW - Pyme'!C:C,0)-1,0),OFFSET(CeldaInicioPrecioCesión,MATCH(J53,'PVP Subv - Sol Pers Pyme'!$C:$C,0)-1,0)),"SIN OFERTA"))</f>
        <v>SIN OFERTA</v>
      </c>
      <c r="D58" s="40"/>
      <c r="H58" s="407">
        <f>IF(H56=12,H56+MR!$L$24,IF(H56=18,H56+MR!$L$23,IF(H56=48,H56+MR!$L$22,0)))</f>
        <v>0</v>
      </c>
      <c r="I58" s="63"/>
      <c r="J58" s="35"/>
      <c r="K58" s="63"/>
      <c r="L58" s="63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spans="1:25" s="55" customFormat="1" ht="13.5" thickBot="1">
      <c r="A59" s="41" t="s">
        <v>112</v>
      </c>
      <c r="B59" s="42">
        <f ca="1">IFERROR(B53*C59,"SIN OFERTA")</f>
        <v>0</v>
      </c>
      <c r="C59" s="43">
        <f ca="1">IFERROR(C55+IF(NOT(ISNUMBER(C56)),0,C56)+IF(NOT(ISNUMBER(C57)),0,C57)+IF(NOT(ISNUMBER(C58)),0,C58),"SIN OFERTA")</f>
        <v>0</v>
      </c>
      <c r="D59" s="41" t="s">
        <v>449</v>
      </c>
      <c r="E59" s="42">
        <f ca="1">IFERROR(B53*F59,"SIN OFERTA")</f>
        <v>0</v>
      </c>
      <c r="F59" s="43">
        <f ca="1">IFERROR(C59+(E57/B53),0)</f>
        <v>0</v>
      </c>
      <c r="H59" s="407">
        <f>(H56-H58)*B53</f>
        <v>0</v>
      </c>
      <c r="I59" s="407" t="s">
        <v>457</v>
      </c>
      <c r="J59" s="35"/>
      <c r="K59" s="63"/>
      <c r="L59" s="63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spans="1:25" s="55" customFormat="1">
      <c r="C60" s="142"/>
      <c r="D60" s="142"/>
      <c r="I60" s="142"/>
      <c r="K60" s="142"/>
      <c r="L60" s="142"/>
    </row>
    <row r="61" spans="1:25" s="55" customFormat="1" ht="13.5" thickBot="1">
      <c r="C61" s="142"/>
      <c r="D61" s="142"/>
      <c r="I61" s="142"/>
      <c r="K61" s="142"/>
      <c r="L61" s="142"/>
    </row>
    <row r="62" spans="1:25" s="52" customFormat="1" ht="26">
      <c r="A62" s="51"/>
      <c r="B62" s="29" t="s">
        <v>31</v>
      </c>
      <c r="C62" s="30" t="s">
        <v>14</v>
      </c>
      <c r="D62" s="30" t="s">
        <v>89</v>
      </c>
      <c r="E62" s="30" t="s">
        <v>19</v>
      </c>
      <c r="F62" s="30" t="s">
        <v>23</v>
      </c>
      <c r="G62" s="30" t="s">
        <v>30</v>
      </c>
      <c r="H62" s="30" t="s">
        <v>29</v>
      </c>
      <c r="I62" s="30" t="s">
        <v>33</v>
      </c>
      <c r="J62" s="30" t="s">
        <v>0</v>
      </c>
      <c r="K62" s="30" t="s">
        <v>75</v>
      </c>
      <c r="L62" s="31" t="s">
        <v>67</v>
      </c>
      <c r="M62" s="30" t="s">
        <v>204</v>
      </c>
      <c r="N62" s="30" t="s">
        <v>394</v>
      </c>
      <c r="O62" s="30" t="s">
        <v>441</v>
      </c>
      <c r="P62" s="30" t="s">
        <v>470</v>
      </c>
    </row>
    <row r="63" spans="1:25" s="55" customFormat="1" ht="25.5" customHeight="1" thickBot="1">
      <c r="A63" s="32" t="s">
        <v>28</v>
      </c>
      <c r="B63" s="53"/>
      <c r="C63" s="54"/>
      <c r="D63" s="61" t="str">
        <f>IFERROR(INDEX(MR!Q:Q,MATCH(C63,MR!P:P,0)),"")</f>
        <v/>
      </c>
      <c r="E63" s="54"/>
      <c r="F63" s="54"/>
      <c r="G63" s="54"/>
      <c r="H63" s="54"/>
      <c r="I63" s="54"/>
      <c r="J63" s="54"/>
      <c r="K63" s="399" t="str">
        <f>IF(J63="","SIN TERMINAL",IF(D63="IEW",INDEX('PVP Subv IEW - Pyme'!F:F,MATCH(J63,'PVP Subv IEW - Pyme'!C:C,0)),INDEX('PVP Subv - Optima Pyme'!F:F,MATCH(J63,'PVP Subv - Optima Pyme'!C:C,0))))</f>
        <v>SIN TERMINAL</v>
      </c>
      <c r="L63" s="62" t="str">
        <f>IFERROR(IF(D63="IEW",INDEX('MODULOS OT IEW'!D:D,MATCH(C63,'MODULOS OT IEW'!A:A,0)),INDEX('MODULOS OT MULTILINEA'!F:F,MATCH(E63&amp;F63&amp;K63,'MODULOS OT MULTILINEA'!A:A,0))),"")</f>
        <v/>
      </c>
      <c r="M63" s="61" t="str">
        <f>+IF(C63="","",IF(OR(C63="Óptima Plus Empresas",C63="Óptima Plus Empresas BIG"),"SI","NO"))</f>
        <v/>
      </c>
      <c r="N63" s="61" t="str">
        <f>+IF(C63="","",IF($C$9="SI","NO",IF(OR(C63="Óptima Plus Empresas",C63="Óptima Plus Empresas BIG"),"SI","NO")))</f>
        <v/>
      </c>
      <c r="O63" s="61" t="str">
        <f>+IF(N63="NO","NO",IF(AND(E63="portabilidad",L63&lt;&gt;"ENTRADA PRO"),"SI","NO"))</f>
        <v>NO</v>
      </c>
      <c r="P63" s="61">
        <f>IF(AND(E63="capta",F63="EMPRESAS VOZ"),0,1)</f>
        <v>1</v>
      </c>
    </row>
    <row r="64" spans="1:25" s="55" customFormat="1" ht="26">
      <c r="A64" s="56"/>
      <c r="B64" s="33" t="s">
        <v>78</v>
      </c>
      <c r="C64" s="34" t="s">
        <v>77</v>
      </c>
      <c r="D64" s="57" t="s">
        <v>23</v>
      </c>
      <c r="E64" s="33" t="s">
        <v>235</v>
      </c>
      <c r="F64" s="33" t="s">
        <v>328</v>
      </c>
      <c r="G64" s="66" t="s">
        <v>73</v>
      </c>
      <c r="H64" s="205" t="s">
        <v>394</v>
      </c>
      <c r="I64" s="205" t="s">
        <v>354</v>
      </c>
      <c r="J64" s="35"/>
      <c r="K64" s="63"/>
      <c r="L64" s="63"/>
      <c r="M64" s="38"/>
      <c r="N64" s="35">
        <f>IF(N63="SI",1,0)</f>
        <v>0</v>
      </c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s="55" customFormat="1" ht="13.5" thickBot="1">
      <c r="A65" s="36" t="s">
        <v>72</v>
      </c>
      <c r="B65" s="37">
        <f>C65*B63</f>
        <v>0</v>
      </c>
      <c r="C65" s="60">
        <f>D65+E65+F65+G65-H66*N64+I65</f>
        <v>0</v>
      </c>
      <c r="D65" s="103">
        <f>IFERROR(IF(AND(M63="SI",$G$3="Cliente 1-19 líneas"),SUMIFS(MR!$B$5:$B$13,MR!$A$5:$A$13,F63),IF(AND(M63="SI",$G$3="Cliente 20-39 líneas"),SUMIFS(MR!$C$5:$C$13,MR!$A$5:$A$13,F63),IF(AND(M63="SI",$G$3="Cliente &gt; 40 líneas"),SUMIFS(MR!$D$5:$D$13,MR!$A$5:$A$13,F63),IF(AND(M63="NO",$G$3="Cliente 1-19 líneas"),SUMIFS(MR!$B$17:$B$25,MR!$A$17:$A$25,F63),IF(AND(M63="NO",$G$3="Cliente 20-39 líneas"),SUMIFS(MR!$C$17:$C$25,MR!$A$17:$A$25,F63),IF(AND(M63="NO",$G$3="Cliente &gt; 40 líneas"),SUMIFS(MR!$D$17:$D$25,MR!$A$17:$A$25,F63),0)))))),)+IFERROR(IF(AND(M63="SI",$G$3="Cliente 1-19 líneas"),SUMIFS(MR!$B$30:$B$37,MR!$A$30:$A$37,F63),IF(AND(M63="SI",$G$3="Cliente 20-39 líneas"),SUMIFS(MR!$C$30:$C$37,MR!$A$30:$A$37,F63),IF(AND(M63="SI",$G$3="Cliente &gt; 40 líneas"),SUMIFS(MR!$D$30:$D$37,MR!$A$30:$A$37,F63),IF(AND(M63="NO",$G$3="Cliente 1-19 líneas"),SUMIFS(MR!$B$41:$B$48,MR!$A$41:$A$48,F63),IF(AND(M63="NO",$G$3="Cliente 20-39 líneas"),SUMIFS(MR!$C$41:$C$48,MR!$A$41:$A$48,F63),IF(AND(M63="NO",$G$3="Cliente &gt; 40 líneas"),SUMIFS(MR!$D$41:$D$48,MR!$A$41:$A$48,F63),0)))))),)</f>
        <v>0</v>
      </c>
      <c r="E65" s="58">
        <f>IFERROR(IF(AND(M63="SI",E63="capta",D63="multilínea"),SUMIFS(MR!$E$5:$E$13,MR!$A$5:$A$13,F63),IF(AND(M63="SI",E63="portabilidad",D63="multilínea"),SUMIFS(MR!$F$5:$F$13,MR!$A$5:$A$13,F63),IF(AND(M63="NO",E63="capta",D63="multilínea"),SUMIFS(MR!$E$17:$E$25,MR!$A$17:$A$25,F63),IF(AND(M63="NO",E63="portabilidad",D63="multilínea"),SUMIFS(MR!$F$17:$F$25,MR!$A$17:$A$25,F63),IF(AND(M63="NO",E63="capta",D63="IEW"),SUMIFS(MR!$B$53:$B$61,MR!$A$53:$A$61,C63),IF(AND(M63="NO",E63="portabilidad",D63="IEW"),SUMIFS(MR!$B$53:$B$61,MR!$A$53:$A$61,C63),0)))))),)+IFERROR(IF(AND(M63="SI",E63="capta",D63="multilínea"),SUMIFS(MR!$E$30:$E$37,MR!$A$30:$A$37,F63),IF(AND(M63="SI",E63="portabilidad",D63="multilínea"),SUMIFS(MR!$F$30:$F$37,MR!$A$30:$A$37,F63),IF(AND(M63="NO",E63="capta",D63="multilínea"),SUMIFS(MR!$E$48:$E$398,MR!$A$41:$A$48,F63),IF(AND(M63="NO",E63="portabilidad",D63="multilínea"),SUMIFS(MR!$F$41:$F$48,MR!$A$41:$A$48,F63),0)))),)</f>
        <v>0</v>
      </c>
      <c r="F65" s="442">
        <f>(IFERROR(IF(K63="SIN TERMINAL",0,IF(I63="SI",10,SUMIFS(MR!$G$6:$G$11,MR!$A$6:$A$11,F63))),0))*K65</f>
        <v>0</v>
      </c>
      <c r="G65" s="59">
        <f>IFERROR(IF(D63="multilínea",IF(G63="SI",MR!$N$4,0)+IF(H63="SI",MR!$N$5,0),0),0)</f>
        <v>0</v>
      </c>
      <c r="H65" s="409"/>
      <c r="I65" s="445">
        <f>(IF(D63="multilínea",IF($F$9="SI",IF($M63="SI",SUMIFS(MR!$I$6:$I$11,MR!$A$6:$A$11,F63),SUMIFS(MR!$I$18:$I$23,MR!$A$18:$A$23,F63))),SUMIFS(MR!$D$54:$D$61,MR!$A$54:$A$61,C63)))*P63</f>
        <v>0</v>
      </c>
      <c r="J65" s="65">
        <f>IF(M63="SI",IF($B$13+$B$23+$B$33+$B$43+$B$53+$B$63&gt;99,(99-$B$13-$B$23-$B$33-$B$43-B$53)*I65,B63*I65),B63*I65)</f>
        <v>0</v>
      </c>
      <c r="K65" s="35">
        <f>IF(IFERROR(SEARCH("CESIÓN",$J63,1),0)&gt;0,0,1)</f>
        <v>1</v>
      </c>
      <c r="L65" s="63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s="55" customFormat="1">
      <c r="A66" s="36" t="s">
        <v>74</v>
      </c>
      <c r="B66" s="37" t="str">
        <f ca="1">IFERROR(C66*B63,"SIN OFERTA")</f>
        <v>SIN OFERTA</v>
      </c>
      <c r="C66" s="69" t="str">
        <f ca="1">IFERROR(IFERROR(IF($F$1="NO",
IF(I63="SI",IF(E63="portabilidad",
IF(D63="multilínea",IF(AND(C63&lt;&gt;"Soluciones Personalizadas RPV",C63&lt;&gt;"Soluciones Personalizadas Centrex"),
OFFSET(CeldaInicioDxCVAP,MATCH(J63,'PVP VaP - Pyme'!C:C,0)-1,MATCH(L63,'PVP VaP - Pyme'!$Z$22:$AL$22,0)-1)
+OFFSET(CeldaInicioDxCVAP,MATCH(J63,'PVP VaP - Pyme'!C:C,0)-1,MATCH(L63,'PVP VaP - Pyme'!$Z$22:$AL$22,0)))),
IF(D63="IEW",
OFFSET(CeldaInicioDxCVAPIEW,MATCH(J63,'PVP VaP IEW Pro - Pyme'!C:C,0)-1,MATCH(L63,'PVP VaP IEW Pro - Pyme'!$AA$22:$AH$22,0)-1)
+OFFSET(CeldaInicioDxCVAPIEW,MATCH(J63,'PVP VaP IEW Pro - Pyme'!C:C,0)-1,MATCH(L63,'PVP VaP IEW Pro - Pyme'!$AA$22:$AH$22,0)),
)),
IF(M63="","SIN OFERTA",IF(M63="SI",IF(B67="SIN OFERTA",B67,IF(D63="IEW",OFFSET(CeldaInicioDxCIEW,MATCH(J63,'PVP Subv IEW - Pyme'!C:C,0)-1,MATCH(L63,'PVP Subv IEW - Pyme'!$I$4:$L$4,0)-1),OFFSET(IF(E63="portabilidad",CeldaInicioDxCPorta,CeldaInicioDxCCapta),MATCH(J63,'PVP Subv - Optima Pyme'!$C:$C,0)-1,MATCH(L63,'PVP Subv - Optima Pyme'!$I$4:$M$4,0)-1))),
IF(B67="SIN OFERTA",B67,IF(D63="IEW",OFFSET(CeldaInicioDxCIEW,MATCH(J63,'PVP Subv IEW - Pyme'!C:C,0)-1,MATCH(L63,'PVP Subv IEW - Pyme'!$I$4:$L$4,0)-1),OFFSET(IF(E63="portabilidad",CeldaInicioDxCPorta9MAS,CeldaInicioDxCCapta9MAS),MATCH(J63,'PVP Subv - Sol Pers Pyme'!$C:$C,0)-1,MATCH(L63,'PVP Subv - Sol Pers Pyme'!$I$4:$M$4,0)-1)))))))
+IF($F$1="SI",
IF(I63="SI",IF(E63="portabilidad",
IF(D63="multilínea",IF(AND(C63&lt;&gt;"Soluciones Personalizadas RPV",C63&lt;&gt;"Soluciones Personalizadas Centrex"),
OFFSET(CeldaInicioDxCVAP,MATCH(J63,'PVP VaP - Pyme'!C:C,0)-1,MATCH(L63,'PVP VaP - Pyme'!$Z$22:$AL$22,0)-1)
+OFFSET(CeldaInicioDxCVAP,MATCH(J63,'PVP VaP - Pyme'!C:C,0)-1,MATCH(L63,'PVP VaP - Pyme'!$Z$22:$AL$22,0)))),
IF(D63="IEW",
OFFSET(CeldaInicioDxCVAPIEW,MATCH(J63,'PVP VaP IEW Pro - Pyme'!C:C,0)-1,MATCH(L63,'PVP VaP IEW Pro - Pyme'!$AA$22:$AH$22,0)-1)
+OFFSET(CeldaInicioDxCVAPIEW,MATCH(J63,'PVP VaP IEW Pro - Pyme'!C:C,0)-1,MATCH(L63,'PVP VaP IEW Pro - Pyme'!$AA$22:$AH$22,0)),
)),
IF(M63="","SIN OFERTA",IF(M63="SI",IF(B67="SIN OFERTA",B67,IF(D63="IEW",OFFSET(CeldaInicioDxCIEWAAPP,MATCH(J63,'PVP Subv IEW - Pyme AAPP'!C:C,0)-1,MATCH(L63,'PVP Subv IEW - Pyme AAPP'!$I$4:$L$4,0)-1),OFFSET(IF(E63="portabilidad",CeldaInicioDxCPortaAAPP,CeldaInicioDxCCaptaAAPP),MATCH(J63,'PVP Subv - Optima Pyme AAPP'!$C:$C,0)-1,MATCH(L63,'PVP Subv - Optima Pyme AAPP'!$I$4:$M$4,0)-1))),
IF(B67="SIN OFERTA",B67,IF(D63="IEW",OFFSET(CeldaInicioDxCIEWAAPP,MATCH(J63,'PVP Subv IEW - Pyme AAPP'!C:C,0)-1,MATCH(L63,'PVP Subv IEW - Pyme AAPP'!$I$4:$L$4,0)-1),OFFSET(IF(E63="portabilidad",CeldaInicioDxCPorta9MASAAPP,CeldaInicioDxCCapta9MASAAPP),MATCH(J63,'PVP Subv - Sol Pers Pyme AAPP'!$C:$C,0)-1,MATCH(L63,'PVP Subv - Sol Pers Pyme AAPP'!$I$4:$M$4,0)-1))))))),"SIN OFERTA")+D66,"SIN OFERTA")</f>
        <v>SIN OFERTA</v>
      </c>
      <c r="D66" s="438"/>
      <c r="E66" s="447" t="str">
        <f ca="1">IFERROR(F66*B63,"SIN OFERTA")</f>
        <v>SIN OFERTA</v>
      </c>
      <c r="F66" s="448" t="str">
        <f ca="1">IF(O63="SI",OFFSET(CeldadeinicioDxCportaCP36,MATCH(J63,'PVP Subv - Optima Pyme'!$C:$C,0)-1,MATCH(L63,'PVP Subv - Optima Pyme'!$BK$23:$BO$23,0)-1),"-")</f>
        <v>-</v>
      </c>
      <c r="H66" s="407">
        <f>IFERROR(IF(N63="NO",0,SUMIFS(MR!$N$17:$N$21,MR!$M$17:$M$21,H65)),0)</f>
        <v>0</v>
      </c>
      <c r="I66" s="63"/>
      <c r="J66" s="35"/>
      <c r="K66" s="63"/>
      <c r="L66" s="63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spans="1:25" s="55" customFormat="1" ht="14">
      <c r="A67" s="36" t="s">
        <v>118</v>
      </c>
      <c r="B67" s="37">
        <f>IFERROR(C67*B63,"SIN OFERTA")</f>
        <v>0</v>
      </c>
      <c r="C67" s="70"/>
      <c r="D67" s="40" t="s">
        <v>442</v>
      </c>
      <c r="E67" s="440">
        <f ca="1">IF(E66="SIN OFERTA",0,(E66-B66))</f>
        <v>0</v>
      </c>
      <c r="F67" s="513">
        <f ca="1">IF(B66="SIN OFERTA",0,5*B63)</f>
        <v>0</v>
      </c>
      <c r="G67" s="408" t="s">
        <v>404</v>
      </c>
      <c r="H67" s="625" t="str">
        <f>IFERROR(INDEX(Tabla32[APLICA],MATCH(H65,Tabla32[PROMO],0)),"")</f>
        <v/>
      </c>
      <c r="I67" s="626"/>
      <c r="J67" s="626"/>
      <c r="K67" s="63"/>
      <c r="L67" s="63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spans="1:25" s="55" customFormat="1">
      <c r="A68" s="39" t="s">
        <v>76</v>
      </c>
      <c r="B68" s="37" t="str">
        <f ca="1">IFERROR(C68*B63,"SIN OFERTA")</f>
        <v>SIN OFERTA</v>
      </c>
      <c r="C68" s="69" t="str">
        <f ca="1">IF(M63="SI",IFERROR(-IF(D63="IEW",OFFSET(CeldaInicioPrecioCesiónIEW,MATCH(J63,'PVP Subv IEW - Pyme'!C:C,0)-1,0),OFFSET(CeldaInicioPrecioCesión,MATCH(J63,'PVP Subv - Optima Pyme'!$C:$C,0)-1,0)),"SIN OFERTA"),
IFERROR(-IF(D63="IEW",OFFSET(CeldaInicioPrecioCesiónIEW,MATCH(J63,'PVP Subv IEW - Pyme'!C:C,0)-1,0),OFFSET(CeldaInicioPrecioCesión,MATCH(J63,'PVP Subv - Sol Pers Pyme'!$C:$C,0)-1,0)),"SIN OFERTA"))</f>
        <v>SIN OFERTA</v>
      </c>
      <c r="D68" s="40"/>
      <c r="H68" s="407">
        <f>IF(H66=12,H66+MR!$L$24,IF(H66=18,H66+MR!$L$23,IF(H66=48,H66+MR!$L$22,0)))</f>
        <v>0</v>
      </c>
      <c r="I68" s="63"/>
      <c r="J68" s="35"/>
      <c r="K68" s="63"/>
      <c r="L68" s="63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spans="1:25" s="55" customFormat="1" ht="13.5" thickBot="1">
      <c r="A69" s="41" t="s">
        <v>112</v>
      </c>
      <c r="B69" s="42">
        <f ca="1">IFERROR(B63*C69,"SIN OFERTA")</f>
        <v>0</v>
      </c>
      <c r="C69" s="43">
        <f ca="1">IFERROR(C65+IF(NOT(ISNUMBER(C66)),0,C66)+IF(NOT(ISNUMBER(C67)),0,C67)+IF(NOT(ISNUMBER(C68)),0,C68),"SIN OFERTA")</f>
        <v>0</v>
      </c>
      <c r="D69" s="41" t="s">
        <v>449</v>
      </c>
      <c r="E69" s="42">
        <f ca="1">IFERROR(B63*F69,"SIN OFERTA")</f>
        <v>0</v>
      </c>
      <c r="F69" s="43">
        <f ca="1">IFERROR(C69+(E67/B63),0)</f>
        <v>0</v>
      </c>
      <c r="H69" s="407">
        <f>(H66-H68)*B63</f>
        <v>0</v>
      </c>
      <c r="I69" s="407" t="s">
        <v>457</v>
      </c>
      <c r="J69" s="35"/>
      <c r="K69" s="63"/>
      <c r="L69" s="63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:25" s="55" customFormat="1">
      <c r="C70" s="142"/>
      <c r="D70" s="142"/>
      <c r="I70" s="142"/>
      <c r="K70" s="142"/>
      <c r="L70" s="142"/>
    </row>
    <row r="71" spans="1:25" s="55" customFormat="1" ht="13.5" thickBot="1">
      <c r="C71" s="142"/>
      <c r="D71" s="142"/>
      <c r="I71" s="142"/>
      <c r="K71" s="142"/>
      <c r="L71" s="142"/>
    </row>
    <row r="72" spans="1:25" s="52" customFormat="1" ht="26">
      <c r="A72" s="51"/>
      <c r="B72" s="29" t="s">
        <v>31</v>
      </c>
      <c r="C72" s="30" t="s">
        <v>14</v>
      </c>
      <c r="D72" s="30" t="s">
        <v>89</v>
      </c>
      <c r="E72" s="30" t="s">
        <v>19</v>
      </c>
      <c r="F72" s="30" t="s">
        <v>23</v>
      </c>
      <c r="G72" s="30" t="s">
        <v>30</v>
      </c>
      <c r="H72" s="30" t="s">
        <v>29</v>
      </c>
      <c r="I72" s="30" t="s">
        <v>33</v>
      </c>
      <c r="J72" s="30" t="s">
        <v>0</v>
      </c>
      <c r="K72" s="30" t="s">
        <v>75</v>
      </c>
      <c r="L72" s="31" t="s">
        <v>67</v>
      </c>
      <c r="M72" s="30" t="s">
        <v>204</v>
      </c>
      <c r="N72" s="30" t="s">
        <v>394</v>
      </c>
      <c r="O72" s="30" t="s">
        <v>441</v>
      </c>
      <c r="P72" s="30" t="s">
        <v>470</v>
      </c>
    </row>
    <row r="73" spans="1:25" s="55" customFormat="1" ht="20.25" customHeight="1" thickBot="1">
      <c r="A73" s="32" t="s">
        <v>28</v>
      </c>
      <c r="B73" s="53"/>
      <c r="C73" s="54"/>
      <c r="D73" s="61" t="str">
        <f>IFERROR(INDEX(MR!Q:Q,MATCH(C73,MR!P:P,0)),"")</f>
        <v/>
      </c>
      <c r="E73" s="54"/>
      <c r="F73" s="54"/>
      <c r="G73" s="54"/>
      <c r="H73" s="54"/>
      <c r="I73" s="54"/>
      <c r="J73" s="54"/>
      <c r="K73" s="399" t="str">
        <f>IF(J73="","SIN TERMINAL",IF(D73="IEW",INDEX('PVP Subv IEW - Pyme'!F:F,MATCH(J73,'PVP Subv IEW - Pyme'!C:C,0)),INDEX('PVP Subv - Optima Pyme'!F:F,MATCH(J73,'PVP Subv - Optima Pyme'!C:C,0))))</f>
        <v>SIN TERMINAL</v>
      </c>
      <c r="L73" s="62" t="str">
        <f>IFERROR(IF(D73="IEW",INDEX('MODULOS OT IEW'!D:D,MATCH(C73,'MODULOS OT IEW'!A:A,0)),INDEX('MODULOS OT MULTILINEA'!F:F,MATCH(E73&amp;F73&amp;K73,'MODULOS OT MULTILINEA'!A:A,0))),"")</f>
        <v/>
      </c>
      <c r="M73" s="61" t="str">
        <f>+IF(C73="","",IF(OR(C73="Óptima Plus Empresas",C73="Óptima Plus Empresas BIG"),"SI","NO"))</f>
        <v/>
      </c>
      <c r="N73" s="61" t="str">
        <f>+IF(C73="","",IF($C$9="SI","NO",IF(OR(C73="Óptima Plus Empresas",C73="Óptima Plus Empresas BIG"),"SI","NO")))</f>
        <v/>
      </c>
      <c r="O73" s="61" t="str">
        <f>+IF(N73="NO","NO",IF(AND(E73="portabilidad",L73&lt;&gt;"ENTRADA PRO"),"SI","NO"))</f>
        <v>NO</v>
      </c>
      <c r="P73" s="61">
        <f>IF(AND(E73="capta",F73="EMPRESAS VOZ"),0,1)</f>
        <v>1</v>
      </c>
    </row>
    <row r="74" spans="1:25" s="55" customFormat="1" ht="26">
      <c r="A74" s="56"/>
      <c r="B74" s="33" t="s">
        <v>78</v>
      </c>
      <c r="C74" s="34" t="s">
        <v>77</v>
      </c>
      <c r="D74" s="57" t="s">
        <v>23</v>
      </c>
      <c r="E74" s="33" t="s">
        <v>235</v>
      </c>
      <c r="F74" s="33" t="s">
        <v>328</v>
      </c>
      <c r="G74" s="66" t="s">
        <v>73</v>
      </c>
      <c r="H74" s="205" t="s">
        <v>394</v>
      </c>
      <c r="I74" s="205" t="s">
        <v>354</v>
      </c>
      <c r="J74" s="35"/>
      <c r="K74" s="63"/>
      <c r="L74" s="63"/>
      <c r="M74" s="38"/>
      <c r="N74" s="35">
        <f>IF(N73="SI",1,0)</f>
        <v>0</v>
      </c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s="55" customFormat="1" ht="13.5" thickBot="1">
      <c r="A75" s="36" t="s">
        <v>72</v>
      </c>
      <c r="B75" s="37">
        <f>C75*B73</f>
        <v>0</v>
      </c>
      <c r="C75" s="60">
        <f>D75+E75+F75+G75-H76*N74+I75</f>
        <v>0</v>
      </c>
      <c r="D75" s="103">
        <f>IFERROR(IF(AND(M73="SI",$G$3="Cliente 1-19 líneas"),SUMIFS(MR!$B$5:$B$13,MR!$A$5:$A$13,F73),IF(AND(M73="SI",$G$3="Cliente 20-39 líneas"),SUMIFS(MR!$C$5:$C$13,MR!$A$5:$A$13,F73),IF(AND(M73="SI",$G$3="Cliente &gt; 40 líneas"),SUMIFS(MR!$D$5:$D$13,MR!$A$5:$A$13,F73),IF(AND(M73="NO",$G$3="Cliente 1-19 líneas"),SUMIFS(MR!$B$17:$B$25,MR!$A$17:$A$25,F73),IF(AND(M73="NO",$G$3="Cliente 20-39 líneas"),SUMIFS(MR!$C$17:$C$25,MR!$A$17:$A$25,F73),IF(AND(M73="NO",$G$3="Cliente &gt; 40 líneas"),SUMIFS(MR!$D$17:$D$25,MR!$A$17:$A$25,F73),0)))))),)+IFERROR(IF(AND(M73="SI",$G$3="Cliente 1-19 líneas"),SUMIFS(MR!$B$30:$B$37,MR!$A$30:$A$37,F73),IF(AND(M73="SI",$G$3="Cliente 20-39 líneas"),SUMIFS(MR!$C$30:$C$37,MR!$A$30:$A$37,F73),IF(AND(M73="SI",$G$3="Cliente &gt; 40 líneas"),SUMIFS(MR!$D$30:$D$37,MR!$A$30:$A$37,F73),IF(AND(M73="NO",$G$3="Cliente 1-19 líneas"),SUMIFS(MR!$B$41:$B$48,MR!$A$41:$A$48,F73),IF(AND(M73="NO",$G$3="Cliente 20-39 líneas"),SUMIFS(MR!$C$41:$C$48,MR!$A$41:$A$48,F73),IF(AND(M73="NO",$G$3="Cliente &gt; 40 líneas"),SUMIFS(MR!$D$41:$D$48,MR!$A$41:$A$48,F73),0)))))),)</f>
        <v>0</v>
      </c>
      <c r="E75" s="58">
        <f>IFERROR(IF(AND(M73="SI",E73="capta",D73="multilínea"),SUMIFS(MR!$E$5:$E$13,MR!$A$5:$A$13,F73),IF(AND(M73="SI",E73="portabilidad",D73="multilínea"),SUMIFS(MR!$F$5:$F$13,MR!$A$5:$A$13,F73),IF(AND(M73="NO",E73="capta",D73="multilínea"),SUMIFS(MR!$E$17:$E$25,MR!$A$17:$A$25,F73),IF(AND(M73="NO",E73="portabilidad",D73="multilínea"),SUMIFS(MR!$F$17:$F$25,MR!$A$17:$A$25,F73),IF(AND(M73="NO",E73="capta",D73="IEW"),SUMIFS(MR!$B$53:$B$61,MR!$A$53:$A$61,C73),IF(AND(M73="NO",E73="portabilidad",D73="IEW"),SUMIFS(MR!$B$53:$B$61,MR!$A$53:$A$61,C73),0)))))),)+IFERROR(IF(AND(M73="SI",E73="capta",D73="multilínea"),SUMIFS(MR!$E$30:$E$37,MR!$A$30:$A$37,F73),IF(AND(M73="SI",E73="portabilidad",D73="multilínea"),SUMIFS(MR!$F$30:$F$37,MR!$A$30:$A$37,F73),IF(AND(M73="NO",E73="capta",D73="multilínea"),SUMIFS(MR!$E$48:$E$398,MR!$A$41:$A$48,F73),IF(AND(M73="NO",E73="portabilidad",D73="multilínea"),SUMIFS(MR!$F$41:$F$48,MR!$A$41:$A$48,F73),0)))),)</f>
        <v>0</v>
      </c>
      <c r="F75" s="442">
        <f>(IFERROR(IF(K73="SIN TERMINAL",0,IF(I73="SI",10,SUMIFS(MR!$G$6:$G$11,MR!$A$6:$A$11,F73))),0))*K75</f>
        <v>0</v>
      </c>
      <c r="G75" s="59">
        <f>IFERROR(IF(D73="multilínea",IF(G73="SI",MR!$N$4,0)+IF(H73="SI",MR!$N$5,0),0),0)</f>
        <v>0</v>
      </c>
      <c r="H75" s="409"/>
      <c r="I75" s="445">
        <f>(IF(D73="multilínea",IF($F$9="SI",IF($M73="SI",SUMIFS(MR!$I$6:$I$11,MR!$A$6:$A$11,F73),SUMIFS(MR!$I$18:$I$23,MR!$A$18:$A$23,F73))),SUMIFS(MR!$D$54:$D$61,MR!$A$54:$A$61,C73)))*P73</f>
        <v>0</v>
      </c>
      <c r="J75" s="65">
        <f>IF(M73="SI",IF($B$13+$B$23+$B$33+$B$43+$B$53+$B$63+$B$73&gt;99,(99-$B$13-$B$23-$B$33-$B$43-B$53-$B$63)*I75,B73*I75),B73*I75)</f>
        <v>0</v>
      </c>
      <c r="K75" s="35">
        <f>IF(IFERROR(SEARCH("CESIÓN",$J73,1),0)&gt;0,0,1)</f>
        <v>1</v>
      </c>
      <c r="L75" s="63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s="55" customFormat="1">
      <c r="A76" s="36" t="s">
        <v>74</v>
      </c>
      <c r="B76" s="37" t="str">
        <f ca="1">IFERROR(C76*B73,"SIN OFERTA")</f>
        <v>SIN OFERTA</v>
      </c>
      <c r="C76" s="69" t="str">
        <f ca="1">IFERROR(IFERROR(IF($F$1="NO",
IF(I73="SI",IF(E73="portabilidad",
IF(D73="multilínea",IF(AND(C73&lt;&gt;"Soluciones Personalizadas RPV",C73&lt;&gt;"Soluciones Personalizadas Centrex"),
OFFSET(CeldaInicioDxCVAP,MATCH(J73,'PVP VaP - Pyme'!C:C,0)-1,MATCH(L73,'PVP VaP - Pyme'!$Z$22:$AL$22,0)-1)
+OFFSET(CeldaInicioDxCVAP,MATCH(J73,'PVP VaP - Pyme'!C:C,0)-1,MATCH(L73,'PVP VaP - Pyme'!$Z$22:$AL$22,0)))),
IF(D73="IEW",
OFFSET(CeldaInicioDxCVAPIEW,MATCH(J73,'PVP VaP IEW Pro - Pyme'!C:C,0)-1,MATCH(L73,'PVP VaP IEW Pro - Pyme'!$AA$22:$AH$22,0)-1)
+OFFSET(CeldaInicioDxCVAPIEW,MATCH(J73,'PVP VaP IEW Pro - Pyme'!C:C,0)-1,MATCH(L73,'PVP VaP IEW Pro - Pyme'!$AA$22:$AH$22,0)),
)),
IF(M73="","SIN OFERTA",IF(M73="SI",IF(B77="SIN OFERTA",B77,IF(D73="IEW",OFFSET(CeldaInicioDxCIEW,MATCH(J73,'PVP Subv IEW - Pyme'!C:C,0)-1,MATCH(L73,'PVP Subv IEW - Pyme'!$I$4:$L$4,0)-1),OFFSET(IF(E73="portabilidad",CeldaInicioDxCPorta,CeldaInicioDxCCapta),MATCH(J73,'PVP Subv - Optima Pyme'!$C:$C,0)-1,MATCH(L73,'PVP Subv - Optima Pyme'!$I$4:$M$4,0)-1))),
IF(B77="SIN OFERTA",B77,IF(D73="IEW",OFFSET(CeldaInicioDxCIEW,MATCH(J73,'PVP Subv IEW - Pyme'!C:C,0)-1,MATCH(L73,'PVP Subv IEW - Pyme'!$I$4:$L$4,0)-1),OFFSET(IF(E73="portabilidad",CeldaInicioDxCPorta9MAS,CeldaInicioDxCCapta9MAS),MATCH(J73,'PVP Subv - Sol Pers Pyme'!$C:$C,0)-1,MATCH(L73,'PVP Subv - Sol Pers Pyme'!$I$4:$M$4,0)-1)))))))
+IF($F$1="SI",
IF(I73="SI",IF(E73="portabilidad",
IF(D73="multilínea",IF(AND(C73&lt;&gt;"Soluciones Personalizadas RPV",C73&lt;&gt;"Soluciones Personalizadas Centrex"),
OFFSET(CeldaInicioDxCVAP,MATCH(J73,'PVP VaP - Pyme'!C:C,0)-1,MATCH(L73,'PVP VaP - Pyme'!$Z$22:$AL$22,0)-1)
+OFFSET(CeldaInicioDxCVAP,MATCH(J73,'PVP VaP - Pyme'!C:C,0)-1,MATCH(L73,'PVP VaP - Pyme'!$Z$22:$AL$22,0)))),
IF(D73="IEW",
OFFSET(CeldaInicioDxCVAPIEW,MATCH(J73,'PVP VaP IEW Pro - Pyme'!C:C,0)-1,MATCH(L73,'PVP VaP IEW Pro - Pyme'!$AA$22:$AH$22,0)-1)
+OFFSET(CeldaInicioDxCVAPIEW,MATCH(J73,'PVP VaP IEW Pro - Pyme'!C:C,0)-1,MATCH(L73,'PVP VaP IEW Pro - Pyme'!$AA$22:$AH$22,0)),
)),
IF(M73="","SIN OFERTA",IF(M73="SI",IF(B77="SIN OFERTA",B77,IF(D73="IEW",OFFSET(CeldaInicioDxCIEWAAPP,MATCH(J73,'PVP Subv IEW - Pyme AAPP'!C:C,0)-1,MATCH(L73,'PVP Subv IEW - Pyme AAPP'!$I$4:$L$4,0)-1),OFFSET(IF(E73="portabilidad",CeldaInicioDxCPortaAAPP,CeldaInicioDxCCaptaAAPP),MATCH(J73,'PVP Subv - Optima Pyme AAPP'!$C:$C,0)-1,MATCH(L73,'PVP Subv - Optima Pyme AAPP'!$I$4:$M$4,0)-1))),
IF(B77="SIN OFERTA",B77,IF(D73="IEW",OFFSET(CeldaInicioDxCIEWAAPP,MATCH(J73,'PVP Subv IEW - Pyme AAPP'!C:C,0)-1,MATCH(L73,'PVP Subv IEW - Pyme AAPP'!$I$4:$L$4,0)-1),OFFSET(IF(E73="portabilidad",CeldaInicioDxCPorta9MASAAPP,CeldaInicioDxCCapta9MASAAPP),MATCH(J73,'PVP Subv - Sol Pers Pyme AAPP'!$C:$C,0)-1,MATCH(L73,'PVP Subv - Sol Pers Pyme AAPP'!$I$4:$M$4,0)-1))))))),"SIN OFERTA")+D76,"SIN OFERTA")</f>
        <v>SIN OFERTA</v>
      </c>
      <c r="D76" s="438"/>
      <c r="E76" s="447" t="str">
        <f ca="1">IFERROR(F76*B73,"SIN OFERTA")</f>
        <v>SIN OFERTA</v>
      </c>
      <c r="F76" s="448" t="str">
        <f ca="1">IF(O73="SI",OFFSET(CeldadeinicioDxCportaCP36,MATCH(J73,'PVP Subv - Optima Pyme'!$C:$C,0)-1,MATCH(L73,'PVP Subv - Optima Pyme'!$BK$23:$BO$23,0)-1),"-")</f>
        <v>-</v>
      </c>
      <c r="H76" s="407">
        <f>IFERROR(IF(N73="NO",0,SUMIFS(MR!$N$17:$N$21,MR!$M$17:$M$21,H75)),0)</f>
        <v>0</v>
      </c>
      <c r="I76" s="63"/>
      <c r="J76" s="35"/>
      <c r="K76" s="63"/>
      <c r="L76" s="63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:25" s="55" customFormat="1" ht="14">
      <c r="A77" s="36" t="s">
        <v>118</v>
      </c>
      <c r="B77" s="37">
        <f>IFERROR(C77*B73,"SIN OFERTA")</f>
        <v>0</v>
      </c>
      <c r="C77" s="70"/>
      <c r="D77" s="40" t="s">
        <v>442</v>
      </c>
      <c r="E77" s="440">
        <f ca="1">IF(E76="SIN OFERTA",0,(E76-B76))</f>
        <v>0</v>
      </c>
      <c r="F77" s="513">
        <f ca="1">IF(B76="SIN OFERTA",0,5*B73)</f>
        <v>0</v>
      </c>
      <c r="G77" s="408" t="s">
        <v>404</v>
      </c>
      <c r="H77" s="625" t="str">
        <f>IFERROR(INDEX(Tabla32[APLICA],MATCH(H75,Tabla32[PROMO],0)),"")</f>
        <v/>
      </c>
      <c r="I77" s="626"/>
      <c r="J77" s="626"/>
      <c r="K77" s="63"/>
      <c r="L77" s="63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:25" s="55" customFormat="1">
      <c r="A78" s="39" t="s">
        <v>76</v>
      </c>
      <c r="B78" s="37" t="str">
        <f ca="1">IFERROR(C78*B73,"SIN OFERTA")</f>
        <v>SIN OFERTA</v>
      </c>
      <c r="C78" s="69" t="str">
        <f ca="1">IF(M73="SI",IFERROR(-IF(D73="IEW",OFFSET(CeldaInicioPrecioCesiónIEW,MATCH(J73,'PVP Subv IEW - Pyme'!C:C,0)-1,0),OFFSET(CeldaInicioPrecioCesión,MATCH(J73,'PVP Subv - Optima Pyme'!$C:$C,0)-1,0)),"SIN OFERTA"),
IFERROR(-IF(D73="IEW",OFFSET(CeldaInicioPrecioCesiónIEW,MATCH(J73,'PVP Subv IEW - Pyme'!C:C,0)-1,0),OFFSET(CeldaInicioPrecioCesión,MATCH(J73,'PVP Subv - Sol Pers Pyme'!$C:$C,0)-1,0)),"SIN OFERTA"))</f>
        <v>SIN OFERTA</v>
      </c>
      <c r="D78" s="40"/>
      <c r="H78" s="407">
        <f>IF(H76=12,H76+MR!$L$24,IF(H76=18,H76+MR!$L$23,IF(H76=48,H76+MR!$L$22,0)))</f>
        <v>0</v>
      </c>
      <c r="I78" s="63"/>
      <c r="J78" s="35"/>
      <c r="K78" s="63"/>
      <c r="L78" s="63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:25" s="55" customFormat="1" ht="13.5" thickBot="1">
      <c r="A79" s="41" t="s">
        <v>112</v>
      </c>
      <c r="B79" s="42">
        <f ca="1">IFERROR(B73*C79,"SIN OFERTA")</f>
        <v>0</v>
      </c>
      <c r="C79" s="43">
        <f ca="1">IFERROR(C75+IF(NOT(ISNUMBER(C76)),0,C76)+IF(NOT(ISNUMBER(C77)),0,C77)+IF(NOT(ISNUMBER(C78)),0,C78),"SIN OFERTA")</f>
        <v>0</v>
      </c>
      <c r="D79" s="41" t="s">
        <v>449</v>
      </c>
      <c r="E79" s="42">
        <f ca="1">IFERROR(B73*F79,"SIN OFERTA")</f>
        <v>0</v>
      </c>
      <c r="F79" s="43">
        <f ca="1">IFERROR(C79+(E77/B73),0)</f>
        <v>0</v>
      </c>
      <c r="H79" s="407">
        <f>(H76-H78)*B73</f>
        <v>0</v>
      </c>
      <c r="I79" s="407" t="s">
        <v>457</v>
      </c>
      <c r="J79" s="35"/>
      <c r="K79" s="63"/>
      <c r="L79" s="63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:25" s="55" customFormat="1">
      <c r="C80" s="142"/>
      <c r="D80" s="142"/>
      <c r="I80" s="142"/>
      <c r="K80" s="142"/>
      <c r="L80" s="142"/>
    </row>
    <row r="81" spans="1:25" s="55" customFormat="1" ht="13.5" thickBot="1">
      <c r="C81" s="142"/>
      <c r="D81" s="142"/>
      <c r="I81" s="142"/>
      <c r="K81" s="142"/>
      <c r="L81" s="142"/>
    </row>
    <row r="82" spans="1:25" s="52" customFormat="1" ht="26">
      <c r="A82" s="51"/>
      <c r="B82" s="29" t="s">
        <v>31</v>
      </c>
      <c r="C82" s="30" t="s">
        <v>14</v>
      </c>
      <c r="D82" s="30" t="s">
        <v>89</v>
      </c>
      <c r="E82" s="30" t="s">
        <v>19</v>
      </c>
      <c r="F82" s="30" t="s">
        <v>23</v>
      </c>
      <c r="G82" s="30" t="s">
        <v>30</v>
      </c>
      <c r="H82" s="30" t="s">
        <v>29</v>
      </c>
      <c r="I82" s="30" t="s">
        <v>33</v>
      </c>
      <c r="J82" s="30" t="s">
        <v>0</v>
      </c>
      <c r="K82" s="30" t="s">
        <v>75</v>
      </c>
      <c r="L82" s="31" t="s">
        <v>67</v>
      </c>
      <c r="M82" s="30" t="s">
        <v>204</v>
      </c>
      <c r="N82" s="30" t="s">
        <v>394</v>
      </c>
      <c r="O82" s="30" t="s">
        <v>441</v>
      </c>
      <c r="P82" s="30" t="s">
        <v>470</v>
      </c>
    </row>
    <row r="83" spans="1:25" s="55" customFormat="1" ht="21" customHeight="1" thickBot="1">
      <c r="A83" s="32" t="s">
        <v>28</v>
      </c>
      <c r="B83" s="53"/>
      <c r="C83" s="54"/>
      <c r="D83" s="61" t="str">
        <f>IFERROR(INDEX(MR!Q:Q,MATCH(C83,MR!P:P,0)),"")</f>
        <v/>
      </c>
      <c r="E83" s="54"/>
      <c r="F83" s="54"/>
      <c r="G83" s="54"/>
      <c r="H83" s="54"/>
      <c r="I83" s="54"/>
      <c r="J83" s="54"/>
      <c r="K83" s="399" t="str">
        <f>IF(J83="","SIN TERMINAL",IF(D83="IEW",INDEX('PVP Subv IEW - Pyme'!F:F,MATCH(J83,'PVP Subv IEW - Pyme'!C:C,0)),INDEX('PVP Subv - Optima Pyme'!F:F,MATCH(J83,'PVP Subv - Optima Pyme'!C:C,0))))</f>
        <v>SIN TERMINAL</v>
      </c>
      <c r="L83" s="62" t="str">
        <f>IFERROR(IF(D83="IEW",INDEX('MODULOS OT IEW'!D:D,MATCH(C83,'MODULOS OT IEW'!A:A,0)),INDEX('MODULOS OT MULTILINEA'!F:F,MATCH(E83&amp;F83&amp;K83,'MODULOS OT MULTILINEA'!A:A,0))),"")</f>
        <v/>
      </c>
      <c r="M83" s="61" t="str">
        <f>+IF(C83="","",IF(OR(C83="Óptima Plus Empresas",C83="Óptima Plus Empresas BIG"),"SI","NO"))</f>
        <v/>
      </c>
      <c r="N83" s="61" t="str">
        <f>+IF(C83="","",IF($C$9="SI","NO",IF(OR(C83="Óptima Plus Empresas",C83="Óptima Plus Empresas BIG"),"SI","NO")))</f>
        <v/>
      </c>
      <c r="O83" s="61" t="str">
        <f>+IF(N83="NO","NO",IF(AND(E83="portabilidad",L83&lt;&gt;"ENTRADA PRO"),"SI","NO"))</f>
        <v>NO</v>
      </c>
      <c r="P83" s="61">
        <f>IF(AND(E83="capta",F83="EMPRESAS VOZ"),0,1)</f>
        <v>1</v>
      </c>
    </row>
    <row r="84" spans="1:25" s="55" customFormat="1" ht="26">
      <c r="A84" s="56"/>
      <c r="B84" s="33" t="s">
        <v>78</v>
      </c>
      <c r="C84" s="34" t="s">
        <v>77</v>
      </c>
      <c r="D84" s="57" t="s">
        <v>23</v>
      </c>
      <c r="E84" s="33" t="s">
        <v>235</v>
      </c>
      <c r="F84" s="33" t="s">
        <v>328</v>
      </c>
      <c r="G84" s="66" t="s">
        <v>73</v>
      </c>
      <c r="H84" s="205" t="s">
        <v>394</v>
      </c>
      <c r="I84" s="205" t="s">
        <v>354</v>
      </c>
      <c r="J84" s="35"/>
      <c r="K84" s="63"/>
      <c r="L84" s="63"/>
      <c r="M84" s="38"/>
      <c r="N84" s="35">
        <f>IF(N83="SI",1,0)</f>
        <v>0</v>
      </c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s="55" customFormat="1" ht="13.5" thickBot="1">
      <c r="A85" s="36" t="s">
        <v>72</v>
      </c>
      <c r="B85" s="37">
        <f>C85*B83</f>
        <v>0</v>
      </c>
      <c r="C85" s="60">
        <f>D85+E85+F85+G85-H86*N84+I85</f>
        <v>0</v>
      </c>
      <c r="D85" s="103">
        <f>IFERROR(IF(AND(M83="SI",$G$3="Cliente 1-19 líneas"),SUMIFS(MR!$B$5:$B$13,MR!$A$5:$A$13,F83),IF(AND(M83="SI",$G$3="Cliente 20-39 líneas"),SUMIFS(MR!$C$5:$C$13,MR!$A$5:$A$13,F83),IF(AND(M83="SI",$G$3="Cliente &gt; 40 líneas"),SUMIFS(MR!$D$5:$D$13,MR!$A$5:$A$13,F83),IF(AND(M83="NO",$G$3="Cliente 1-19 líneas"),SUMIFS(MR!$B$17:$B$25,MR!$A$17:$A$25,F83),IF(AND(M83="NO",$G$3="Cliente 20-39 líneas"),SUMIFS(MR!$C$17:$C$25,MR!$A$17:$A$25,F83),IF(AND(M83="NO",$G$3="Cliente &gt; 40 líneas"),SUMIFS(MR!$D$17:$D$25,MR!$A$17:$A$25,F83),0)))))),)+IFERROR(IF(AND(M83="SI",$G$3="Cliente 1-19 líneas"),SUMIFS(MR!$B$30:$B$37,MR!$A$30:$A$37,F83),IF(AND(M83="SI",$G$3="Cliente 20-39 líneas"),SUMIFS(MR!$C$30:$C$37,MR!$A$30:$A$37,F83),IF(AND(M83="SI",$G$3="Cliente &gt; 40 líneas"),SUMIFS(MR!$D$30:$D$37,MR!$A$30:$A$37,F83),IF(AND(M83="NO",$G$3="Cliente 1-19 líneas"),SUMIFS(MR!$B$41:$B$48,MR!$A$41:$A$48,F83),IF(AND(M83="NO",$G$3="Cliente 20-39 líneas"),SUMIFS(MR!$C$41:$C$48,MR!$A$41:$A$48,F83),IF(AND(M83="NO",$G$3="Cliente &gt; 40 líneas"),SUMIFS(MR!$D$41:$D$48,MR!$A$41:$A$48,F83),0)))))),)</f>
        <v>0</v>
      </c>
      <c r="E85" s="58">
        <f>IFERROR(IF(AND(M83="SI",E83="capta",D83="multilínea"),SUMIFS(MR!$E$5:$E$13,MR!$A$5:$A$13,F83),IF(AND(M83="SI",E83="portabilidad",D83="multilínea"),SUMIFS(MR!$F$5:$F$13,MR!$A$5:$A$13,F83),IF(AND(M83="NO",E83="capta",D83="multilínea"),SUMIFS(MR!$E$17:$E$25,MR!$A$17:$A$25,F83),IF(AND(M83="NO",E83="portabilidad",D83="multilínea"),SUMIFS(MR!$F$17:$F$25,MR!$A$17:$A$25,F83),IF(AND(M83="NO",E83="capta",D83="IEW"),SUMIFS(MR!$B$53:$B$61,MR!$A$53:$A$61,C83),IF(AND(M83="NO",E83="portabilidad",D83="IEW"),SUMIFS(MR!$B$53:$B$61,MR!$A$53:$A$61,C83),0)))))),)+IFERROR(IF(AND(M83="SI",E83="capta",D83="multilínea"),SUMIFS(MR!$E$30:$E$37,MR!$A$30:$A$37,F83),IF(AND(M83="SI",E83="portabilidad",D83="multilínea"),SUMIFS(MR!$F$30:$F$37,MR!$A$30:$A$37,F83),IF(AND(M83="NO",E83="capta",D83="multilínea"),SUMIFS(MR!$E$48:$E$398,MR!$A$41:$A$48,F83),IF(AND(M83="NO",E83="portabilidad",D83="multilínea"),SUMIFS(MR!$F$41:$F$48,MR!$A$41:$A$48,F83),0)))),)</f>
        <v>0</v>
      </c>
      <c r="F85" s="442">
        <f>(IFERROR(IF(K83="SIN TERMINAL",0,IF(I83="SI",10,SUMIFS(MR!$G$6:$G$11,MR!$A$6:$A$11,F83))),0))*K85</f>
        <v>0</v>
      </c>
      <c r="G85" s="59">
        <f>IFERROR(IF(D83="multilínea",IF(G83="SI",MR!$N$4,0)+IF(H83="SI",MR!$N$5,0),0),0)</f>
        <v>0</v>
      </c>
      <c r="H85" s="409"/>
      <c r="I85" s="445">
        <f>(IF(D83="multilínea",IF($F$9="SI",IF($M83="SI",SUMIFS(MR!$I$6:$I$11,MR!$A$6:$A$11,F83),SUMIFS(MR!$I$18:$I$23,MR!$A$18:$A$23,F83))),SUMIFS(MR!$D$54:$D$61,MR!$A$54:$A$61,C83)))*P83</f>
        <v>0</v>
      </c>
      <c r="J85" s="65">
        <f>IF(M83="SI",IF($B$13+$B$23+$B$33+$B$43+$B$53+$B$63+$B$73+$B$83&gt;99,(99-$B$13-$B$23-$B$33-$B$43-B$53-$B$63-$B$73)*I85,B83*I85),B83*I85)</f>
        <v>0</v>
      </c>
      <c r="K85" s="35">
        <f>IF(IFERROR(SEARCH("CESIÓN",$J83,1),0)&gt;0,0,1)</f>
        <v>1</v>
      </c>
      <c r="L85" s="63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s="55" customFormat="1">
      <c r="A86" s="36" t="s">
        <v>74</v>
      </c>
      <c r="B86" s="37" t="str">
        <f ca="1">IFERROR(C86*B83,"SIN OFERTA")</f>
        <v>SIN OFERTA</v>
      </c>
      <c r="C86" s="69" t="str">
        <f ca="1">IFERROR(IFERROR(IF($F$1="NO",
IF(I83="SI",IF(E83="portabilidad",
IF(D83="multilínea",IF(AND(C83&lt;&gt;"Soluciones Personalizadas RPV",C83&lt;&gt;"Soluciones Personalizadas Centrex"),
OFFSET(CeldaInicioDxCVAP,MATCH(J83,'PVP VaP - Pyme'!C:C,0)-1,MATCH(L83,'PVP VaP - Pyme'!$Z$22:$AL$22,0)-1)
+OFFSET(CeldaInicioDxCVAP,MATCH(J83,'PVP VaP - Pyme'!C:C,0)-1,MATCH(L83,'PVP VaP - Pyme'!$Z$22:$AL$22,0)))),
IF(D83="IEW",
OFFSET(CeldaInicioDxCVAPIEW,MATCH(J83,'PVP VaP IEW Pro - Pyme'!C:C,0)-1,MATCH(L83,'PVP VaP IEW Pro - Pyme'!$AA$22:$AH$22,0)-1)
+OFFSET(CeldaInicioDxCVAPIEW,MATCH(J83,'PVP VaP IEW Pro - Pyme'!C:C,0)-1,MATCH(L83,'PVP VaP IEW Pro - Pyme'!$AA$22:$AH$22,0)),
)),
IF(M83="","SIN OFERTA",IF(M83="SI",IF(B87="SIN OFERTA",B87,IF(D83="IEW",OFFSET(CeldaInicioDxCIEW,MATCH(J83,'PVP Subv IEW - Pyme'!C:C,0)-1,MATCH(L83,'PVP Subv IEW - Pyme'!$I$4:$L$4,0)-1),OFFSET(IF(E83="portabilidad",CeldaInicioDxCPorta,CeldaInicioDxCCapta),MATCH(J83,'PVP Subv - Optima Pyme'!$C:$C,0)-1,MATCH(L83,'PVP Subv - Optima Pyme'!$I$4:$M$4,0)-1))),
IF(B87="SIN OFERTA",B87,IF(D83="IEW",OFFSET(CeldaInicioDxCIEW,MATCH(J83,'PVP Subv IEW - Pyme'!C:C,0)-1,MATCH(L83,'PVP Subv IEW - Pyme'!$I$4:$L$4,0)-1),OFFSET(IF(E83="portabilidad",CeldaInicioDxCPorta9MAS,CeldaInicioDxCCapta9MAS),MATCH(J83,'PVP Subv - Sol Pers Pyme'!$C:$C,0)-1,MATCH(L83,'PVP Subv - Sol Pers Pyme'!$I$4:$M$4,0)-1)))))))
+IF($F$1="SI",
IF(I83="SI",IF(E83="portabilidad",
IF(D83="multilínea",IF(AND(C83&lt;&gt;"Soluciones Personalizadas RPV",C83&lt;&gt;"Soluciones Personalizadas Centrex"),
OFFSET(CeldaInicioDxCVAP,MATCH(J83,'PVP VaP - Pyme'!C:C,0)-1,MATCH(L83,'PVP VaP - Pyme'!$Z$22:$AL$22,0)-1)
+OFFSET(CeldaInicioDxCVAP,MATCH(J83,'PVP VaP - Pyme'!C:C,0)-1,MATCH(L83,'PVP VaP - Pyme'!$Z$22:$AL$22,0)))),
IF(D83="IEW",
OFFSET(CeldaInicioDxCVAPIEW,MATCH(J83,'PVP VaP IEW Pro - Pyme'!C:C,0)-1,MATCH(L83,'PVP VaP IEW Pro - Pyme'!$AA$22:$AH$22,0)-1)
+OFFSET(CeldaInicioDxCVAPIEW,MATCH(J83,'PVP VaP IEW Pro - Pyme'!C:C,0)-1,MATCH(L83,'PVP VaP IEW Pro - Pyme'!$AA$22:$AH$22,0)),
)),
IF(M83="","SIN OFERTA",IF(M83="SI",IF(B87="SIN OFERTA",B87,IF(D83="IEW",OFFSET(CeldaInicioDxCIEWAAPP,MATCH(J83,'PVP Subv IEW - Pyme AAPP'!C:C,0)-1,MATCH(L83,'PVP Subv IEW - Pyme AAPP'!$I$4:$L$4,0)-1),OFFSET(IF(E83="portabilidad",CeldaInicioDxCPortaAAPP,CeldaInicioDxCCaptaAAPP),MATCH(J83,'PVP Subv - Optima Pyme AAPP'!$C:$C,0)-1,MATCH(L83,'PVP Subv - Optima Pyme AAPP'!$I$4:$M$4,0)-1))),
IF(B87="SIN OFERTA",B87,IF(D83="IEW",OFFSET(CeldaInicioDxCIEWAAPP,MATCH(J83,'PVP Subv IEW - Pyme AAPP'!C:C,0)-1,MATCH(L83,'PVP Subv IEW - Pyme AAPP'!$I$4:$L$4,0)-1),OFFSET(IF(E83="portabilidad",CeldaInicioDxCPorta9MASAAPP,CeldaInicioDxCCapta9MASAAPP),MATCH(J83,'PVP Subv - Sol Pers Pyme AAPP'!$C:$C,0)-1,MATCH(L83,'PVP Subv - Sol Pers Pyme AAPP'!$I$4:$M$4,0)-1))))))),"SIN OFERTA")+D86,"SIN OFERTA")</f>
        <v>SIN OFERTA</v>
      </c>
      <c r="D86" s="438"/>
      <c r="E86" s="447" t="str">
        <f ca="1">IFERROR(F86*B83,"SIN OFERTA")</f>
        <v>SIN OFERTA</v>
      </c>
      <c r="F86" s="448" t="str">
        <f ca="1">IF(O83="SI",OFFSET(CeldadeinicioDxCportaCP36,MATCH(J83,'PVP Subv - Optima Pyme'!$C:$C,0)-1,MATCH(L83,'PVP Subv - Optima Pyme'!$BK$23:$BO$23,0)-1),"-")</f>
        <v>-</v>
      </c>
      <c r="H86" s="407">
        <f>IFERROR(IF(N83="NO",0,SUMIFS(MR!$N$17:$N$21,MR!$M$17:$M$21,H85)),0)</f>
        <v>0</v>
      </c>
      <c r="I86" s="63"/>
      <c r="J86" s="35"/>
      <c r="K86" s="63"/>
      <c r="L86" s="63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:25" s="55" customFormat="1" ht="14">
      <c r="A87" s="36" t="s">
        <v>118</v>
      </c>
      <c r="B87" s="37">
        <f>IFERROR(C87*B83,"SIN OFERTA")</f>
        <v>0</v>
      </c>
      <c r="C87" s="70"/>
      <c r="D87" s="40" t="s">
        <v>442</v>
      </c>
      <c r="E87" s="440">
        <f ca="1">IF(E86="SIN OFERTA",0,(E86-B86))</f>
        <v>0</v>
      </c>
      <c r="F87" s="513">
        <f ca="1">IF(B86="SIN OFERTA",0,5*B83)</f>
        <v>0</v>
      </c>
      <c r="G87" s="408" t="s">
        <v>404</v>
      </c>
      <c r="H87" s="625" t="str">
        <f>IFERROR(INDEX(Tabla32[APLICA],MATCH(H85,Tabla32[PROMO],0)),"")</f>
        <v/>
      </c>
      <c r="I87" s="626"/>
      <c r="J87" s="626"/>
      <c r="K87" s="63"/>
      <c r="L87" s="63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:25" s="55" customFormat="1">
      <c r="A88" s="39" t="s">
        <v>76</v>
      </c>
      <c r="B88" s="37" t="str">
        <f ca="1">IFERROR(C88*B83,"SIN OFERTA")</f>
        <v>SIN OFERTA</v>
      </c>
      <c r="C88" s="69" t="str">
        <f ca="1">IF(M83="SI",IFERROR(-IF(D83="IEW",OFFSET(CeldaInicioPrecioCesiónIEW,MATCH(J83,'PVP Subv IEW - Pyme'!C:C,0)-1,0),OFFSET(CeldaInicioPrecioCesión,MATCH(J83,'PVP Subv - Optima Pyme'!$C:$C,0)-1,0)),"SIN OFERTA"),
IFERROR(-IF(D83="IEW",OFFSET(CeldaInicioPrecioCesiónIEW,MATCH(J83,'PVP Subv IEW - Pyme'!C:C,0)-1,0),OFFSET(CeldaInicioPrecioCesión,MATCH(J83,'PVP Subv - Sol Pers Pyme'!$C:$C,0)-1,0)),"SIN OFERTA"))</f>
        <v>SIN OFERTA</v>
      </c>
      <c r="D88" s="40"/>
      <c r="H88" s="407">
        <f>IF(H86=12,H86+MR!$L$24,IF(H86=18,H86+MR!$L$23,IF(H86=48,H86+MR!$L$22,0)))</f>
        <v>0</v>
      </c>
      <c r="I88" s="63"/>
      <c r="J88" s="35"/>
      <c r="K88" s="63"/>
      <c r="L88" s="63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:25" s="55" customFormat="1" ht="13.5" thickBot="1">
      <c r="A89" s="41" t="s">
        <v>112</v>
      </c>
      <c r="B89" s="42">
        <f ca="1">IFERROR(B83*C89,"SIN OFERTA")</f>
        <v>0</v>
      </c>
      <c r="C89" s="43">
        <f ca="1">IFERROR(C85+IF(NOT(ISNUMBER(C86)),0,C86)+IF(NOT(ISNUMBER(C87)),0,C87)+IF(NOT(ISNUMBER(C88)),0,C88),"SIN OFERTA")</f>
        <v>0</v>
      </c>
      <c r="D89" s="41" t="s">
        <v>449</v>
      </c>
      <c r="E89" s="42">
        <f ca="1">IFERROR(B83*F89,"SIN OFERTA")</f>
        <v>0</v>
      </c>
      <c r="F89" s="43">
        <f ca="1">IFERROR(C89+(E87/B83),0)</f>
        <v>0</v>
      </c>
      <c r="H89" s="407">
        <f>(H86-H88)*B83</f>
        <v>0</v>
      </c>
      <c r="I89" s="407" t="s">
        <v>457</v>
      </c>
      <c r="J89" s="35"/>
      <c r="K89" s="63"/>
      <c r="L89" s="63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:25" s="55" customFormat="1">
      <c r="C90" s="142"/>
      <c r="D90" s="142"/>
      <c r="I90" s="142"/>
      <c r="K90" s="142"/>
      <c r="L90" s="142"/>
    </row>
    <row r="91" spans="1:25" s="55" customFormat="1" ht="13.5" thickBot="1">
      <c r="C91" s="142"/>
      <c r="D91" s="142"/>
      <c r="I91" s="142"/>
      <c r="K91" s="142"/>
      <c r="L91" s="142"/>
    </row>
    <row r="92" spans="1:25" s="52" customFormat="1" ht="26">
      <c r="A92" s="51"/>
      <c r="B92" s="29" t="s">
        <v>31</v>
      </c>
      <c r="C92" s="30" t="s">
        <v>14</v>
      </c>
      <c r="D92" s="30" t="s">
        <v>89</v>
      </c>
      <c r="E92" s="30" t="s">
        <v>19</v>
      </c>
      <c r="F92" s="30" t="s">
        <v>23</v>
      </c>
      <c r="G92" s="30" t="s">
        <v>30</v>
      </c>
      <c r="H92" s="30" t="s">
        <v>29</v>
      </c>
      <c r="I92" s="30" t="s">
        <v>33</v>
      </c>
      <c r="J92" s="30" t="s">
        <v>0</v>
      </c>
      <c r="K92" s="30" t="s">
        <v>75</v>
      </c>
      <c r="L92" s="31" t="s">
        <v>67</v>
      </c>
      <c r="M92" s="30" t="s">
        <v>204</v>
      </c>
      <c r="N92" s="30" t="s">
        <v>394</v>
      </c>
      <c r="O92" s="30" t="s">
        <v>441</v>
      </c>
      <c r="P92" s="30" t="s">
        <v>470</v>
      </c>
    </row>
    <row r="93" spans="1:25" s="55" customFormat="1" ht="21.75" customHeight="1" thickBot="1">
      <c r="A93" s="32" t="s">
        <v>28</v>
      </c>
      <c r="B93" s="53">
        <v>0</v>
      </c>
      <c r="C93" s="54"/>
      <c r="D93" s="61" t="str">
        <f>IFERROR(INDEX(MR!Q:Q,MATCH(C93,MR!P:P,0)),"")</f>
        <v/>
      </c>
      <c r="E93" s="54"/>
      <c r="F93" s="54"/>
      <c r="G93" s="54"/>
      <c r="H93" s="54"/>
      <c r="I93" s="54"/>
      <c r="J93" s="54"/>
      <c r="K93" s="399" t="str">
        <f>IF(J93="","SIN TERMINAL",IF(D93="IEW",INDEX('PVP Subv IEW - Pyme'!F:F,MATCH(J93,'PVP Subv IEW - Pyme'!C:C,0)),INDEX('PVP Subv - Optima Pyme'!F:F,MATCH(J93,'PVP Subv - Optima Pyme'!C:C,0))))</f>
        <v>SIN TERMINAL</v>
      </c>
      <c r="L93" s="62" t="str">
        <f>IFERROR(IF(D93="IEW",INDEX('MODULOS OT IEW'!D:D,MATCH(C93,'MODULOS OT IEW'!A:A,0)),INDEX('MODULOS OT MULTILINEA'!F:F,MATCH(E93&amp;F93&amp;K93,'MODULOS OT MULTILINEA'!A:A,0))),"")</f>
        <v/>
      </c>
      <c r="M93" s="61" t="str">
        <f>+IF(C93="","",IF(OR(C93="Óptima Plus Empresas",C93="Óptima Plus Empresas BIG"),"SI","NO"))</f>
        <v/>
      </c>
      <c r="N93" s="61" t="str">
        <f>+IF(C93="","",IF($C$9="SI","NO",IF(OR(C93="Óptima Plus Empresas",C93="Óptima Plus Empresas BIG"),"SI","NO")))</f>
        <v/>
      </c>
      <c r="O93" s="61" t="str">
        <f>+IF(N93="NO","NO",IF(AND(E93="portabilidad",L93&lt;&gt;"ENTRADA PRO"),"SI","NO"))</f>
        <v>NO</v>
      </c>
      <c r="P93" s="61">
        <f>IF(AND(E93="capta",F93="EMPRESAS VOZ"),0,1)</f>
        <v>1</v>
      </c>
    </row>
    <row r="94" spans="1:25" s="55" customFormat="1" ht="26">
      <c r="A94" s="56"/>
      <c r="B94" s="33" t="s">
        <v>78</v>
      </c>
      <c r="C94" s="34" t="s">
        <v>77</v>
      </c>
      <c r="D94" s="57" t="s">
        <v>23</v>
      </c>
      <c r="E94" s="33" t="s">
        <v>235</v>
      </c>
      <c r="F94" s="33" t="s">
        <v>328</v>
      </c>
      <c r="G94" s="66" t="s">
        <v>73</v>
      </c>
      <c r="H94" s="205" t="s">
        <v>394</v>
      </c>
      <c r="I94" s="205" t="s">
        <v>354</v>
      </c>
      <c r="J94" s="35"/>
      <c r="K94" s="63"/>
      <c r="L94" s="63"/>
      <c r="M94" s="38"/>
      <c r="N94" s="35">
        <f>IF(N93="SI",1,0)</f>
        <v>0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s="55" customFormat="1" ht="13.5" thickBot="1">
      <c r="A95" s="36" t="s">
        <v>72</v>
      </c>
      <c r="B95" s="37">
        <f>C95*B93</f>
        <v>0</v>
      </c>
      <c r="C95" s="60">
        <f>D95+E95+F95+G95-H96*N94+I95</f>
        <v>0</v>
      </c>
      <c r="D95" s="103">
        <f>IFERROR(IF(AND(M93="SI",$G$3="Cliente 1-19 líneas"),SUMIFS(MR!$B$5:$B$13,MR!$A$5:$A$13,F93),IF(AND(M93="SI",$G$3="Cliente 20-39 líneas"),SUMIFS(MR!$C$5:$C$13,MR!$A$5:$A$13,F93),IF(AND(M93="SI",$G$3="Cliente &gt; 40 líneas"),SUMIFS(MR!$D$5:$D$13,MR!$A$5:$A$13,F93),IF(AND(M93="NO",$G$3="Cliente 1-19 líneas"),SUMIFS(MR!$B$17:$B$25,MR!$A$17:$A$25,F93),IF(AND(M93="NO",$G$3="Cliente 20-39 líneas"),SUMIFS(MR!$C$17:$C$25,MR!$A$17:$A$25,F93),IF(AND(M93="NO",$G$3="Cliente &gt; 40 líneas"),SUMIFS(MR!$D$17:$D$25,MR!$A$17:$A$25,F93),0)))))),)+IFERROR(IF(AND(M93="SI",$G$3="Cliente 1-19 líneas"),SUMIFS(MR!$B$30:$B$37,MR!$A$30:$A$37,F93),IF(AND(M93="SI",$G$3="Cliente 20-39 líneas"),SUMIFS(MR!$C$30:$C$37,MR!$A$30:$A$37,F93),IF(AND(M93="SI",$G$3="Cliente &gt; 40 líneas"),SUMIFS(MR!$D$30:$D$37,MR!$A$30:$A$37,F93),IF(AND(M93="NO",$G$3="Cliente 1-19 líneas"),SUMIFS(MR!$B$41:$B$48,MR!$A$41:$A$48,F93),IF(AND(M93="NO",$G$3="Cliente 20-39 líneas"),SUMIFS(MR!$C$41:$C$48,MR!$A$41:$A$48,F93),IF(AND(M93="NO",$G$3="Cliente &gt; 40 líneas"),SUMIFS(MR!$D$41:$D$48,MR!$A$41:$A$48,F93),0)))))),)</f>
        <v>0</v>
      </c>
      <c r="E95" s="58">
        <f>IFERROR(IF(AND(M93="SI",E93="capta",D93="multilínea"),SUMIFS(MR!$E$5:$E$13,MR!$A$5:$A$13,F93),IF(AND(M93="SI",E93="portabilidad",D93="multilínea"),SUMIFS(MR!$F$5:$F$13,MR!$A$5:$A$13,F93),IF(AND(M93="NO",E93="capta",D93="multilínea"),SUMIFS(MR!$E$17:$E$25,MR!$A$17:$A$25,F93),IF(AND(M93="NO",E93="portabilidad",D93="multilínea"),SUMIFS(MR!$F$17:$F$25,MR!$A$17:$A$25,F93),IF(AND(M93="NO",E93="capta",D93="IEW"),SUMIFS(MR!$B$53:$B$61,MR!$A$53:$A$61,C93),IF(AND(M93="NO",E93="portabilidad",D93="IEW"),SUMIFS(MR!$B$53:$B$61,MR!$A$53:$A$61,C93),0)))))),)+IFERROR(IF(AND(M93="SI",E93="capta",D93="multilínea"),SUMIFS(MR!$E$30:$E$37,MR!$A$30:$A$37,F93),IF(AND(M93="SI",E93="portabilidad",D93="multilínea"),SUMIFS(MR!$F$30:$F$37,MR!$A$30:$A$37,F93),IF(AND(M93="NO",E93="capta",D93="multilínea"),SUMIFS(MR!$E$48:$E$398,MR!$A$41:$A$48,F93),IF(AND(M93="NO",E93="portabilidad",D93="multilínea"),SUMIFS(MR!$F$41:$F$48,MR!$A$41:$A$48,F93),0)))),)</f>
        <v>0</v>
      </c>
      <c r="F95" s="442">
        <f>(IFERROR(IF(K93="SIN TERMINAL",0,IF(I93="SI",10,SUMIFS(MR!$G$6:$G$11,MR!$A$6:$A$11,F93))),0))*K95</f>
        <v>0</v>
      </c>
      <c r="G95" s="59">
        <f>IFERROR(IF(D93="multilínea",IF(G93="SI",MR!$N$4,0)+IF(H93="SI",MR!$N$5,0),0),0)</f>
        <v>0</v>
      </c>
      <c r="H95" s="409"/>
      <c r="I95" s="445">
        <f>(IF(D93="multilínea",IF($F$9="SI",IF($M93="SI",SUMIFS(MR!$I$6:$I$11,MR!$A$6:$A$11,F93),SUMIFS(MR!$I$18:$I$23,MR!$A$18:$A$23,F93))),SUMIFS(MR!$D$54:$D$61,MR!$A$54:$A$61,C93)))*P93</f>
        <v>0</v>
      </c>
      <c r="J95" s="65">
        <f>IF(M93="SI",IF($B$13+$B$23+$B$33+$B$43+$B$53+$B$63+$B$73+$B$83+$B$93&gt;99,(99-$B$13-$B$23-$B$33-$B$43-B$53-$B$63-$B$73-$B$83)*I95,B93*I95),B93*I95)</f>
        <v>0</v>
      </c>
      <c r="K95" s="35">
        <f>IF(IFERROR(SEARCH("CESIÓN",$J93,1),0)&gt;0,0,1)</f>
        <v>1</v>
      </c>
      <c r="L95" s="63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s="55" customFormat="1">
      <c r="A96" s="36" t="s">
        <v>74</v>
      </c>
      <c r="B96" s="37" t="str">
        <f ca="1">IFERROR(C96*B93,"SIN OFERTA")</f>
        <v>SIN OFERTA</v>
      </c>
      <c r="C96" s="69" t="str">
        <f ca="1">IFERROR(IFERROR(IF($F$1="NO",
IF(I93="SI",IF(E93="portabilidad",
IF(D93="multilínea",IF(AND(C93&lt;&gt;"Soluciones Personalizadas RPV",C93&lt;&gt;"Soluciones Personalizadas Centrex"),
OFFSET(CeldaInicioDxCVAP,MATCH(J93,'PVP VaP - Pyme'!C:C,0)-1,MATCH(L93,'PVP VaP - Pyme'!$Z$22:$AL$22,0)-1)
+OFFSET(CeldaInicioDxCVAP,MATCH(J93,'PVP VaP - Pyme'!C:C,0)-1,MATCH(L93,'PVP VaP - Pyme'!$Z$22:$AL$22,0)))),
IF(D93="IEW",
OFFSET(CeldaInicioDxCVAPIEW,MATCH(J93,'PVP VaP IEW Pro - Pyme'!C:C,0)-1,MATCH(L93,'PVP VaP IEW Pro - Pyme'!$AA$22:$AH$22,0)-1)
+OFFSET(CeldaInicioDxCVAPIEW,MATCH(J93,'PVP VaP IEW Pro - Pyme'!C:C,0)-1,MATCH(L93,'PVP VaP IEW Pro - Pyme'!$AA$22:$AH$22,0)),
)),
IF(M93="","SIN OFERTA",IF(M93="SI",IF(B97="SIN OFERTA",B97,IF(D93="IEW",OFFSET(CeldaInicioDxCIEW,MATCH(J93,'PVP Subv IEW - Pyme'!C:C,0)-1,MATCH(L93,'PVP Subv IEW - Pyme'!$I$4:$L$4,0)-1),OFFSET(IF(E93="portabilidad",CeldaInicioDxCPorta,CeldaInicioDxCCapta),MATCH(J93,'PVP Subv - Optima Pyme'!$C:$C,0)-1,MATCH(L93,'PVP Subv - Optima Pyme'!$I$4:$M$4,0)-1))),
IF(B97="SIN OFERTA",B97,IF(D93="IEW",OFFSET(CeldaInicioDxCIEW,MATCH(J93,'PVP Subv IEW - Pyme'!C:C,0)-1,MATCH(L93,'PVP Subv IEW - Pyme'!$I$4:$L$4,0)-1),OFFSET(IF(E93="portabilidad",CeldaInicioDxCPorta9MAS,CeldaInicioDxCCapta9MAS),MATCH(J93,'PVP Subv - Sol Pers Pyme'!$C:$C,0)-1,MATCH(L93,'PVP Subv - Sol Pers Pyme'!$I$4:$M$4,0)-1)))))))
+IF($F$1="SI",
IF(I93="SI",IF(E93="portabilidad",
IF(D93="multilínea",IF(AND(C93&lt;&gt;"Soluciones Personalizadas RPV",C93&lt;&gt;"Soluciones Personalizadas Centrex"),
OFFSET(CeldaInicioDxCVAP,MATCH(J93,'PVP VaP - Pyme'!C:C,0)-1,MATCH(L93,'PVP VaP - Pyme'!$Z$22:$AL$22,0)-1)
+OFFSET(CeldaInicioDxCVAP,MATCH(J93,'PVP VaP - Pyme'!C:C,0)-1,MATCH(L93,'PVP VaP - Pyme'!$Z$22:$AL$22,0)))),
IF(D93="IEW",
OFFSET(CeldaInicioDxCVAPIEW,MATCH(J93,'PVP VaP IEW Pro - Pyme'!C:C,0)-1,MATCH(L93,'PVP VaP IEW Pro - Pyme'!$AA$22:$AH$22,0)-1)
+OFFSET(CeldaInicioDxCVAPIEW,MATCH(J93,'PVP VaP IEW Pro - Pyme'!C:C,0)-1,MATCH(L93,'PVP VaP IEW Pro - Pyme'!$AA$22:$AH$22,0)),
)),
IF(M93="","SIN OFERTA",IF(M93="SI",IF(B97="SIN OFERTA",B97,IF(D93="IEW",OFFSET(CeldaInicioDxCIEWAAPP,MATCH(J93,'PVP Subv IEW - Pyme AAPP'!C:C,0)-1,MATCH(L93,'PVP Subv IEW - Pyme AAPP'!$I$4:$L$4,0)-1),OFFSET(IF(E93="portabilidad",CeldaInicioDxCPortaAAPP,CeldaInicioDxCCaptaAAPP),MATCH(J93,'PVP Subv - Optima Pyme AAPP'!$C:$C,0)-1,MATCH(L93,'PVP Subv - Optima Pyme AAPP'!$I$4:$M$4,0)-1))),
IF(B97="SIN OFERTA",B97,IF(D93="IEW",OFFSET(CeldaInicioDxCIEWAAPP,MATCH(J93,'PVP Subv IEW - Pyme AAPP'!C:C,0)-1,MATCH(L93,'PVP Subv IEW - Pyme AAPP'!$I$4:$L$4,0)-1),OFFSET(IF(E93="portabilidad",CeldaInicioDxCPorta9MASAAPP,CeldaInicioDxCCapta9MASAAPP),MATCH(J93,'PVP Subv - Sol Pers Pyme AAPP'!$C:$C,0)-1,MATCH(L93,'PVP Subv - Sol Pers Pyme AAPP'!$I$4:$M$4,0)-1))))))),"SIN OFERTA")+D96,"SIN OFERTA")</f>
        <v>SIN OFERTA</v>
      </c>
      <c r="D96" s="438"/>
      <c r="E96" s="447" t="str">
        <f ca="1">IFERROR(F96*B93,"SIN OFERTA")</f>
        <v>SIN OFERTA</v>
      </c>
      <c r="F96" s="448" t="str">
        <f ca="1">IF(O93="SI",OFFSET(CeldadeinicioDxCportaCP36,MATCH(J93,'PVP Subv - Optima Pyme'!$C:$C,0)-1,MATCH(L93,'PVP Subv - Optima Pyme'!$BK$23:$BO$23,0)-1),"-")</f>
        <v>-</v>
      </c>
      <c r="H96" s="407">
        <f>IFERROR(IF(N93="NO",0,SUMIFS(MR!$N$17:$N$21,MR!$M$17:$M$21,H95)),0)</f>
        <v>0</v>
      </c>
      <c r="I96" s="63"/>
      <c r="J96" s="35"/>
      <c r="K96" s="63"/>
      <c r="L96" s="63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:23" s="55" customFormat="1" ht="14">
      <c r="A97" s="36" t="s">
        <v>118</v>
      </c>
      <c r="B97" s="37">
        <f>IFERROR(C97*B93,"SIN OFERTA")</f>
        <v>0</v>
      </c>
      <c r="C97" s="70"/>
      <c r="D97" s="40" t="s">
        <v>442</v>
      </c>
      <c r="E97" s="440">
        <f ca="1">IF(E96="SIN OFERTA",0,(E96-B96))</f>
        <v>0</v>
      </c>
      <c r="F97" s="513">
        <f ca="1">IF(B96="SIN OFERTA",0,5*B93)</f>
        <v>0</v>
      </c>
      <c r="G97" s="408" t="s">
        <v>404</v>
      </c>
      <c r="H97" s="625" t="str">
        <f>IFERROR(INDEX(Tabla32[APLICA],MATCH(H95,Tabla32[PROMO],0)),"")</f>
        <v/>
      </c>
      <c r="I97" s="626"/>
      <c r="J97" s="626"/>
      <c r="K97" s="63"/>
      <c r="L97" s="63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:23" s="55" customFormat="1">
      <c r="A98" s="39" t="s">
        <v>76</v>
      </c>
      <c r="B98" s="37" t="str">
        <f ca="1">IFERROR(C98*B93,"SIN OFERTA")</f>
        <v>SIN OFERTA</v>
      </c>
      <c r="C98" s="69" t="str">
        <f ca="1">IF(M93="SI",IFERROR(-IF(D93="IEW",OFFSET(CeldaInicioPrecioCesiónIEW,MATCH(J93,'PVP Subv IEW - Pyme'!C:C,0)-1,0),OFFSET(CeldaInicioPrecioCesión,MATCH(J93,'PVP Subv - Optima Pyme'!$C:$C,0)-1,0)),"SIN OFERTA"),
IFERROR(-IF(D93="IEW",OFFSET(CeldaInicioPrecioCesiónIEW,MATCH(J93,'PVP Subv IEW - Pyme'!C:C,0)-1,0),OFFSET(CeldaInicioPrecioCesión,MATCH(J93,'PVP Subv - Sol Pers Pyme'!$C:$C,0)-1,0)),"SIN OFERTA"))</f>
        <v>SIN OFERTA</v>
      </c>
      <c r="D98" s="40"/>
      <c r="H98" s="407">
        <f>IF(H96=12,H96+MR!$L$24,IF(H96=18,H96+MR!$L$23,IF(H96=48,H96+MR!$L$22,0)))</f>
        <v>0</v>
      </c>
      <c r="I98" s="63"/>
      <c r="J98" s="35"/>
      <c r="K98" s="63"/>
      <c r="L98" s="63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3" s="55" customFormat="1" ht="13.5" thickBot="1">
      <c r="A99" s="41" t="s">
        <v>112</v>
      </c>
      <c r="B99" s="42">
        <f ca="1">IFERROR(B93*C99,"SIN OFERTA")</f>
        <v>0</v>
      </c>
      <c r="C99" s="43">
        <f ca="1">IFERROR(C95+IF(NOT(ISNUMBER(C96)),0,C96)+IF(NOT(ISNUMBER(C97)),0,C97)+IF(NOT(ISNUMBER(C98)),0,C98),"SIN OFERTA")</f>
        <v>0</v>
      </c>
      <c r="D99" s="41" t="s">
        <v>449</v>
      </c>
      <c r="E99" s="42">
        <f ca="1">IFERROR(B93*F99,"SIN OFERTA")</f>
        <v>0</v>
      </c>
      <c r="F99" s="43">
        <f ca="1">IFERROR(C99+(E97/B93),0)</f>
        <v>0</v>
      </c>
      <c r="H99" s="407">
        <f>(H96-H98)*B93</f>
        <v>0</v>
      </c>
      <c r="I99" s="407" t="s">
        <v>457</v>
      </c>
      <c r="J99" s="35"/>
      <c r="K99" s="63"/>
      <c r="L99" s="63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4" spans="1:23" ht="13.5" thickBot="1"/>
    <row r="105" spans="1:23" ht="19" thickTop="1" thickBot="1">
      <c r="A105" s="616" t="s">
        <v>494</v>
      </c>
      <c r="B105" s="616"/>
      <c r="C105" s="616"/>
      <c r="D105" s="616"/>
      <c r="E105" s="616"/>
      <c r="F105" s="616"/>
      <c r="G105" s="616"/>
      <c r="H105" s="616"/>
      <c r="I105" s="616"/>
      <c r="J105" s="616"/>
      <c r="K105" s="616"/>
      <c r="L105" s="616"/>
      <c r="M105" s="616"/>
      <c r="N105" s="616"/>
      <c r="O105" s="616"/>
      <c r="P105" s="616"/>
      <c r="Q105" s="616"/>
      <c r="R105" s="616"/>
      <c r="S105" s="616"/>
      <c r="T105" s="616"/>
      <c r="U105" s="616"/>
      <c r="V105" s="616"/>
      <c r="W105" s="616"/>
    </row>
    <row r="106" spans="1:23" ht="14" thickTop="1" thickBot="1">
      <c r="A106" s="198"/>
      <c r="B106" s="198"/>
      <c r="C106" s="163"/>
      <c r="D106" s="163"/>
      <c r="E106" s="198"/>
      <c r="F106" s="198"/>
      <c r="G106" s="198"/>
      <c r="H106" s="198"/>
      <c r="I106" s="163"/>
      <c r="J106" s="198"/>
      <c r="K106" s="163"/>
      <c r="L106" s="163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</row>
    <row r="107" spans="1:23" ht="28.5" thickTop="1">
      <c r="A107" s="128" t="s">
        <v>79</v>
      </c>
      <c r="B107" s="129"/>
      <c r="C107" s="130"/>
      <c r="D107" s="130"/>
      <c r="E107" s="130"/>
      <c r="F107" s="130"/>
      <c r="G107" s="130"/>
      <c r="H107" s="130"/>
      <c r="I107" s="130"/>
      <c r="J107" s="129"/>
      <c r="K107" s="130"/>
      <c r="L107" s="131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</row>
    <row r="108" spans="1:23" ht="26">
      <c r="A108" s="26"/>
      <c r="B108" s="194" t="s">
        <v>78</v>
      </c>
      <c r="C108" s="64"/>
      <c r="D108" s="64" t="s">
        <v>96</v>
      </c>
      <c r="E108" s="133"/>
      <c r="G108" s="133"/>
      <c r="H108" s="133"/>
      <c r="I108" s="64"/>
      <c r="J108" s="133"/>
      <c r="K108" s="64"/>
      <c r="L108" s="134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</row>
    <row r="109" spans="1:23">
      <c r="A109" s="27" t="s">
        <v>72</v>
      </c>
      <c r="B109" s="28">
        <f>SUMIFS($B$115:$B$145,$A$115:$A$145,A109)</f>
        <v>6</v>
      </c>
      <c r="C109" s="64"/>
      <c r="D109" s="617" t="s">
        <v>276</v>
      </c>
      <c r="E109" s="617"/>
      <c r="F109" s="617"/>
      <c r="G109" s="136">
        <f>SUMIFS(B107:B145,A107:A145,"PERFIL DE ALTA FIJO")</f>
        <v>1</v>
      </c>
      <c r="H109" s="155"/>
      <c r="I109" s="154"/>
      <c r="J109" s="133"/>
      <c r="K109" s="64"/>
      <c r="L109" s="134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</row>
    <row r="110" spans="1:23">
      <c r="A110" s="27" t="s">
        <v>354</v>
      </c>
      <c r="B110" s="28">
        <f>$B$122+$B$129+$B$136+$B$143</f>
        <v>0</v>
      </c>
      <c r="C110" s="388"/>
      <c r="D110" s="133"/>
      <c r="E110" s="133"/>
      <c r="F110" s="133"/>
      <c r="G110" s="133"/>
      <c r="H110" s="133"/>
      <c r="I110" s="64"/>
      <c r="J110" s="133"/>
      <c r="K110" s="64"/>
      <c r="L110" s="134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</row>
    <row r="111" spans="1:23">
      <c r="A111" s="133"/>
      <c r="B111" s="344">
        <f>B109+B110</f>
        <v>6</v>
      </c>
      <c r="C111" s="133"/>
      <c r="D111" s="133"/>
      <c r="E111" s="133"/>
      <c r="F111" s="133"/>
      <c r="G111" s="133"/>
      <c r="H111" s="133"/>
      <c r="I111" s="64"/>
      <c r="J111" s="133"/>
      <c r="K111" s="64"/>
      <c r="L111" s="134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</row>
    <row r="112" spans="1:23">
      <c r="A112" s="133"/>
      <c r="B112" s="133"/>
      <c r="C112" s="133"/>
      <c r="D112" s="133"/>
      <c r="E112" s="133"/>
      <c r="F112" s="133"/>
      <c r="G112" s="133"/>
      <c r="H112" s="133"/>
      <c r="I112" s="64"/>
      <c r="J112" s="133"/>
      <c r="K112" s="64"/>
      <c r="L112" s="134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</row>
    <row r="113" spans="1:33">
      <c r="A113" s="27" t="s">
        <v>379</v>
      </c>
      <c r="B113" s="393">
        <f>B110/MR!$I$13</f>
        <v>0</v>
      </c>
      <c r="C113" s="133"/>
      <c r="D113" s="133"/>
      <c r="E113" s="133"/>
      <c r="F113" s="133"/>
      <c r="G113" s="133"/>
      <c r="H113" s="133"/>
      <c r="I113" s="64"/>
      <c r="J113" s="133"/>
      <c r="K113" s="64"/>
      <c r="L113" s="134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</row>
    <row r="114" spans="1:33">
      <c r="A114" s="137"/>
      <c r="B114" s="133"/>
      <c r="C114" s="64"/>
      <c r="D114" s="64"/>
      <c r="E114" s="133"/>
      <c r="F114" s="133"/>
      <c r="G114" s="133"/>
      <c r="H114" s="133"/>
      <c r="I114" s="64"/>
      <c r="J114" s="133"/>
      <c r="K114" s="64"/>
      <c r="L114" s="134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</row>
    <row r="115" spans="1:33" ht="13.5" thickBot="1">
      <c r="A115" s="138"/>
      <c r="B115" s="139"/>
      <c r="C115" s="140"/>
      <c r="D115" s="140"/>
      <c r="E115" s="139"/>
      <c r="F115" s="139"/>
      <c r="G115" s="139"/>
      <c r="H115" s="139"/>
      <c r="I115" s="140"/>
      <c r="J115" s="139"/>
      <c r="K115" s="140"/>
      <c r="L115" s="141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</row>
    <row r="116" spans="1:33" ht="14" thickTop="1" thickBot="1">
      <c r="A116" s="198"/>
      <c r="B116" s="198"/>
      <c r="C116" s="163"/>
      <c r="D116" s="163"/>
      <c r="E116" s="198"/>
      <c r="F116" s="198"/>
      <c r="G116" s="198"/>
      <c r="H116" s="198"/>
      <c r="I116" s="163"/>
      <c r="J116" s="198"/>
      <c r="K116" s="163"/>
      <c r="L116" s="163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</row>
    <row r="117" spans="1:33" ht="39">
      <c r="A117" s="51"/>
      <c r="B117" s="29" t="s">
        <v>31</v>
      </c>
      <c r="C117" s="30" t="s">
        <v>277</v>
      </c>
      <c r="D117" s="30" t="s">
        <v>278</v>
      </c>
      <c r="E117" s="30" t="s">
        <v>279</v>
      </c>
      <c r="F117" s="30" t="s">
        <v>280</v>
      </c>
      <c r="G117" s="30" t="s">
        <v>281</v>
      </c>
      <c r="H117" s="30" t="s">
        <v>280</v>
      </c>
      <c r="I117" s="30" t="s">
        <v>373</v>
      </c>
      <c r="J117" s="30" t="s">
        <v>502</v>
      </c>
      <c r="K117" s="30" t="s">
        <v>374</v>
      </c>
      <c r="L117" s="163"/>
      <c r="M117" s="198"/>
      <c r="N117" s="198"/>
      <c r="O117" s="198"/>
      <c r="P117" s="198"/>
      <c r="Q117" s="198"/>
      <c r="R117" s="198"/>
      <c r="S117" s="506"/>
      <c r="T117" s="610" t="s">
        <v>480</v>
      </c>
      <c r="U117" s="611"/>
      <c r="V117" s="611"/>
      <c r="W117" s="611"/>
      <c r="X117" s="611"/>
      <c r="Y117" s="612"/>
      <c r="Z117" s="607"/>
      <c r="AA117" s="605" t="s">
        <v>527</v>
      </c>
      <c r="AB117" s="613"/>
      <c r="AC117" s="605" t="s">
        <v>528</v>
      </c>
      <c r="AD117" s="613"/>
      <c r="AE117" s="605" t="s">
        <v>497</v>
      </c>
      <c r="AF117" s="606"/>
      <c r="AG117" s="607"/>
    </row>
    <row r="118" spans="1:33" ht="38" thickBot="1">
      <c r="A118" s="32" t="s">
        <v>282</v>
      </c>
      <c r="B118" s="53">
        <v>0</v>
      </c>
      <c r="C118" s="54"/>
      <c r="D118" s="199" t="str">
        <f>IFERROR(INDEX(MR!$Q$15:$Q$42,MATCH(C118,MR!$P$15:$P$42,0)),"")</f>
        <v/>
      </c>
      <c r="E118" s="135"/>
      <c r="F118" s="135"/>
      <c r="G118" s="135"/>
      <c r="H118" s="135"/>
      <c r="I118" s="135"/>
      <c r="J118" s="135"/>
      <c r="K118" s="135"/>
      <c r="L118" s="341" t="s">
        <v>334</v>
      </c>
      <c r="M118" s="342" t="s">
        <v>340</v>
      </c>
      <c r="N118" s="342" t="s">
        <v>337</v>
      </c>
      <c r="O118" s="342" t="s">
        <v>339</v>
      </c>
      <c r="P118" s="343" t="s">
        <v>341</v>
      </c>
      <c r="Q118" s="342" t="s">
        <v>375</v>
      </c>
      <c r="R118" s="343" t="s">
        <v>380</v>
      </c>
      <c r="S118" s="342" t="s">
        <v>362</v>
      </c>
      <c r="T118" s="342" t="s">
        <v>472</v>
      </c>
      <c r="U118" s="342" t="s">
        <v>473</v>
      </c>
      <c r="V118" s="342" t="s">
        <v>474</v>
      </c>
      <c r="W118" s="342" t="s">
        <v>475</v>
      </c>
      <c r="X118" s="342" t="s">
        <v>478</v>
      </c>
      <c r="Y118" s="342" t="s">
        <v>506</v>
      </c>
      <c r="Z118" s="342" t="s">
        <v>507</v>
      </c>
      <c r="AA118" s="342" t="s">
        <v>495</v>
      </c>
      <c r="AB118" s="342" t="s">
        <v>496</v>
      </c>
      <c r="AC118" s="342" t="str">
        <f>MR!$A$135</f>
        <v>Ciberprotección Red Móvil</v>
      </c>
      <c r="AD118" s="342" t="str">
        <f>MR!$A$136</f>
        <v>Ciberprotección Red Móvil + App</v>
      </c>
      <c r="AE118" s="342" t="str">
        <f>MR!$A$140</f>
        <v>Seguridad en Tu Móvil</v>
      </c>
      <c r="AF118" s="342" t="str">
        <f>MR!$A$141</f>
        <v>Seguridad en Tu Correo</v>
      </c>
      <c r="AG118" s="342" t="str">
        <f>MR!$A$142</f>
        <v>Seguridad en Tu Dispositivo</v>
      </c>
    </row>
    <row r="119" spans="1:33" ht="13.5" thickBot="1">
      <c r="A119" s="39"/>
      <c r="B119" s="200"/>
      <c r="C119" s="200"/>
      <c r="D119" s="201" t="s">
        <v>283</v>
      </c>
      <c r="E119" s="202">
        <v>0</v>
      </c>
      <c r="F119" s="202">
        <v>0</v>
      </c>
      <c r="G119" s="202">
        <v>0</v>
      </c>
      <c r="H119" s="202">
        <v>0</v>
      </c>
      <c r="I119" s="202">
        <v>0</v>
      </c>
      <c r="J119" s="202"/>
      <c r="K119" s="202"/>
      <c r="L119" s="340">
        <f>IF($D118="BIG PYME",SUM($E119:$H119)-$F119-$H119,0)</f>
        <v>0</v>
      </c>
      <c r="M119" s="339">
        <f>IF($D118="CONECTA PYMES",$B118,0)</f>
        <v>0</v>
      </c>
      <c r="N119" s="339">
        <f>$I119</f>
        <v>0</v>
      </c>
      <c r="O119" s="339">
        <f>IF($C118="Acceso Móvil",$B118,0)</f>
        <v>0</v>
      </c>
      <c r="P119" s="339">
        <f>IF($D118="BIG PYME",$B118,0)</f>
        <v>0</v>
      </c>
      <c r="Q119" s="339">
        <f>IF($D118="CONECTA EMPRESAS",$B118,0)</f>
        <v>0</v>
      </c>
      <c r="R119" s="339">
        <f>IF($D118="CONECTA EMPRESAS",$K119,0)</f>
        <v>0</v>
      </c>
      <c r="S119" s="339">
        <f>IF($J118="Microsoft 365 Básico Anual",$J119/2,0)+IF($J118="Microsoft 365 Estandar Anual",$J119,0)+IF($J118="Nueva Localización",$J119,0)+IF($J118="Localización",$J119,0)+IF($J118="Control Horario",$J119/2,0)+IF($J118="Soporte IT",$J119,0)+IF($J118="Wifi Clientes",$J119,0)</f>
        <v>0</v>
      </c>
      <c r="T119" s="339">
        <f>IF($J118="Web Essentials",$J119,0)</f>
        <v>0</v>
      </c>
      <c r="U119" s="339">
        <f>IF($J118="Web Empresas",$J119,0)</f>
        <v>0</v>
      </c>
      <c r="V119" s="339">
        <f>IF($J118="E-commerce",$J119,0)</f>
        <v>0</v>
      </c>
      <c r="W119" s="339">
        <f>IF($J118="Posicionamiento Web",$J119,0)</f>
        <v>0</v>
      </c>
      <c r="X119" s="339">
        <f>IF($J118="Gestión de facturas y clientes 2",$J119,0)/2</f>
        <v>0</v>
      </c>
      <c r="Y119" s="339">
        <f>IF($J118="Presencia Digital",$J119,0)</f>
        <v>0</v>
      </c>
      <c r="Z119" s="339">
        <f>IF($J118="Redes Sociales",$J119,0)/2</f>
        <v>0</v>
      </c>
      <c r="AA119" s="339">
        <f>IF($K118="Seguridad en tu Sede Estandar",$K119,0)</f>
        <v>0</v>
      </c>
      <c r="AB119" s="339">
        <f>IF($K118="Seguridad en tu Sede Avanzada",$K119,0)</f>
        <v>0</v>
      </c>
      <c r="AC119" s="339">
        <f>IF($J118="Ciberprotección Red Móvil",$J119,0)</f>
        <v>0</v>
      </c>
      <c r="AD119" s="339">
        <f>IF($J118="Ciberprotección App",$J119,0)</f>
        <v>0</v>
      </c>
      <c r="AE119" s="339">
        <f>IF($J118="Seguridad en Tu Móvil",$J119,0)</f>
        <v>0</v>
      </c>
      <c r="AF119" s="339">
        <f>IF($J118="Seguridad en Tu Correo",$J119,0)</f>
        <v>0</v>
      </c>
      <c r="AG119" s="339">
        <f>IF($J118="Seguridad en Tu Dispositivo",$J119,0)</f>
        <v>0</v>
      </c>
    </row>
    <row r="120" spans="1:33" ht="26">
      <c r="A120" s="203"/>
      <c r="B120" s="204" t="s">
        <v>78</v>
      </c>
      <c r="C120" s="66" t="s">
        <v>77</v>
      </c>
      <c r="D120" s="163"/>
      <c r="E120" s="205" t="s">
        <v>77</v>
      </c>
      <c r="F120" s="206" t="s">
        <v>77</v>
      </c>
      <c r="G120" s="207" t="s">
        <v>77</v>
      </c>
      <c r="H120" s="66" t="s">
        <v>77</v>
      </c>
      <c r="I120" s="66" t="s">
        <v>77</v>
      </c>
      <c r="J120" s="66" t="s">
        <v>77</v>
      </c>
      <c r="K120" s="66" t="s">
        <v>77</v>
      </c>
      <c r="L120" s="132"/>
      <c r="Q120" s="198"/>
      <c r="R120" s="198"/>
      <c r="S120" s="198"/>
      <c r="T120" s="458">
        <f>SUM($T119:$Z119)</f>
        <v>0</v>
      </c>
      <c r="U120" s="198"/>
      <c r="V120" s="198"/>
      <c r="W120" s="198"/>
    </row>
    <row r="121" spans="1:33" ht="13.5" thickBot="1">
      <c r="A121" s="208" t="s">
        <v>72</v>
      </c>
      <c r="B121" s="209">
        <f>B118*C121+SUMPRODUCT(E119:K119,E121:K121)</f>
        <v>0</v>
      </c>
      <c r="C121" s="210">
        <f>IF(D118="CONECTA PYMES",SUMIFS(MR!$B$68:$B$78,MR!$A$68:$A$78,C118),IF(D118="CONECTA EMPRESAS",SUMIFS(MR!$B$108:$B$111,MR!$A$108:$A$111,C118),SUMIFS(MR!$B$81:$B$87,MR!$A$81:$A$87,C118)))</f>
        <v>0</v>
      </c>
      <c r="D121" s="211"/>
      <c r="E121" s="212">
        <f>IF(OR(D118="CONECTA PYMES",D118="CONECTA EMPRESAS"),0,SUMIFS(MR!$B$88:$B$94,MR!$A$88:$A$94,E118))</f>
        <v>0</v>
      </c>
      <c r="F121" s="212">
        <f>IF(OR(D118="CONECTA PYMES",D118="CONECTA EMPRESAS"),0,SUMIFS(MR!$D$88:$D$94,MR!$A$88:$A$94,F118))</f>
        <v>0</v>
      </c>
      <c r="G121" s="212">
        <f>IF(OR(D118="CONECTA PYMES",D118="CONECTA EMPRESAS"),0,SUMIFS(MR!$B$88:$B$94,MR!$A$88:$A$94,G118))</f>
        <v>0</v>
      </c>
      <c r="H121" s="212">
        <f>IF(OR(D118="CONECTA PYMES",D118="CONECTA EMPRESAS"),0,SUMIFS(MR!$B$88:$B$94,MR!$A$88:$A$94,H118))</f>
        <v>0</v>
      </c>
      <c r="I121" s="212">
        <f>IF(D118="BIG PYME",0,SUMIFS(MR!$B$100:$B$101,MR!$A$100:$A$101,I118))</f>
        <v>0</v>
      </c>
      <c r="J121" s="212">
        <f>SUMIFS(MR!$B$122:$B$143,MR!$A$122:$A$143,J118)</f>
        <v>0</v>
      </c>
      <c r="K121" s="212">
        <f>SUMIFS(MR!$B$112:$B$116,MR!$A$112:$A$116,K118)</f>
        <v>0</v>
      </c>
      <c r="L121" s="198"/>
      <c r="M121" s="198"/>
      <c r="N121" s="198"/>
      <c r="O121" s="198"/>
      <c r="Q121" s="198"/>
      <c r="R121" s="198"/>
      <c r="S121" s="198"/>
      <c r="T121" s="198"/>
      <c r="U121" s="198"/>
      <c r="V121" s="198"/>
      <c r="W121" s="198"/>
    </row>
    <row r="122" spans="1:33" ht="13.5" thickBot="1">
      <c r="A122" s="208" t="s">
        <v>354</v>
      </c>
      <c r="B122" s="209">
        <f>B118*C122+SUMPRODUCT(E119:K119,E122:K122)</f>
        <v>0</v>
      </c>
      <c r="C122" s="210">
        <f>SUMIFS(MR!$D$68:$D$119,MR!$A$68:$A$119,C118)</f>
        <v>0</v>
      </c>
      <c r="D122" s="163"/>
      <c r="E122" s="212">
        <f>IF(OR(D118="CONECTA PYMES",D118="CONECTA EMPRESAS"),0,SUMIFS(MR!$D$88:$D$94,MR!$A$88:$A$94,E118))</f>
        <v>0</v>
      </c>
      <c r="F122" s="212">
        <f>IF(OR(D118="CONECTA PYMES",D118="CONECTA EMPRESAS"),0,SUMIFS(MR!$B$88:$B$94,MR!$A$88:$A$94,F118))</f>
        <v>0</v>
      </c>
      <c r="G122" s="212">
        <f>IF(OR(D118="CONECTA PYMES",D118="CONECTA EMPRESAS"),0,SUMIFS(MR!$D$88:$D$94,MR!$A$88:$A$94,G118))</f>
        <v>0</v>
      </c>
      <c r="H122" s="212">
        <f>IF(OR(D118="CONECTA PYMES",D118="CONECTA EMPRESAS"),0,SUMIFS(MR!$D$88:$D$94,MR!$A$88:$A$94,H118))</f>
        <v>0</v>
      </c>
      <c r="I122" s="212">
        <f>IF(D118="BIG PYME",0,SUMIFS(MR!$D$100:$D$101,MR!$A$100:$A$101,I118))</f>
        <v>0</v>
      </c>
      <c r="J122" s="212">
        <f>SUMIFS(MR!$D$122:$D$143,MR!$A$122:$A$143,J118)</f>
        <v>0</v>
      </c>
      <c r="K122" s="212">
        <f>SUMIFS(MR!$D$112:$D$116,MR!$A$112:$A$116,K118)</f>
        <v>0</v>
      </c>
      <c r="L122" s="163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</row>
    <row r="123" spans="1:33" ht="13.5" thickBot="1">
      <c r="A123" s="198"/>
      <c r="B123" s="198"/>
      <c r="C123" s="163"/>
      <c r="D123" s="163"/>
      <c r="E123" s="198"/>
      <c r="F123" s="198"/>
      <c r="G123" s="198"/>
      <c r="H123" s="198"/>
      <c r="I123" s="163"/>
      <c r="J123" s="198"/>
      <c r="K123" s="163"/>
      <c r="L123" s="163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</row>
    <row r="124" spans="1:33" ht="39">
      <c r="A124" s="51"/>
      <c r="B124" s="29" t="s">
        <v>31</v>
      </c>
      <c r="C124" s="30" t="s">
        <v>277</v>
      </c>
      <c r="D124" s="30" t="s">
        <v>278</v>
      </c>
      <c r="E124" s="30" t="s">
        <v>279</v>
      </c>
      <c r="F124" s="30" t="s">
        <v>280</v>
      </c>
      <c r="G124" s="30" t="s">
        <v>281</v>
      </c>
      <c r="H124" s="30" t="s">
        <v>280</v>
      </c>
      <c r="I124" s="30" t="s">
        <v>373</v>
      </c>
      <c r="J124" s="30" t="s">
        <v>477</v>
      </c>
      <c r="K124" s="30" t="s">
        <v>374</v>
      </c>
      <c r="L124" s="163"/>
      <c r="M124" s="198"/>
      <c r="N124" s="198"/>
      <c r="O124" s="198"/>
      <c r="P124" s="198"/>
      <c r="Q124" s="198"/>
      <c r="R124" s="198"/>
      <c r="S124" s="198"/>
      <c r="T124" s="610" t="s">
        <v>480</v>
      </c>
      <c r="U124" s="611"/>
      <c r="V124" s="611"/>
      <c r="W124" s="611"/>
      <c r="X124" s="611"/>
      <c r="Y124" s="612"/>
      <c r="Z124" s="607"/>
      <c r="AA124" s="605" t="s">
        <v>527</v>
      </c>
      <c r="AB124" s="613"/>
      <c r="AC124" s="605" t="s">
        <v>528</v>
      </c>
      <c r="AD124" s="613"/>
      <c r="AE124" s="605" t="s">
        <v>497</v>
      </c>
      <c r="AF124" s="606"/>
      <c r="AG124" s="607"/>
    </row>
    <row r="125" spans="1:33" ht="38" thickBot="1">
      <c r="A125" s="32" t="s">
        <v>282</v>
      </c>
      <c r="B125" s="53">
        <v>1</v>
      </c>
      <c r="C125" s="54"/>
      <c r="D125" s="199" t="str">
        <f>IFERROR(INDEX(MR!$Q$15:$Q$42,MATCH(C125,MR!$P$15:$P$42,0)),"")</f>
        <v/>
      </c>
      <c r="E125" s="135"/>
      <c r="F125" s="135"/>
      <c r="G125" s="135"/>
      <c r="H125" s="135"/>
      <c r="I125" s="135"/>
      <c r="J125" s="135"/>
      <c r="K125" s="135"/>
      <c r="L125" s="341" t="s">
        <v>334</v>
      </c>
      <c r="M125" s="342" t="s">
        <v>340</v>
      </c>
      <c r="N125" s="342" t="s">
        <v>337</v>
      </c>
      <c r="O125" s="342" t="s">
        <v>339</v>
      </c>
      <c r="P125" s="343" t="s">
        <v>341</v>
      </c>
      <c r="Q125" s="342" t="s">
        <v>375</v>
      </c>
      <c r="R125" s="343" t="s">
        <v>380</v>
      </c>
      <c r="S125" s="342" t="s">
        <v>362</v>
      </c>
      <c r="T125" s="342" t="s">
        <v>472</v>
      </c>
      <c r="U125" s="342" t="s">
        <v>473</v>
      </c>
      <c r="V125" s="342" t="s">
        <v>474</v>
      </c>
      <c r="W125" s="342" t="s">
        <v>475</v>
      </c>
      <c r="X125" s="342" t="s">
        <v>478</v>
      </c>
      <c r="Y125" s="342" t="s">
        <v>506</v>
      </c>
      <c r="Z125" s="342" t="s">
        <v>507</v>
      </c>
      <c r="AA125" s="342" t="s">
        <v>495</v>
      </c>
      <c r="AB125" s="342" t="s">
        <v>496</v>
      </c>
      <c r="AC125" s="342" t="str">
        <f>MR!$A$135</f>
        <v>Ciberprotección Red Móvil</v>
      </c>
      <c r="AD125" s="342" t="str">
        <f>MR!$A$136</f>
        <v>Ciberprotección Red Móvil + App</v>
      </c>
      <c r="AE125" s="342" t="str">
        <f>MR!$A$140</f>
        <v>Seguridad en Tu Móvil</v>
      </c>
      <c r="AF125" s="342" t="str">
        <f>MR!$A$141</f>
        <v>Seguridad en Tu Correo</v>
      </c>
      <c r="AG125" s="342" t="str">
        <f>MR!$A$142</f>
        <v>Seguridad en Tu Dispositivo</v>
      </c>
    </row>
    <row r="126" spans="1:33" ht="13.5" thickBot="1">
      <c r="A126" s="39"/>
      <c r="B126" s="200"/>
      <c r="C126" s="200"/>
      <c r="D126" s="201" t="s">
        <v>283</v>
      </c>
      <c r="E126" s="202">
        <v>0</v>
      </c>
      <c r="F126" s="202">
        <v>0</v>
      </c>
      <c r="G126" s="202">
        <v>0</v>
      </c>
      <c r="H126" s="202">
        <v>0</v>
      </c>
      <c r="I126" s="202">
        <v>0</v>
      </c>
      <c r="J126" s="202"/>
      <c r="K126" s="202">
        <v>0</v>
      </c>
      <c r="L126" s="340">
        <f>IF($D125="BIG PYME",SUM($E126:$H126)-$F126-$H126,0)</f>
        <v>0</v>
      </c>
      <c r="M126" s="339">
        <f>IF($D125="CONECTA PYMES",$B125,0)</f>
        <v>0</v>
      </c>
      <c r="N126" s="339">
        <f>$I126</f>
        <v>0</v>
      </c>
      <c r="O126" s="339">
        <f>IF($C125="Acceso Móvil",$B125,0)</f>
        <v>0</v>
      </c>
      <c r="P126" s="339">
        <f>IF($D125="BIG PYME",$B125,0)</f>
        <v>0</v>
      </c>
      <c r="Q126" s="339">
        <f>IF($D125="CONECTA EMPRESAS",$B125,0)</f>
        <v>0</v>
      </c>
      <c r="R126" s="339">
        <f>IF($D125="CONECTA EMPRESAS",$K126,0)</f>
        <v>0</v>
      </c>
      <c r="S126" s="339">
        <f>IF($J125="Microsoft 365 Básico Anual",$J126/2,0)+IF($J125="Microsoft 365 Estandar Anual",$J126,0)+IF($J125="Nueva Localización",$J126,0)+IF($J125="Localización",$J126,0)+IF($J125="Control Horario",$J126/2,0)+IF($J125="Soporte IT",$J126,0)+IF($J125="Wifi Clientes",$J126,0)</f>
        <v>0</v>
      </c>
      <c r="T126" s="339">
        <f>IF($J125="Web Essentials",$J126,0)</f>
        <v>0</v>
      </c>
      <c r="U126" s="339">
        <f>IF($J125="Web Empresas",$J126,0)</f>
        <v>0</v>
      </c>
      <c r="V126" s="339">
        <f>IF($J125="E-commerce",$J126,0)</f>
        <v>0</v>
      </c>
      <c r="W126" s="339">
        <f>IF($J125="Posicionamiento Web",$J126,0)</f>
        <v>0</v>
      </c>
      <c r="X126" s="339">
        <f>IF($J125="Gestión de facturas y clientes 2",$J126,0)/2</f>
        <v>0</v>
      </c>
      <c r="Y126" s="339">
        <f>IF($J125="Presencia Digital",$J126,0)/2</f>
        <v>0</v>
      </c>
      <c r="Z126" s="339">
        <f>IF($J125="Redes Sociales",$J126,0)/2</f>
        <v>0</v>
      </c>
      <c r="AA126" s="339">
        <f>IF($K125="Seguridad en tu Sede Estandar",$K126,0)</f>
        <v>0</v>
      </c>
      <c r="AB126" s="339">
        <f>IF($K125="Seguridad en tu Sede Avanzada",$K126,0)</f>
        <v>0</v>
      </c>
      <c r="AC126" s="339">
        <f>IF($J125="Ciberprotección Red Móvil",$J126,0)</f>
        <v>0</v>
      </c>
      <c r="AD126" s="339">
        <f>IF($J125="Ciberprotección App",$J126,0)</f>
        <v>0</v>
      </c>
      <c r="AE126" s="339">
        <f>IF($J125="Seguridad en Tu Móvil",$J126,0)</f>
        <v>0</v>
      </c>
      <c r="AF126" s="339">
        <f>IF($J125="Seguridad en Tu Correo",$J126,0)</f>
        <v>0</v>
      </c>
      <c r="AG126" s="339">
        <f>IF($J125="Seguridad en Tu Dispositivo",$J126,0)</f>
        <v>0</v>
      </c>
    </row>
    <row r="127" spans="1:33" ht="26">
      <c r="A127" s="203"/>
      <c r="B127" s="204" t="s">
        <v>78</v>
      </c>
      <c r="C127" s="66" t="s">
        <v>77</v>
      </c>
      <c r="D127" s="163"/>
      <c r="E127" s="205" t="s">
        <v>77</v>
      </c>
      <c r="F127" s="206" t="s">
        <v>77</v>
      </c>
      <c r="G127" s="207" t="s">
        <v>77</v>
      </c>
      <c r="H127" s="66" t="s">
        <v>77</v>
      </c>
      <c r="I127" s="66" t="s">
        <v>77</v>
      </c>
      <c r="J127" s="66" t="s">
        <v>77</v>
      </c>
      <c r="K127" s="66" t="s">
        <v>77</v>
      </c>
      <c r="L127" s="132"/>
      <c r="Q127" s="198"/>
      <c r="R127" s="198"/>
      <c r="S127" s="198"/>
      <c r="T127" s="458">
        <f>SUM($T126:$Z126)</f>
        <v>0</v>
      </c>
    </row>
    <row r="128" spans="1:33" ht="13.5" thickBot="1">
      <c r="A128" s="208" t="s">
        <v>72</v>
      </c>
      <c r="B128" s="209">
        <f>B125*C128+SUMPRODUCT(E126:K126,E128:K128)</f>
        <v>0</v>
      </c>
      <c r="C128" s="210">
        <f>IF(D125="CONECTA PYMES",SUMIFS(MR!$B$68:$B$76,MR!$A$68:$A$76,C125),IF(D125="CONECTA EMPRESAS",SUMIFS(MR!$B$108:$B$111,MR!$A$108:$A$111,C125),SUMIFS(MR!$B$81:$B$87,MR!$A$81:$A$87,C125)))</f>
        <v>0</v>
      </c>
      <c r="D128" s="211"/>
      <c r="E128" s="212">
        <f>IF(OR(D125="CONECTA PYMES",D125="CONECTA EMPRESAS"),0,SUMIFS(MR!$B$88:$B$94,MR!$A$88:$A$94,E125))</f>
        <v>0</v>
      </c>
      <c r="F128" s="212">
        <f>IF(OR(D125="CONECTA PYMES",D125="CONECTA EMPRESAS"),0,SUMIFS(MR!$D$88:$D$94,MR!$A$88:$A$94,F125))</f>
        <v>0</v>
      </c>
      <c r="G128" s="212">
        <f>IF(OR(D125="CONECTA PYMES",D125="CONECTA EMPRESAS"),0,SUMIFS(MR!$B$88:$B$94,MR!$A$88:$A$94,G125))</f>
        <v>0</v>
      </c>
      <c r="H128" s="212">
        <f>IF(OR(D125="CONECTA PYMES",D125="CONECTA EMPRESAS"),0,SUMIFS(MR!$B$88:$B$94,MR!$A$88:$A$94,H125))</f>
        <v>0</v>
      </c>
      <c r="I128" s="212">
        <f>IF(D125="BIG PYME",0,SUMIFS(MR!$B$100:$B$101,MR!$A$100:$A$101,I125))</f>
        <v>0</v>
      </c>
      <c r="J128" s="212">
        <f>SUMIFS(MR!$B$122:$B$143,MR!$A$122:$A$143,J125)</f>
        <v>0</v>
      </c>
      <c r="K128" s="212">
        <f>SUMIFS(MR!$B$112:$B$116,MR!$A$112:$A$116,K125)</f>
        <v>0</v>
      </c>
      <c r="L128" s="198"/>
      <c r="M128" s="198"/>
      <c r="N128" s="198"/>
      <c r="O128" s="198"/>
      <c r="Q128" s="198"/>
      <c r="R128" s="198"/>
      <c r="S128" s="198"/>
    </row>
    <row r="129" spans="1:33" ht="13.5" thickBot="1">
      <c r="A129" s="208" t="s">
        <v>354</v>
      </c>
      <c r="B129" s="209">
        <f>B125*C129+SUMPRODUCT(E126:K126,E129:K129)</f>
        <v>0</v>
      </c>
      <c r="C129" s="210">
        <f>SUMIFS(MR!$D$68:$D$119,MR!$A$68:$A$119,C125)</f>
        <v>0</v>
      </c>
      <c r="D129" s="163"/>
      <c r="E129" s="212">
        <f>IF(OR(D125="CONECTA PYMES",D125="CONECTA EMPRESAS"),0,SUMIFS(MR!$D$88:$D$94,MR!$A$88:$A$94,E125))</f>
        <v>0</v>
      </c>
      <c r="F129" s="212">
        <f>IF(OR(D125="CONECTA PYMES",D125="CONECTA EMPRESAS"),0,SUMIFS(MR!$B$88:$B$94,MR!$A$88:$A$94,F125))</f>
        <v>0</v>
      </c>
      <c r="G129" s="212">
        <f>IF(OR(D125="CONECTA PYMES",D125="CONECTA EMPRESAS"),0,SUMIFS(MR!$D$88:$D$94,MR!$A$88:$A$94,G125))</f>
        <v>0</v>
      </c>
      <c r="H129" s="212">
        <f>IF(OR(D125="CONECTA PYMES",D125="CONECTA EMPRESAS"),0,SUMIFS(MR!$D$88:$D$94,MR!$A$88:$A$94,H125))</f>
        <v>0</v>
      </c>
      <c r="I129" s="212">
        <f>IF(D125="BIG PYME",0,SUMIFS(MR!$D$100:$D$101,MR!$A$100:$A$101,I125))</f>
        <v>0</v>
      </c>
      <c r="J129" s="212">
        <f>SUMIFS(MR!$D$122:$D$143,MR!$A$122:$A$143,J125)</f>
        <v>0</v>
      </c>
      <c r="K129" s="212">
        <f>SUMIFS(MR!$D$112:$D$116,MR!$A$112:$A$116,K125)</f>
        <v>0</v>
      </c>
      <c r="L129" s="163"/>
      <c r="M129" s="198"/>
      <c r="N129" s="198"/>
      <c r="O129" s="198"/>
      <c r="P129" s="198"/>
      <c r="Q129" s="198"/>
      <c r="R129" s="198"/>
      <c r="S129" s="198"/>
    </row>
    <row r="130" spans="1:33" ht="13.5" thickBot="1">
      <c r="A130" s="198"/>
      <c r="B130" s="198"/>
      <c r="C130" s="163"/>
      <c r="D130" s="163"/>
      <c r="E130" s="198"/>
      <c r="F130" s="198"/>
      <c r="G130" s="198"/>
      <c r="H130" s="198"/>
      <c r="I130" s="163"/>
      <c r="J130" s="198"/>
      <c r="K130" s="163"/>
      <c r="L130" s="163"/>
    </row>
    <row r="131" spans="1:33" ht="39">
      <c r="A131" s="51"/>
      <c r="B131" s="29" t="s">
        <v>31</v>
      </c>
      <c r="C131" s="30" t="s">
        <v>277</v>
      </c>
      <c r="D131" s="30" t="s">
        <v>278</v>
      </c>
      <c r="E131" s="30" t="s">
        <v>279</v>
      </c>
      <c r="F131" s="30" t="s">
        <v>280</v>
      </c>
      <c r="G131" s="30" t="s">
        <v>281</v>
      </c>
      <c r="H131" s="30" t="s">
        <v>280</v>
      </c>
      <c r="I131" s="30" t="s">
        <v>373</v>
      </c>
      <c r="J131" s="30" t="s">
        <v>477</v>
      </c>
      <c r="K131" s="30" t="s">
        <v>374</v>
      </c>
      <c r="L131" s="163"/>
      <c r="M131" s="198"/>
      <c r="N131" s="198"/>
      <c r="O131" s="198"/>
      <c r="P131" s="198"/>
      <c r="Q131" s="198"/>
      <c r="R131" s="198"/>
      <c r="S131" s="198"/>
      <c r="T131" s="610" t="s">
        <v>480</v>
      </c>
      <c r="U131" s="611"/>
      <c r="V131" s="611"/>
      <c r="W131" s="611"/>
      <c r="X131" s="611"/>
      <c r="Y131" s="612"/>
      <c r="Z131" s="607"/>
      <c r="AA131" s="605" t="s">
        <v>527</v>
      </c>
      <c r="AB131" s="613"/>
      <c r="AC131" s="605" t="s">
        <v>528</v>
      </c>
      <c r="AD131" s="613"/>
      <c r="AE131" s="605" t="s">
        <v>497</v>
      </c>
      <c r="AF131" s="606"/>
      <c r="AG131" s="607"/>
    </row>
    <row r="132" spans="1:33" ht="38" thickBot="1">
      <c r="A132" s="32" t="s">
        <v>282</v>
      </c>
      <c r="B132" s="53">
        <v>0</v>
      </c>
      <c r="C132" s="54"/>
      <c r="D132" s="199" t="str">
        <f>IFERROR(INDEX(MR!$Q$15:$Q$42,MATCH(C132,MR!$P$15:$P$42,0)),"")</f>
        <v/>
      </c>
      <c r="E132" s="135"/>
      <c r="F132" s="135"/>
      <c r="G132" s="135"/>
      <c r="H132" s="135"/>
      <c r="I132" s="135"/>
      <c r="J132" s="135" t="s">
        <v>641</v>
      </c>
      <c r="K132" s="135"/>
      <c r="L132" s="341" t="s">
        <v>334</v>
      </c>
      <c r="M132" s="342" t="s">
        <v>340</v>
      </c>
      <c r="N132" s="342" t="s">
        <v>337</v>
      </c>
      <c r="O132" s="342" t="s">
        <v>339</v>
      </c>
      <c r="P132" s="343" t="s">
        <v>341</v>
      </c>
      <c r="Q132" s="342" t="s">
        <v>375</v>
      </c>
      <c r="R132" s="343" t="s">
        <v>380</v>
      </c>
      <c r="S132" s="342" t="s">
        <v>362</v>
      </c>
      <c r="T132" s="342" t="s">
        <v>472</v>
      </c>
      <c r="U132" s="342" t="s">
        <v>473</v>
      </c>
      <c r="V132" s="342" t="s">
        <v>474</v>
      </c>
      <c r="W132" s="342" t="s">
        <v>475</v>
      </c>
      <c r="X132" s="342" t="s">
        <v>478</v>
      </c>
      <c r="Y132" s="342" t="s">
        <v>506</v>
      </c>
      <c r="Z132" s="342" t="s">
        <v>507</v>
      </c>
      <c r="AA132" s="342" t="s">
        <v>495</v>
      </c>
      <c r="AB132" s="342" t="s">
        <v>496</v>
      </c>
      <c r="AC132" s="342" t="str">
        <f>MR!$A$135</f>
        <v>Ciberprotección Red Móvil</v>
      </c>
      <c r="AD132" s="342" t="str">
        <f>MR!$A$136</f>
        <v>Ciberprotección Red Móvil + App</v>
      </c>
      <c r="AE132" s="342" t="str">
        <f>MR!$A$140</f>
        <v>Seguridad en Tu Móvil</v>
      </c>
      <c r="AF132" s="342" t="str">
        <f>MR!$A$141</f>
        <v>Seguridad en Tu Correo</v>
      </c>
      <c r="AG132" s="342" t="str">
        <f>MR!$A$142</f>
        <v>Seguridad en Tu Dispositivo</v>
      </c>
    </row>
    <row r="133" spans="1:33" ht="13.5" thickBot="1">
      <c r="A133" s="39"/>
      <c r="B133" s="200"/>
      <c r="C133" s="200"/>
      <c r="D133" s="201" t="s">
        <v>283</v>
      </c>
      <c r="E133" s="202"/>
      <c r="F133" s="202"/>
      <c r="G133" s="202"/>
      <c r="H133" s="202"/>
      <c r="I133" s="202">
        <v>0</v>
      </c>
      <c r="J133" s="202">
        <v>1</v>
      </c>
      <c r="K133" s="202"/>
      <c r="L133" s="340">
        <f>IF($D132="BIG PYME",SUM($E133:$H133)-$F133-$H133,0)</f>
        <v>0</v>
      </c>
      <c r="M133" s="339">
        <f>IF($D132="CONECTA PYMES",$B132,0)</f>
        <v>0</v>
      </c>
      <c r="N133" s="339">
        <f>$I133</f>
        <v>0</v>
      </c>
      <c r="O133" s="339">
        <f>IF($C132="Acceso Móvil",$B132,0)</f>
        <v>0</v>
      </c>
      <c r="P133" s="339">
        <f>IF($D132="BIG PYME",$B132,0)</f>
        <v>0</v>
      </c>
      <c r="Q133" s="339">
        <f>IF($D132="CONECTA EMPRESAS",$B132,0)</f>
        <v>0</v>
      </c>
      <c r="R133" s="339">
        <f>IF($D132="CONECTA EMPRESAS",$K133,0)</f>
        <v>0</v>
      </c>
      <c r="S133" s="339">
        <f>IF($J132="Microsoft 365 Básico Anual",$J133/2,0)+IF($J132="Microsoft 365 Estandar Anual",$J133,0)+IF($J132="Nueva Localización",$J133,0)+IF($J132="Localización",$J133,0)+IF($J132="Control Horario",$J133/2,0)+IF($J132="Soporte IT",$J133,0)+IF($J132="Wifi Clientes",$J133,0)</f>
        <v>0</v>
      </c>
      <c r="T133" s="339">
        <f>IF($J132="Web Essentials",$J133,0)</f>
        <v>0</v>
      </c>
      <c r="U133" s="339">
        <f>IF($J132="Web Empresas",$J133,0)</f>
        <v>0</v>
      </c>
      <c r="V133" s="339">
        <f>IF($J132="E-commerce",$J133,0)</f>
        <v>0</v>
      </c>
      <c r="W133" s="339">
        <f>IF($J132="Posicionamiento Web",$J133,0)</f>
        <v>0</v>
      </c>
      <c r="X133" s="339">
        <f>IF($J132="Gestión de facturas y clientes 2",$J133,0)/2</f>
        <v>0</v>
      </c>
      <c r="Y133" s="339">
        <f>IF($J132="Presencia Digital",$J133,0)/2</f>
        <v>0</v>
      </c>
      <c r="Z133" s="339">
        <f>IF($J132="Redes Sociales",$J133,0)/2</f>
        <v>0</v>
      </c>
      <c r="AA133" s="339">
        <f>IF($K132="Seguridad en tu Sede Estandar",$K133,0)</f>
        <v>0</v>
      </c>
      <c r="AB133" s="339">
        <f>IF($K132="Seguridad en tu Sede Avanzada",$K133,0)</f>
        <v>0</v>
      </c>
      <c r="AC133" s="339">
        <f>IF($J132="Ciberprotección Red Móvil",$J133,0)</f>
        <v>0</v>
      </c>
      <c r="AD133" s="339">
        <f>IF($J132="Ciberprotección App",$J133,0)</f>
        <v>0</v>
      </c>
      <c r="AE133" s="339">
        <f>IF($J132="Seguridad en Tu Móvil",$J133,0)</f>
        <v>0</v>
      </c>
      <c r="AF133" s="339">
        <f>IF($J132="Seguridad en Tu Correo",$J133,0)</f>
        <v>0</v>
      </c>
      <c r="AG133" s="339">
        <f>IF($J132="Seguridad en Tu Dispositivo",$J133,0)</f>
        <v>0</v>
      </c>
    </row>
    <row r="134" spans="1:33" ht="26">
      <c r="A134" s="203"/>
      <c r="B134" s="204" t="s">
        <v>78</v>
      </c>
      <c r="C134" s="66" t="s">
        <v>77</v>
      </c>
      <c r="D134" s="163"/>
      <c r="E134" s="205" t="s">
        <v>77</v>
      </c>
      <c r="F134" s="206" t="s">
        <v>77</v>
      </c>
      <c r="G134" s="207" t="s">
        <v>77</v>
      </c>
      <c r="H134" s="66" t="s">
        <v>77</v>
      </c>
      <c r="I134" s="66" t="s">
        <v>77</v>
      </c>
      <c r="J134" s="66" t="s">
        <v>77</v>
      </c>
      <c r="K134" s="66" t="s">
        <v>77</v>
      </c>
      <c r="L134" s="132"/>
      <c r="Q134" s="198"/>
      <c r="R134" s="198"/>
      <c r="S134" s="198"/>
      <c r="T134" s="458">
        <f>SUM($T133:$Z133)</f>
        <v>0</v>
      </c>
    </row>
    <row r="135" spans="1:33" ht="13.5" thickBot="1">
      <c r="A135" s="208" t="s">
        <v>72</v>
      </c>
      <c r="B135" s="209">
        <f>B132*C135+SUMPRODUCT(E133:K133,E135:K135)</f>
        <v>6</v>
      </c>
      <c r="C135" s="210">
        <f>IF(D132="CONECTA PYMES",SUMIFS(MR!$B$68:$B$76,MR!$A$68:$A$76,C132),IF(D132="CONECTA EMPRESAS",SUMIFS(MR!$B$108:$B$111,MR!$A$108:$A$111,C132),SUMIFS(MR!$B$81:$B$87,MR!$A$81:$A$87,C132)))</f>
        <v>0</v>
      </c>
      <c r="D135" s="211"/>
      <c r="E135" s="212">
        <f>IF(OR(D132="CONECTA PYMES",D132="CONECTA EMPRESAS"),0,SUMIFS(MR!$B$88:$B$94,MR!$A$88:$A$94,E132))</f>
        <v>0</v>
      </c>
      <c r="F135" s="212">
        <f>IF(OR(D132="CONECTA PYMES",D132="CONECTA EMPRESAS"),0,SUMIFS(MR!$D$88:$D$94,MR!$A$88:$A$94,F132))</f>
        <v>0</v>
      </c>
      <c r="G135" s="212">
        <f>IF(OR(D132="CONECTA PYMES",D132="CONECTA EMPRESAS"),0,SUMIFS(MR!$B$88:$B$94,MR!$A$88:$A$94,G132))</f>
        <v>0</v>
      </c>
      <c r="H135" s="212">
        <f>IF(OR(D132="CONECTA PYMES",D132="CONECTA EMPRESAS"),0,SUMIFS(MR!$B$88:$B$94,MR!$A$88:$A$94,H132))</f>
        <v>0</v>
      </c>
      <c r="I135" s="212">
        <f>IF(D132="BIG PYME",0,SUMIFS(MR!$B$100:$B$101,MR!$A$100:$A$101,I132))</f>
        <v>0</v>
      </c>
      <c r="J135" s="212">
        <f>SUMIFS(MR!$B$122:$B$143,MR!$A$122:$A$143,J132)</f>
        <v>6</v>
      </c>
      <c r="K135" s="212">
        <f>SUMIFS(MR!$B$112:$B$116,MR!$A$112:$A$116,K132)</f>
        <v>0</v>
      </c>
      <c r="L135" s="198"/>
      <c r="M135" s="198"/>
      <c r="N135" s="198"/>
      <c r="O135" s="198"/>
      <c r="Q135" s="198"/>
      <c r="R135" s="198"/>
      <c r="S135" s="198"/>
    </row>
    <row r="136" spans="1:33" ht="13.5" thickBot="1">
      <c r="A136" s="208" t="s">
        <v>354</v>
      </c>
      <c r="B136" s="209">
        <f>B132*C136+SUMPRODUCT(E133:K133,E136:K136)</f>
        <v>0</v>
      </c>
      <c r="C136" s="210">
        <f>SUMIFS(MR!$D$68:$D$119,MR!$A$68:$A$119,C132)</f>
        <v>0</v>
      </c>
      <c r="D136" s="163"/>
      <c r="E136" s="212">
        <f>IF(OR(D132="CONECTA PYMES",D132="CONECTA EMPRESAS"),0,SUMIFS(MR!$D$88:$D$94,MR!$A$88:$A$94,E132))</f>
        <v>0</v>
      </c>
      <c r="F136" s="212">
        <f>IF(OR(D132="CONECTA PYMES",D132="CONECTA EMPRESAS"),0,SUMIFS(MR!$B$88:$B$94,MR!$A$88:$A$94,F132))</f>
        <v>0</v>
      </c>
      <c r="G136" s="212">
        <f>IF(OR(D132="CONECTA PYMES",D132="CONECTA EMPRESAS"),0,SUMIFS(MR!$D$88:$D$94,MR!$A$88:$A$94,G132))</f>
        <v>0</v>
      </c>
      <c r="H136" s="212">
        <f>IF(OR(D132="CONECTA PYMES",D132="CONECTA EMPRESAS"),0,SUMIFS(MR!$D$88:$D$94,MR!$A$88:$A$94,H132))</f>
        <v>0</v>
      </c>
      <c r="I136" s="212">
        <f>IF(D132="BIG PYME",0,SUMIFS(MR!$D$100:$D$101,MR!$A$100:$A$101,I132))</f>
        <v>0</v>
      </c>
      <c r="J136" s="212">
        <f>SUMIFS(MR!$D$122:$D$143,MR!$A$122:$A$143,J132)</f>
        <v>0</v>
      </c>
      <c r="K136" s="212">
        <f>SUMIFS(MR!$D$112:$D$116,MR!$A$112:$A$116,K132)</f>
        <v>0</v>
      </c>
      <c r="L136" s="163"/>
      <c r="M136" s="198"/>
      <c r="N136" s="198"/>
      <c r="O136" s="198"/>
      <c r="P136" s="198"/>
      <c r="Q136" s="198"/>
      <c r="R136" s="198"/>
      <c r="S136" s="198"/>
    </row>
    <row r="137" spans="1:33" ht="13.5" thickBot="1"/>
    <row r="138" spans="1:33" ht="39">
      <c r="A138" s="51"/>
      <c r="B138" s="29" t="s">
        <v>31</v>
      </c>
      <c r="C138" s="30" t="s">
        <v>277</v>
      </c>
      <c r="D138" s="30" t="s">
        <v>278</v>
      </c>
      <c r="E138" s="30" t="s">
        <v>279</v>
      </c>
      <c r="F138" s="30" t="s">
        <v>280</v>
      </c>
      <c r="G138" s="30" t="s">
        <v>281</v>
      </c>
      <c r="H138" s="30" t="s">
        <v>280</v>
      </c>
      <c r="I138" s="30" t="s">
        <v>373</v>
      </c>
      <c r="J138" s="30" t="s">
        <v>477</v>
      </c>
      <c r="K138" s="30" t="s">
        <v>374</v>
      </c>
      <c r="L138" s="163"/>
      <c r="M138" s="198"/>
      <c r="N138" s="198"/>
      <c r="O138" s="198"/>
      <c r="P138" s="198"/>
      <c r="Q138" s="198"/>
      <c r="R138" s="198"/>
      <c r="S138" s="198"/>
      <c r="T138" s="610" t="s">
        <v>480</v>
      </c>
      <c r="U138" s="611"/>
      <c r="V138" s="611"/>
      <c r="W138" s="611"/>
      <c r="X138" s="611"/>
      <c r="Y138" s="612"/>
      <c r="Z138" s="607"/>
      <c r="AA138" s="605" t="s">
        <v>527</v>
      </c>
      <c r="AB138" s="613"/>
      <c r="AC138" s="605" t="s">
        <v>528</v>
      </c>
      <c r="AD138" s="613"/>
      <c r="AE138" s="605" t="s">
        <v>497</v>
      </c>
      <c r="AF138" s="606"/>
      <c r="AG138" s="607"/>
    </row>
    <row r="139" spans="1:33" ht="38" thickBot="1">
      <c r="A139" s="32" t="s">
        <v>282</v>
      </c>
      <c r="B139" s="53">
        <v>0</v>
      </c>
      <c r="C139" s="54"/>
      <c r="D139" s="199" t="str">
        <f>IFERROR(INDEX(MR!$Q$15:$Q$42,MATCH(C139,MR!$P$15:$P$42,0)),"")</f>
        <v/>
      </c>
      <c r="E139" s="135"/>
      <c r="F139" s="135"/>
      <c r="G139" s="135"/>
      <c r="H139" s="135"/>
      <c r="I139" s="135"/>
      <c r="J139" s="135"/>
      <c r="K139" s="135"/>
      <c r="L139" s="341" t="s">
        <v>334</v>
      </c>
      <c r="M139" s="342" t="s">
        <v>340</v>
      </c>
      <c r="N139" s="342" t="s">
        <v>337</v>
      </c>
      <c r="O139" s="342" t="s">
        <v>339</v>
      </c>
      <c r="P139" s="343" t="s">
        <v>341</v>
      </c>
      <c r="Q139" s="342" t="s">
        <v>375</v>
      </c>
      <c r="R139" s="343" t="s">
        <v>380</v>
      </c>
      <c r="S139" s="342" t="s">
        <v>362</v>
      </c>
      <c r="T139" s="342" t="s">
        <v>472</v>
      </c>
      <c r="U139" s="342" t="s">
        <v>473</v>
      </c>
      <c r="V139" s="342" t="s">
        <v>474</v>
      </c>
      <c r="W139" s="342" t="s">
        <v>475</v>
      </c>
      <c r="X139" s="342" t="s">
        <v>478</v>
      </c>
      <c r="Y139" s="342" t="s">
        <v>506</v>
      </c>
      <c r="Z139" s="342" t="s">
        <v>507</v>
      </c>
      <c r="AA139" s="342" t="s">
        <v>495</v>
      </c>
      <c r="AB139" s="342" t="s">
        <v>496</v>
      </c>
      <c r="AC139" s="342" t="str">
        <f>MR!$A$135</f>
        <v>Ciberprotección Red Móvil</v>
      </c>
      <c r="AD139" s="342" t="str">
        <f>MR!$A$136</f>
        <v>Ciberprotección Red Móvil + App</v>
      </c>
      <c r="AE139" s="342" t="str">
        <f>MR!$A$140</f>
        <v>Seguridad en Tu Móvil</v>
      </c>
      <c r="AF139" s="342" t="str">
        <f>MR!$A$141</f>
        <v>Seguridad en Tu Correo</v>
      </c>
      <c r="AG139" s="342" t="str">
        <f>MR!$A$142</f>
        <v>Seguridad en Tu Dispositivo</v>
      </c>
    </row>
    <row r="140" spans="1:33" ht="13.5" thickBot="1">
      <c r="A140" s="39"/>
      <c r="B140" s="200"/>
      <c r="C140" s="200"/>
      <c r="D140" s="201" t="s">
        <v>283</v>
      </c>
      <c r="E140" s="202"/>
      <c r="F140" s="202"/>
      <c r="G140" s="202"/>
      <c r="H140" s="202"/>
      <c r="I140" s="202"/>
      <c r="J140" s="202">
        <v>0</v>
      </c>
      <c r="K140" s="202"/>
      <c r="L140" s="340">
        <f>IF($D139="BIG PYME",SUM($E140:$H140)-$F140-$H140,0)</f>
        <v>0</v>
      </c>
      <c r="M140" s="339">
        <f>IF($D139="CONECTA PYMES",$B139,0)</f>
        <v>0</v>
      </c>
      <c r="N140" s="339">
        <f>$I140</f>
        <v>0</v>
      </c>
      <c r="O140" s="339">
        <f>IF($C139="Acceso Móvil",$B139,0)</f>
        <v>0</v>
      </c>
      <c r="P140" s="339">
        <f>IF($D139="BIG PYME",$B139,0)</f>
        <v>0</v>
      </c>
      <c r="Q140" s="339">
        <f>IF($D139="CONECTA EMPRESAS",$B139,0)</f>
        <v>0</v>
      </c>
      <c r="R140" s="339">
        <f>IF($D139="CONECTA EMPRESAS",$K140,0)</f>
        <v>0</v>
      </c>
      <c r="S140" s="339">
        <f>IF($J139="Microsoft 365 Básico Anual",$J140/2,0)+IF($J139="Microsoft 365 Estandar Anual",$J140,0)+IF($J139="Nueva Localización",$J140,0)+IF($J139="Localización",$J140,0)+IF($J139="Control Horario",$J140/2,0)+IF($J139="Soporte IT",$J140,0)+IF($J139="Wifi Clientes",$J140,0)</f>
        <v>0</v>
      </c>
      <c r="T140" s="339">
        <f>IF($J139="Web Essentials",$J140,0)</f>
        <v>0</v>
      </c>
      <c r="U140" s="339">
        <f>IF($J139="Web Empresas",$J140,0)</f>
        <v>0</v>
      </c>
      <c r="V140" s="339">
        <f>IF($J139="E-commerce",$J140,0)</f>
        <v>0</v>
      </c>
      <c r="W140" s="339">
        <f>IF($J139="Posicionamiento Web",$J140,0)</f>
        <v>0</v>
      </c>
      <c r="X140" s="339">
        <f>IF($J139="Gestión de facturas y clientes 2",$J140,0)/2</f>
        <v>0</v>
      </c>
      <c r="Y140" s="339">
        <f>IF($J139="Presencia Digital",$J140,0)/2</f>
        <v>0</v>
      </c>
      <c r="Z140" s="339">
        <f>IF($J139="Redes Sociales",$J140,0)/2</f>
        <v>0</v>
      </c>
      <c r="AA140" s="339">
        <f>IF($K139="Seguridad en tu Sede Estandar",$K140,0)</f>
        <v>0</v>
      </c>
      <c r="AB140" s="339">
        <f>IF($K139="Seguridad en tu Sede Avanzada",$K140,0)</f>
        <v>0</v>
      </c>
      <c r="AC140" s="339">
        <f>IF($J139="Ciberprotección Red Móvil",$J140,0)</f>
        <v>0</v>
      </c>
      <c r="AD140" s="339">
        <f>IF($J139="Ciberprotección App",$J140,0)</f>
        <v>0</v>
      </c>
      <c r="AE140" s="339">
        <f>IF($J139="Seguridad en Tu Móvil",$J140,0)</f>
        <v>0</v>
      </c>
      <c r="AF140" s="339">
        <f>IF($J139="Seguridad en Tu Correo",$J140,0)</f>
        <v>0</v>
      </c>
      <c r="AG140" s="339">
        <f>IF($J139="Seguridad en Tu Dispositivo",$J140,0)</f>
        <v>0</v>
      </c>
    </row>
    <row r="141" spans="1:33" ht="26">
      <c r="A141" s="203"/>
      <c r="B141" s="204" t="s">
        <v>78</v>
      </c>
      <c r="C141" s="66" t="s">
        <v>77</v>
      </c>
      <c r="D141" s="163"/>
      <c r="E141" s="205" t="s">
        <v>77</v>
      </c>
      <c r="F141" s="206" t="s">
        <v>77</v>
      </c>
      <c r="G141" s="207" t="s">
        <v>77</v>
      </c>
      <c r="H141" s="66" t="s">
        <v>77</v>
      </c>
      <c r="I141" s="66" t="s">
        <v>77</v>
      </c>
      <c r="J141" s="66" t="s">
        <v>77</v>
      </c>
      <c r="K141" s="66" t="s">
        <v>77</v>
      </c>
      <c r="L141" s="132"/>
      <c r="Q141" s="198"/>
      <c r="R141" s="198"/>
      <c r="S141" s="198"/>
      <c r="T141" s="458">
        <f>SUM($T140:$Z140)</f>
        <v>0</v>
      </c>
    </row>
    <row r="142" spans="1:33" ht="13.5" thickBot="1">
      <c r="A142" s="208" t="s">
        <v>72</v>
      </c>
      <c r="B142" s="209">
        <f>B139*C142+SUMPRODUCT(E140:K140,E142:K142)</f>
        <v>0</v>
      </c>
      <c r="C142" s="210">
        <f>IF(D139="CONECTA PYMES",SUMIFS(MR!$B$68:$B$76,MR!$A$68:$A$76,C139),IF(D139="CONECTA EMPRESAS",SUMIFS(MR!$B$108:$B$111,MR!$A$108:$A$111,C139),SUMIFS(MR!$B$81:$B$87,MR!$A$81:$A$87,C139)))</f>
        <v>0</v>
      </c>
      <c r="D142" s="211"/>
      <c r="E142" s="212">
        <f>IF(OR(D139="CONECTA PYMES",D139="CONECTA EMPRESAS"),0,SUMIFS(MR!$B$88:$B$94,MR!$A$88:$A$94,E139))</f>
        <v>0</v>
      </c>
      <c r="F142" s="212">
        <f>IF(OR(D139="CONECTA PYMES",D139="CONECTA EMPRESAS"),0,SUMIFS(MR!$D$88:$D$94,MR!$A$88:$A$94,F139))</f>
        <v>0</v>
      </c>
      <c r="G142" s="212">
        <f>IF(OR(D139="CONECTA PYMES",D139="CONECTA EMPRESAS"),0,SUMIFS(MR!$B$88:$B$94,MR!$A$88:$A$94,G139))</f>
        <v>0</v>
      </c>
      <c r="H142" s="212">
        <f>IF(OR(D139="CONECTA PYMES",D139="CONECTA EMPRESAS"),0,SUMIFS(MR!$B$88:$B$94,MR!$A$88:$A$94,H139))</f>
        <v>0</v>
      </c>
      <c r="I142" s="212">
        <f>IF(D139="BIG PYME",0,SUMIFS(MR!$B$100:$B$101,MR!$A$100:$A$101,I139))</f>
        <v>0</v>
      </c>
      <c r="J142" s="212">
        <f>SUMIFS(MR!$B$122:$B$143,MR!$A$122:$A$143,J139)</f>
        <v>0</v>
      </c>
      <c r="K142" s="212">
        <f>SUMIFS(MR!$B$112:$B$116,MR!$A$112:$A$116,K139)</f>
        <v>0</v>
      </c>
      <c r="L142" s="198"/>
      <c r="M142" s="198"/>
      <c r="N142" s="198"/>
      <c r="O142" s="198"/>
      <c r="Q142" s="198"/>
      <c r="R142" s="198"/>
      <c r="S142" s="198"/>
    </row>
    <row r="143" spans="1:33" ht="13.5" thickBot="1">
      <c r="A143" s="208" t="s">
        <v>354</v>
      </c>
      <c r="B143" s="209">
        <f>B139*C143+SUMPRODUCT(E140:K140,E143:K143)</f>
        <v>0</v>
      </c>
      <c r="C143" s="210">
        <f>SUMIFS(MR!$D$68:$D$119,MR!$A$68:$A$119,C139)</f>
        <v>0</v>
      </c>
      <c r="D143" s="163"/>
      <c r="E143" s="212">
        <f>IF(OR(D139="CONECTA PYMES",D139="CONECTA EMPRESAS"),0,SUMIFS(MR!$D$88:$D$94,MR!$A$88:$A$94,E139))</f>
        <v>0</v>
      </c>
      <c r="F143" s="212">
        <f>IF(OR(D139="CONECTA PYMES",D139="CONECTA EMPRESAS"),0,SUMIFS(MR!$B$88:$B$94,MR!$A$88:$A$94,F139))</f>
        <v>0</v>
      </c>
      <c r="G143" s="212">
        <f>IF(OR(D139="CONECTA PYMES",D139="CONECTA EMPRESAS"),0,SUMIFS(MR!$D$88:$D$94,MR!$A$88:$A$94,G139))</f>
        <v>0</v>
      </c>
      <c r="H143" s="212">
        <f>IF(OR(D139="CONECTA PYMES",D139="CONECTA EMPRESAS"),0,SUMIFS(MR!$D$88:$D$94,MR!$A$88:$A$94,H139))</f>
        <v>0</v>
      </c>
      <c r="I143" s="212">
        <f>IF(D139="BIG PYME",0,SUMIFS(MR!$D$100:$D$101,MR!$A$100:$A$101,I139))</f>
        <v>0</v>
      </c>
      <c r="J143" s="212">
        <f>SUMIFS(MR!$D$122:$D$143,MR!$A$122:$A$143,J139)</f>
        <v>0</v>
      </c>
      <c r="K143" s="212">
        <f>SUMIFS(MR!$D$112:$D$116,MR!$A$112:$A$116,K139)</f>
        <v>0</v>
      </c>
      <c r="L143" s="163"/>
      <c r="M143" s="198"/>
      <c r="N143" s="198"/>
      <c r="O143" s="198"/>
      <c r="P143" s="198"/>
      <c r="Q143" s="198"/>
      <c r="R143" s="198"/>
      <c r="S143" s="198"/>
    </row>
  </sheetData>
  <sheetProtection algorithmName="SHA-512" hashValue="JGITlCfI3tmb6M9Zz8eF4PCHbc7Tw+xHvlngY7T9xvt+otvOwAIXXe+USi8+/qwLH8t+5negu3yYf+RuN3Uazg==" saltValue="jwvPLW2+J7++FV3CTj0fRQ==" spinCount="100000" sheet="1" selectLockedCells="1"/>
  <mergeCells count="38">
    <mergeCell ref="AA138:AB138"/>
    <mergeCell ref="D2:E2"/>
    <mergeCell ref="D3:F3"/>
    <mergeCell ref="D4:F4"/>
    <mergeCell ref="D5:F5"/>
    <mergeCell ref="D6:F6"/>
    <mergeCell ref="A8:B8"/>
    <mergeCell ref="A105:W105"/>
    <mergeCell ref="D109:F109"/>
    <mergeCell ref="D7:F7"/>
    <mergeCell ref="D8:F8"/>
    <mergeCell ref="D9:E9"/>
    <mergeCell ref="E10:F10"/>
    <mergeCell ref="H17:J17"/>
    <mergeCell ref="H27:J27"/>
    <mergeCell ref="H37:J37"/>
    <mergeCell ref="H47:J47"/>
    <mergeCell ref="H57:J57"/>
    <mergeCell ref="H67:J67"/>
    <mergeCell ref="H77:J77"/>
    <mergeCell ref="H87:J87"/>
    <mergeCell ref="H97:J97"/>
    <mergeCell ref="AE117:AG117"/>
    <mergeCell ref="AE124:AG124"/>
    <mergeCell ref="AE131:AG131"/>
    <mergeCell ref="AE138:AG138"/>
    <mergeCell ref="A9:B9"/>
    <mergeCell ref="T124:Z124"/>
    <mergeCell ref="T117:Z117"/>
    <mergeCell ref="T131:Z131"/>
    <mergeCell ref="T138:Z138"/>
    <mergeCell ref="AC124:AD124"/>
    <mergeCell ref="AC131:AD131"/>
    <mergeCell ref="AC138:AD138"/>
    <mergeCell ref="AC117:AD117"/>
    <mergeCell ref="AA117:AB117"/>
    <mergeCell ref="AA124:AB124"/>
    <mergeCell ref="AA131:AB131"/>
  </mergeCells>
  <phoneticPr fontId="2" type="noConversion"/>
  <conditionalFormatting sqref="B25">
    <cfRule type="cellIs" dxfId="124" priority="139" operator="lessThan">
      <formula>0</formula>
    </cfRule>
    <cfRule type="cellIs" dxfId="123" priority="140" operator="greaterThan">
      <formula>0</formula>
    </cfRule>
  </conditionalFormatting>
  <conditionalFormatting sqref="B7:C7">
    <cfRule type="cellIs" dxfId="122" priority="141" operator="lessThan">
      <formula>0</formula>
    </cfRule>
    <cfRule type="cellIs" dxfId="121" priority="142" operator="greaterThan">
      <formula>0</formula>
    </cfRule>
  </conditionalFormatting>
  <conditionalFormatting sqref="B10:C10">
    <cfRule type="cellIs" dxfId="120" priority="64" operator="lessThan">
      <formula>0</formula>
    </cfRule>
    <cfRule type="cellIs" dxfId="119" priority="65" operator="greaterThan">
      <formula>0</formula>
    </cfRule>
  </conditionalFormatting>
  <conditionalFormatting sqref="B19:C19">
    <cfRule type="cellIs" dxfId="118" priority="159" operator="lessThan">
      <formula>0</formula>
    </cfRule>
    <cfRule type="cellIs" dxfId="117" priority="160" operator="greaterThan">
      <formula>0</formula>
    </cfRule>
  </conditionalFormatting>
  <conditionalFormatting sqref="B29:C29">
    <cfRule type="cellIs" dxfId="116" priority="157" operator="lessThan">
      <formula>0</formula>
    </cfRule>
    <cfRule type="cellIs" dxfId="115" priority="158" operator="greaterThan">
      <formula>0</formula>
    </cfRule>
  </conditionalFormatting>
  <conditionalFormatting sqref="B39:C39">
    <cfRule type="cellIs" dxfId="114" priority="155" operator="lessThan">
      <formula>0</formula>
    </cfRule>
    <cfRule type="cellIs" dxfId="113" priority="156" operator="greaterThan">
      <formula>0</formula>
    </cfRule>
  </conditionalFormatting>
  <conditionalFormatting sqref="B49:C49">
    <cfRule type="cellIs" dxfId="112" priority="153" operator="lessThan">
      <formula>0</formula>
    </cfRule>
    <cfRule type="cellIs" dxfId="111" priority="154" operator="greaterThan">
      <formula>0</formula>
    </cfRule>
  </conditionalFormatting>
  <conditionalFormatting sqref="B59:C59">
    <cfRule type="cellIs" dxfId="110" priority="151" operator="lessThan">
      <formula>0</formula>
    </cfRule>
    <cfRule type="cellIs" dxfId="109" priority="152" operator="greaterThan">
      <formula>0</formula>
    </cfRule>
  </conditionalFormatting>
  <conditionalFormatting sqref="B69:C69">
    <cfRule type="cellIs" dxfId="108" priority="149" operator="lessThan">
      <formula>0</formula>
    </cfRule>
    <cfRule type="cellIs" dxfId="107" priority="150" operator="greaterThan">
      <formula>0</formula>
    </cfRule>
  </conditionalFormatting>
  <conditionalFormatting sqref="B79:C79">
    <cfRule type="cellIs" dxfId="106" priority="147" operator="lessThan">
      <formula>0</formula>
    </cfRule>
    <cfRule type="cellIs" dxfId="105" priority="148" operator="greaterThan">
      <formula>0</formula>
    </cfRule>
  </conditionalFormatting>
  <conditionalFormatting sqref="B89:C89">
    <cfRule type="cellIs" dxfId="104" priority="145" operator="lessThan">
      <formula>0</formula>
    </cfRule>
    <cfRule type="cellIs" dxfId="103" priority="146" operator="greaterThan">
      <formula>0</formula>
    </cfRule>
  </conditionalFormatting>
  <conditionalFormatting sqref="B99:C99">
    <cfRule type="cellIs" dxfId="102" priority="143" operator="lessThan">
      <formula>0</formula>
    </cfRule>
    <cfRule type="cellIs" dxfId="101" priority="144" operator="greaterThan">
      <formula>0</formula>
    </cfRule>
  </conditionalFormatting>
  <conditionalFormatting sqref="E19:F19">
    <cfRule type="cellIs" dxfId="100" priority="60" operator="lessThan">
      <formula>0</formula>
    </cfRule>
    <cfRule type="cellIs" dxfId="99" priority="61" operator="greaterThan">
      <formula>0</formula>
    </cfRule>
  </conditionalFormatting>
  <conditionalFormatting sqref="E29:F29">
    <cfRule type="cellIs" dxfId="98" priority="24" operator="lessThan">
      <formula>0</formula>
    </cfRule>
    <cfRule type="cellIs" dxfId="97" priority="25" operator="greaterThan">
      <formula>0</formula>
    </cfRule>
  </conditionalFormatting>
  <conditionalFormatting sqref="E39:F39">
    <cfRule type="cellIs" dxfId="96" priority="22" operator="lessThan">
      <formula>0</formula>
    </cfRule>
    <cfRule type="cellIs" dxfId="95" priority="23" operator="greaterThan">
      <formula>0</formula>
    </cfRule>
  </conditionalFormatting>
  <conditionalFormatting sqref="E49:F49">
    <cfRule type="cellIs" dxfId="94" priority="20" operator="lessThan">
      <formula>0</formula>
    </cfRule>
    <cfRule type="cellIs" dxfId="93" priority="21" operator="greaterThan">
      <formula>0</formula>
    </cfRule>
  </conditionalFormatting>
  <conditionalFormatting sqref="E59:F59">
    <cfRule type="cellIs" dxfId="92" priority="18" operator="lessThan">
      <formula>0</formula>
    </cfRule>
    <cfRule type="cellIs" dxfId="91" priority="19" operator="greaterThan">
      <formula>0</formula>
    </cfRule>
  </conditionalFormatting>
  <conditionalFormatting sqref="E69:F69">
    <cfRule type="cellIs" dxfId="90" priority="16" operator="lessThan">
      <formula>0</formula>
    </cfRule>
    <cfRule type="cellIs" dxfId="89" priority="17" operator="greaterThan">
      <formula>0</formula>
    </cfRule>
  </conditionalFormatting>
  <conditionalFormatting sqref="E79:F79">
    <cfRule type="cellIs" dxfId="88" priority="14" operator="lessThan">
      <formula>0</formula>
    </cfRule>
    <cfRule type="cellIs" dxfId="87" priority="15" operator="greaterThan">
      <formula>0</formula>
    </cfRule>
  </conditionalFormatting>
  <conditionalFormatting sqref="E89:F89">
    <cfRule type="cellIs" dxfId="86" priority="12" operator="lessThan">
      <formula>0</formula>
    </cfRule>
    <cfRule type="cellIs" dxfId="85" priority="13" operator="greaterThan">
      <formula>0</formula>
    </cfRule>
  </conditionalFormatting>
  <conditionalFormatting sqref="E99:F99">
    <cfRule type="cellIs" dxfId="84" priority="10" operator="lessThan">
      <formula>0</formula>
    </cfRule>
    <cfRule type="cellIs" dxfId="83" priority="11" operator="greaterThan">
      <formula>0</formula>
    </cfRule>
  </conditionalFormatting>
  <conditionalFormatting sqref="K2">
    <cfRule type="cellIs" dxfId="82" priority="133" operator="lessThan">
      <formula>0</formula>
    </cfRule>
    <cfRule type="cellIs" dxfId="81" priority="134" operator="greaterThan">
      <formula>0</formula>
    </cfRule>
  </conditionalFormatting>
  <conditionalFormatting sqref="N13:P13">
    <cfRule type="cellIs" dxfId="80" priority="9" stopIfTrue="1" operator="equal">
      <formula>"""NO"""</formula>
    </cfRule>
  </conditionalFormatting>
  <conditionalFormatting sqref="N23:P23">
    <cfRule type="cellIs" dxfId="79" priority="8" stopIfTrue="1" operator="equal">
      <formula>"""NO"""</formula>
    </cfRule>
  </conditionalFormatting>
  <conditionalFormatting sqref="N33:P33">
    <cfRule type="cellIs" dxfId="78" priority="7" stopIfTrue="1" operator="equal">
      <formula>"""NO"""</formula>
    </cfRule>
  </conditionalFormatting>
  <conditionalFormatting sqref="N43:P43">
    <cfRule type="cellIs" dxfId="77" priority="6" stopIfTrue="1" operator="equal">
      <formula>"""NO"""</formula>
    </cfRule>
  </conditionalFormatting>
  <conditionalFormatting sqref="N53:P53">
    <cfRule type="cellIs" dxfId="76" priority="5" stopIfTrue="1" operator="equal">
      <formula>"""NO"""</formula>
    </cfRule>
  </conditionalFormatting>
  <conditionalFormatting sqref="N63:P63">
    <cfRule type="cellIs" dxfId="75" priority="4" stopIfTrue="1" operator="equal">
      <formula>"""NO"""</formula>
    </cfRule>
  </conditionalFormatting>
  <conditionalFormatting sqref="N73:P73">
    <cfRule type="cellIs" dxfId="74" priority="3" stopIfTrue="1" operator="equal">
      <formula>"""NO"""</formula>
    </cfRule>
  </conditionalFormatting>
  <conditionalFormatting sqref="N83:P83">
    <cfRule type="cellIs" dxfId="73" priority="2" stopIfTrue="1" operator="equal">
      <formula>"""NO"""</formula>
    </cfRule>
  </conditionalFormatting>
  <conditionalFormatting sqref="N93:P93">
    <cfRule type="cellIs" dxfId="72" priority="1" stopIfTrue="1" operator="equal">
      <formula>"""NO"""</formula>
    </cfRule>
  </conditionalFormatting>
  <dataValidations count="9">
    <dataValidation type="list" allowBlank="1" showInputMessage="1" showErrorMessage="1" sqref="E83 E73 E33 E23 E93 E43 E53 E63 E13" xr:uid="{00000000-0002-0000-0100-000000000000}">
      <formula1>valoresTipoAlta</formula1>
    </dataValidation>
    <dataValidation type="list" allowBlank="1" showInputMessage="1" showErrorMessage="1" sqref="F83 F73 F33 F23 F93 F43 F53 F63 F13" xr:uid="{00000000-0002-0000-0100-000001000000}">
      <formula1>IF(D13="IEW",no_aplica,ValoresPaqueteVozDatos)</formula1>
    </dataValidation>
    <dataValidation type="list" allowBlank="1" showInputMessage="1" showErrorMessage="1" sqref="G83 G73 G33 G23 G93 G43 G53 G63 G13" xr:uid="{00000000-0002-0000-0100-000002000000}">
      <formula1>IF(D13="IEW",no_aplica,SIoNO)</formula1>
    </dataValidation>
    <dataValidation type="list" allowBlank="1" showInputMessage="1" showErrorMessage="1" sqref="H73 H63 H93 H23 H83 H33 H43 H53 H13" xr:uid="{00000000-0002-0000-0100-000003000000}">
      <formula1>IF(D13="IEW",no_aplica,SIoNO)</formula1>
    </dataValidation>
    <dataValidation type="whole" operator="greaterThanOrEqual" allowBlank="1" showInputMessage="1" showErrorMessage="1" sqref="B83 B73 B33 B13 B23 B43 B53 B63 B93 B125:B126 B118:B119 E119:K119 E133:K133 C133 C119 B132:B133 C140 C126 B139:B140 E126:K126 E140:K140" xr:uid="{00000000-0002-0000-0100-000004000000}">
      <formula1>0</formula1>
    </dataValidation>
    <dataValidation type="list" allowBlank="1" showInputMessage="1" showErrorMessage="1" sqref="I23 I93 I33 I43 I53 I63 I73 I83 I13" xr:uid="{00000000-0002-0000-0100-000005000000}">
      <formula1>SIoNO</formula1>
    </dataValidation>
    <dataValidation type="list" allowBlank="1" showInputMessage="1" showErrorMessage="1" sqref="J93 J23 J63 J33 J43 J53 J73 J83 J13" xr:uid="{00000000-0002-0000-0100-000006000000}">
      <formula1>IF($D13="IEW",valoresTerminalIEW,valoresTerminal)</formula1>
    </dataValidation>
    <dataValidation type="list" allowBlank="1" showInputMessage="1" showErrorMessage="1" sqref="F1 C9" xr:uid="{00000000-0002-0000-0100-00000B000000}">
      <formula1>"SI,NO"</formula1>
    </dataValidation>
    <dataValidation type="list" allowBlank="1" showInputMessage="1" showErrorMessage="1" sqref="H1" xr:uid="{48597930-BAA6-4A49-94E7-F37BD0D39DA4}">
      <formula1>"TIPO1,TIPO2,TIPO3"</formula1>
    </dataValidation>
  </dataValidation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  <ignoredErrors>
    <ignoredError sqref="C30:C32 C40:C42 C50:C52 C60:C62 C70:C72 C80:C82 C90:C92 C20:C22" evalError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100-00000C000000}">
          <x14:formula1>
            <xm:f>MR!$Y$4:$Y$7</xm:f>
          </x14:formula1>
          <xm:sqref>G3</xm:sqref>
        </x14:dataValidation>
        <x14:dataValidation type="list" allowBlank="1" showInputMessage="1" showErrorMessage="1" xr:uid="{00000000-0002-0000-0100-00000E000000}">
          <x14:formula1>
            <xm:f>MR!$S$4:$S$15</xm:f>
          </x14:formula1>
          <xm:sqref>C23 C93 C33 C43 C53 C63 C73 C83 C13</xm:sqref>
        </x14:dataValidation>
        <x14:dataValidation type="list" allowBlank="1" showInputMessage="1" showErrorMessage="1" xr:uid="{00000000-0002-0000-0100-000017000000}">
          <x14:formula1>
            <xm:f>MR!$S$34:$S$38</xm:f>
          </x14:formula1>
          <xm:sqref>G118 G125 G132 G139 E118 E125 E132 E139</xm:sqref>
        </x14:dataValidation>
        <x14:dataValidation type="list" allowBlank="1" showInputMessage="1" showErrorMessage="1" xr:uid="{00000000-0002-0000-0100-000018000000}">
          <x14:formula1>
            <xm:f>MR!$S$39:$S$40</xm:f>
          </x14:formula1>
          <xm:sqref>H118 H125 H132 H139 F118 F125 F132 F139</xm:sqref>
        </x14:dataValidation>
        <x14:dataValidation type="list" allowBlank="1" showInputMessage="1" showErrorMessage="1" xr:uid="{00000000-0002-0000-0100-00001A000000}">
          <x14:formula1>
            <xm:f>MR!$P$15:$P$42</xm:f>
          </x14:formula1>
          <xm:sqref>C132 C118 C125 C139</xm:sqref>
        </x14:dataValidation>
        <x14:dataValidation type="list" allowBlank="1" showInputMessage="1" showErrorMessage="1" xr:uid="{3AF1D454-85BF-4455-B071-FDC1068CC231}">
          <x14:formula1>
            <xm:f>MR!$S$41:$S$42</xm:f>
          </x14:formula1>
          <xm:sqref>I139 I132 I125</xm:sqref>
        </x14:dataValidation>
        <x14:dataValidation type="list" allowBlank="1" showInputMessage="1" showErrorMessage="1" xr:uid="{C530020C-12B9-4550-B390-AB54CACCC05D}">
          <x14:formula1>
            <xm:f>MR!$N$9:$N$11</xm:f>
          </x14:formula1>
          <xm:sqref>H30</xm:sqref>
        </x14:dataValidation>
        <x14:dataValidation type="list" allowBlank="1" showInputMessage="1" showErrorMessage="1" xr:uid="{D5175429-804D-443D-8A0F-FB24E08DC4F3}">
          <x14:formula1>
            <xm:f>MR!$A$100:$A$101</xm:f>
          </x14:formula1>
          <xm:sqref>I118</xm:sqref>
        </x14:dataValidation>
        <x14:dataValidation type="list" allowBlank="1" showInputMessage="1" showErrorMessage="1" xr:uid="{7B9B5DCB-E105-4E69-AD7F-14673BAE75E1}">
          <x14:formula1>
            <xm:f>MR!$A$112:$A$116</xm:f>
          </x14:formula1>
          <xm:sqref>K139 K118 K125 K132</xm:sqref>
        </x14:dataValidation>
        <x14:dataValidation type="list" allowBlank="1" showInputMessage="1" showErrorMessage="1" xr:uid="{A08F1A03-969D-4C9D-AF42-EB6992548208}">
          <x14:formula1>
            <xm:f>MR!$M$17:$M$21</xm:f>
          </x14:formula1>
          <xm:sqref>H35 H25 H95 H45 H55 H65 H75 H85 H15</xm:sqref>
        </x14:dataValidation>
        <x14:dataValidation type="list" allowBlank="1" showInputMessage="1" showErrorMessage="1" xr:uid="{5F9BBDC2-98BD-423D-BF52-CB537B9BB214}">
          <x14:formula1>
            <xm:f>MR!$A$122:$A$143</xm:f>
          </x14:formula1>
          <xm:sqref>J139 J125 J132</xm:sqref>
        </x14:dataValidation>
        <x14:dataValidation type="list" allowBlank="1" showInputMessage="1" showErrorMessage="1" xr:uid="{4287BB56-AB3C-44D9-AC50-346EED6AE73E}">
          <x14:formula1>
            <xm:f>MR!$A$122:$A$142</xm:f>
          </x14:formula1>
          <xm:sqref>J118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>
    <pageSetUpPr fitToPage="1"/>
  </sheetPr>
  <dimension ref="B1:BC346"/>
  <sheetViews>
    <sheetView showGridLines="0" zoomScale="70" zoomScaleNormal="70" workbookViewId="0">
      <selection activeCell="D199" sqref="D199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9.81640625" style="113" customWidth="1"/>
    <col min="9" max="9" width="2.453125" style="150" customWidth="1"/>
    <col min="10" max="10" width="9.54296875" style="113" customWidth="1"/>
    <col min="11" max="11" width="9.453125" style="113" customWidth="1"/>
    <col min="12" max="12" width="1.54296875" style="150" customWidth="1"/>
    <col min="13" max="13" width="8.81640625" style="113" bestFit="1" customWidth="1"/>
    <col min="14" max="14" width="8.453125" style="113" bestFit="1" customWidth="1"/>
    <col min="15" max="15" width="9.54296875" style="113" customWidth="1"/>
    <col min="16" max="16" width="9" style="113" customWidth="1"/>
    <col min="17" max="17" width="8.81640625" style="113" bestFit="1" customWidth="1"/>
    <col min="18" max="18" width="8.453125" style="113" bestFit="1" customWidth="1"/>
    <col min="19" max="20" width="8.453125" style="113" customWidth="1"/>
    <col min="21" max="21" width="8.81640625" style="113" bestFit="1" customWidth="1"/>
    <col min="22" max="22" width="8.453125" style="113" bestFit="1" customWidth="1"/>
    <col min="23" max="23" width="4.81640625" style="113" customWidth="1"/>
    <col min="24" max="24" width="9.54296875" style="113" customWidth="1"/>
    <col min="25" max="25" width="2.453125" style="150" customWidth="1"/>
    <col min="26" max="27" width="9.54296875" style="113" customWidth="1"/>
    <col min="28" max="28" width="1.54296875" style="150" customWidth="1"/>
    <col min="29" max="38" width="9.54296875" style="113" customWidth="1"/>
    <col min="39" max="40" width="11.453125" style="113"/>
    <col min="41" max="41" width="1.54296875" style="113" customWidth="1"/>
    <col min="42" max="43" width="11.453125" style="113"/>
    <col min="44" max="44" width="1.54296875" style="113" customWidth="1"/>
    <col min="45" max="246" width="11.453125" style="113"/>
    <col min="247" max="247" width="1.453125" style="113" customWidth="1"/>
    <col min="248" max="248" width="15.81640625" style="113" customWidth="1"/>
    <col min="249" max="249" width="49.81640625" style="113" bestFit="1" customWidth="1"/>
    <col min="250" max="250" width="8.81640625" style="113" bestFit="1" customWidth="1"/>
    <col min="251" max="251" width="8.81640625" style="113" customWidth="1"/>
    <col min="252" max="252" width="8.54296875" style="113" bestFit="1" customWidth="1"/>
    <col min="253" max="253" width="8.81640625" style="113" bestFit="1" customWidth="1"/>
    <col min="254" max="254" width="9.81640625" style="113" customWidth="1"/>
    <col min="255" max="255" width="2.453125" style="113" customWidth="1"/>
    <col min="256" max="256" width="9.54296875" style="113" customWidth="1"/>
    <col min="257" max="257" width="9.453125" style="113" customWidth="1"/>
    <col min="258" max="258" width="1.54296875" style="113" customWidth="1"/>
    <col min="259" max="259" width="8.81640625" style="113" bestFit="1" customWidth="1"/>
    <col min="260" max="260" width="8.453125" style="113" bestFit="1" customWidth="1"/>
    <col min="261" max="261" width="9.54296875" style="113" customWidth="1"/>
    <col min="262" max="262" width="9" style="113" customWidth="1"/>
    <col min="263" max="263" width="8.81640625" style="113" bestFit="1" customWidth="1"/>
    <col min="264" max="264" width="8.453125" style="113" bestFit="1" customWidth="1"/>
    <col min="265" max="265" width="8.81640625" style="113" bestFit="1" customWidth="1"/>
    <col min="266" max="266" width="8.453125" style="113" bestFit="1" customWidth="1"/>
    <col min="267" max="267" width="4.81640625" style="113" customWidth="1"/>
    <col min="268" max="268" width="9.54296875" style="113" customWidth="1"/>
    <col min="269" max="269" width="2.453125" style="113" customWidth="1"/>
    <col min="270" max="271" width="9.54296875" style="113" customWidth="1"/>
    <col min="272" max="272" width="1.54296875" style="113" customWidth="1"/>
    <col min="273" max="280" width="9.54296875" style="113" customWidth="1"/>
    <col min="281" max="282" width="11.453125" style="113"/>
    <col min="283" max="283" width="1.54296875" style="113" customWidth="1"/>
    <col min="284" max="285" width="11.453125" style="113"/>
    <col min="286" max="286" width="1.54296875" style="113" customWidth="1"/>
    <col min="287" max="502" width="11.453125" style="113"/>
    <col min="503" max="503" width="1.453125" style="113" customWidth="1"/>
    <col min="504" max="504" width="15.81640625" style="113" customWidth="1"/>
    <col min="505" max="505" width="49.81640625" style="113" bestFit="1" customWidth="1"/>
    <col min="506" max="506" width="8.81640625" style="113" bestFit="1" customWidth="1"/>
    <col min="507" max="507" width="8.81640625" style="113" customWidth="1"/>
    <col min="508" max="508" width="8.54296875" style="113" bestFit="1" customWidth="1"/>
    <col min="509" max="509" width="8.81640625" style="113" bestFit="1" customWidth="1"/>
    <col min="510" max="510" width="9.81640625" style="113" customWidth="1"/>
    <col min="511" max="511" width="2.453125" style="113" customWidth="1"/>
    <col min="512" max="512" width="9.54296875" style="113" customWidth="1"/>
    <col min="513" max="513" width="9.453125" style="113" customWidth="1"/>
    <col min="514" max="514" width="1.54296875" style="113" customWidth="1"/>
    <col min="515" max="515" width="8.81640625" style="113" bestFit="1" customWidth="1"/>
    <col min="516" max="516" width="8.453125" style="113" bestFit="1" customWidth="1"/>
    <col min="517" max="517" width="9.54296875" style="113" customWidth="1"/>
    <col min="518" max="518" width="9" style="113" customWidth="1"/>
    <col min="519" max="519" width="8.81640625" style="113" bestFit="1" customWidth="1"/>
    <col min="520" max="520" width="8.453125" style="113" bestFit="1" customWidth="1"/>
    <col min="521" max="521" width="8.81640625" style="113" bestFit="1" customWidth="1"/>
    <col min="522" max="522" width="8.453125" style="113" bestFit="1" customWidth="1"/>
    <col min="523" max="523" width="4.81640625" style="113" customWidth="1"/>
    <col min="524" max="524" width="9.54296875" style="113" customWidth="1"/>
    <col min="525" max="525" width="2.453125" style="113" customWidth="1"/>
    <col min="526" max="527" width="9.54296875" style="113" customWidth="1"/>
    <col min="528" max="528" width="1.54296875" style="113" customWidth="1"/>
    <col min="529" max="536" width="9.54296875" style="113" customWidth="1"/>
    <col min="537" max="538" width="11.453125" style="113"/>
    <col min="539" max="539" width="1.54296875" style="113" customWidth="1"/>
    <col min="540" max="541" width="11.453125" style="113"/>
    <col min="542" max="542" width="1.54296875" style="113" customWidth="1"/>
    <col min="543" max="758" width="11.453125" style="113"/>
    <col min="759" max="759" width="1.453125" style="113" customWidth="1"/>
    <col min="760" max="760" width="15.81640625" style="113" customWidth="1"/>
    <col min="761" max="761" width="49.81640625" style="113" bestFit="1" customWidth="1"/>
    <col min="762" max="762" width="8.81640625" style="113" bestFit="1" customWidth="1"/>
    <col min="763" max="763" width="8.81640625" style="113" customWidth="1"/>
    <col min="764" max="764" width="8.54296875" style="113" bestFit="1" customWidth="1"/>
    <col min="765" max="765" width="8.81640625" style="113" bestFit="1" customWidth="1"/>
    <col min="766" max="766" width="9.81640625" style="113" customWidth="1"/>
    <col min="767" max="767" width="2.453125" style="113" customWidth="1"/>
    <col min="768" max="768" width="9.54296875" style="113" customWidth="1"/>
    <col min="769" max="769" width="9.453125" style="113" customWidth="1"/>
    <col min="770" max="770" width="1.54296875" style="113" customWidth="1"/>
    <col min="771" max="771" width="8.81640625" style="113" bestFit="1" customWidth="1"/>
    <col min="772" max="772" width="8.453125" style="113" bestFit="1" customWidth="1"/>
    <col min="773" max="773" width="9.54296875" style="113" customWidth="1"/>
    <col min="774" max="774" width="9" style="113" customWidth="1"/>
    <col min="775" max="775" width="8.81640625" style="113" bestFit="1" customWidth="1"/>
    <col min="776" max="776" width="8.453125" style="113" bestFit="1" customWidth="1"/>
    <col min="777" max="777" width="8.81640625" style="113" bestFit="1" customWidth="1"/>
    <col min="778" max="778" width="8.453125" style="113" bestFit="1" customWidth="1"/>
    <col min="779" max="779" width="4.81640625" style="113" customWidth="1"/>
    <col min="780" max="780" width="9.54296875" style="113" customWidth="1"/>
    <col min="781" max="781" width="2.453125" style="113" customWidth="1"/>
    <col min="782" max="783" width="9.54296875" style="113" customWidth="1"/>
    <col min="784" max="784" width="1.54296875" style="113" customWidth="1"/>
    <col min="785" max="792" width="9.54296875" style="113" customWidth="1"/>
    <col min="793" max="794" width="11.453125" style="113"/>
    <col min="795" max="795" width="1.54296875" style="113" customWidth="1"/>
    <col min="796" max="797" width="11.453125" style="113"/>
    <col min="798" max="798" width="1.54296875" style="113" customWidth="1"/>
    <col min="799" max="1014" width="11.453125" style="113"/>
    <col min="1015" max="1015" width="1.453125" style="113" customWidth="1"/>
    <col min="1016" max="1016" width="15.81640625" style="113" customWidth="1"/>
    <col min="1017" max="1017" width="49.81640625" style="113" bestFit="1" customWidth="1"/>
    <col min="1018" max="1018" width="8.81640625" style="113" bestFit="1" customWidth="1"/>
    <col min="1019" max="1019" width="8.81640625" style="113" customWidth="1"/>
    <col min="1020" max="1020" width="8.54296875" style="113" bestFit="1" customWidth="1"/>
    <col min="1021" max="1021" width="8.81640625" style="113" bestFit="1" customWidth="1"/>
    <col min="1022" max="1022" width="9.81640625" style="113" customWidth="1"/>
    <col min="1023" max="1023" width="2.453125" style="113" customWidth="1"/>
    <col min="1024" max="1024" width="9.54296875" style="113" customWidth="1"/>
    <col min="1025" max="1025" width="9.453125" style="113" customWidth="1"/>
    <col min="1026" max="1026" width="1.54296875" style="113" customWidth="1"/>
    <col min="1027" max="1027" width="8.81640625" style="113" bestFit="1" customWidth="1"/>
    <col min="1028" max="1028" width="8.453125" style="113" bestFit="1" customWidth="1"/>
    <col min="1029" max="1029" width="9.54296875" style="113" customWidth="1"/>
    <col min="1030" max="1030" width="9" style="113" customWidth="1"/>
    <col min="1031" max="1031" width="8.81640625" style="113" bestFit="1" customWidth="1"/>
    <col min="1032" max="1032" width="8.453125" style="113" bestFit="1" customWidth="1"/>
    <col min="1033" max="1033" width="8.81640625" style="113" bestFit="1" customWidth="1"/>
    <col min="1034" max="1034" width="8.453125" style="113" bestFit="1" customWidth="1"/>
    <col min="1035" max="1035" width="4.81640625" style="113" customWidth="1"/>
    <col min="1036" max="1036" width="9.54296875" style="113" customWidth="1"/>
    <col min="1037" max="1037" width="2.453125" style="113" customWidth="1"/>
    <col min="1038" max="1039" width="9.54296875" style="113" customWidth="1"/>
    <col min="1040" max="1040" width="1.54296875" style="113" customWidth="1"/>
    <col min="1041" max="1048" width="9.54296875" style="113" customWidth="1"/>
    <col min="1049" max="1050" width="11.453125" style="113"/>
    <col min="1051" max="1051" width="1.54296875" style="113" customWidth="1"/>
    <col min="1052" max="1053" width="11.453125" style="113"/>
    <col min="1054" max="1054" width="1.54296875" style="113" customWidth="1"/>
    <col min="1055" max="1270" width="11.453125" style="113"/>
    <col min="1271" max="1271" width="1.453125" style="113" customWidth="1"/>
    <col min="1272" max="1272" width="15.81640625" style="113" customWidth="1"/>
    <col min="1273" max="1273" width="49.81640625" style="113" bestFit="1" customWidth="1"/>
    <col min="1274" max="1274" width="8.81640625" style="113" bestFit="1" customWidth="1"/>
    <col min="1275" max="1275" width="8.81640625" style="113" customWidth="1"/>
    <col min="1276" max="1276" width="8.54296875" style="113" bestFit="1" customWidth="1"/>
    <col min="1277" max="1277" width="8.81640625" style="113" bestFit="1" customWidth="1"/>
    <col min="1278" max="1278" width="9.81640625" style="113" customWidth="1"/>
    <col min="1279" max="1279" width="2.453125" style="113" customWidth="1"/>
    <col min="1280" max="1280" width="9.54296875" style="113" customWidth="1"/>
    <col min="1281" max="1281" width="9.453125" style="113" customWidth="1"/>
    <col min="1282" max="1282" width="1.54296875" style="113" customWidth="1"/>
    <col min="1283" max="1283" width="8.81640625" style="113" bestFit="1" customWidth="1"/>
    <col min="1284" max="1284" width="8.453125" style="113" bestFit="1" customWidth="1"/>
    <col min="1285" max="1285" width="9.54296875" style="113" customWidth="1"/>
    <col min="1286" max="1286" width="9" style="113" customWidth="1"/>
    <col min="1287" max="1287" width="8.81640625" style="113" bestFit="1" customWidth="1"/>
    <col min="1288" max="1288" width="8.453125" style="113" bestFit="1" customWidth="1"/>
    <col min="1289" max="1289" width="8.81640625" style="113" bestFit="1" customWidth="1"/>
    <col min="1290" max="1290" width="8.453125" style="113" bestFit="1" customWidth="1"/>
    <col min="1291" max="1291" width="4.81640625" style="113" customWidth="1"/>
    <col min="1292" max="1292" width="9.54296875" style="113" customWidth="1"/>
    <col min="1293" max="1293" width="2.453125" style="113" customWidth="1"/>
    <col min="1294" max="1295" width="9.54296875" style="113" customWidth="1"/>
    <col min="1296" max="1296" width="1.54296875" style="113" customWidth="1"/>
    <col min="1297" max="1304" width="9.54296875" style="113" customWidth="1"/>
    <col min="1305" max="1306" width="11.453125" style="113"/>
    <col min="1307" max="1307" width="1.54296875" style="113" customWidth="1"/>
    <col min="1308" max="1309" width="11.453125" style="113"/>
    <col min="1310" max="1310" width="1.54296875" style="113" customWidth="1"/>
    <col min="1311" max="1526" width="11.453125" style="113"/>
    <col min="1527" max="1527" width="1.453125" style="113" customWidth="1"/>
    <col min="1528" max="1528" width="15.81640625" style="113" customWidth="1"/>
    <col min="1529" max="1529" width="49.81640625" style="113" bestFit="1" customWidth="1"/>
    <col min="1530" max="1530" width="8.81640625" style="113" bestFit="1" customWidth="1"/>
    <col min="1531" max="1531" width="8.81640625" style="113" customWidth="1"/>
    <col min="1532" max="1532" width="8.54296875" style="113" bestFit="1" customWidth="1"/>
    <col min="1533" max="1533" width="8.81640625" style="113" bestFit="1" customWidth="1"/>
    <col min="1534" max="1534" width="9.81640625" style="113" customWidth="1"/>
    <col min="1535" max="1535" width="2.453125" style="113" customWidth="1"/>
    <col min="1536" max="1536" width="9.54296875" style="113" customWidth="1"/>
    <col min="1537" max="1537" width="9.453125" style="113" customWidth="1"/>
    <col min="1538" max="1538" width="1.54296875" style="113" customWidth="1"/>
    <col min="1539" max="1539" width="8.81640625" style="113" bestFit="1" customWidth="1"/>
    <col min="1540" max="1540" width="8.453125" style="113" bestFit="1" customWidth="1"/>
    <col min="1541" max="1541" width="9.54296875" style="113" customWidth="1"/>
    <col min="1542" max="1542" width="9" style="113" customWidth="1"/>
    <col min="1543" max="1543" width="8.81640625" style="113" bestFit="1" customWidth="1"/>
    <col min="1544" max="1544" width="8.453125" style="113" bestFit="1" customWidth="1"/>
    <col min="1545" max="1545" width="8.81640625" style="113" bestFit="1" customWidth="1"/>
    <col min="1546" max="1546" width="8.453125" style="113" bestFit="1" customWidth="1"/>
    <col min="1547" max="1547" width="4.81640625" style="113" customWidth="1"/>
    <col min="1548" max="1548" width="9.54296875" style="113" customWidth="1"/>
    <col min="1549" max="1549" width="2.453125" style="113" customWidth="1"/>
    <col min="1550" max="1551" width="9.54296875" style="113" customWidth="1"/>
    <col min="1552" max="1552" width="1.54296875" style="113" customWidth="1"/>
    <col min="1553" max="1560" width="9.54296875" style="113" customWidth="1"/>
    <col min="1561" max="1562" width="11.453125" style="113"/>
    <col min="1563" max="1563" width="1.54296875" style="113" customWidth="1"/>
    <col min="1564" max="1565" width="11.453125" style="113"/>
    <col min="1566" max="1566" width="1.54296875" style="113" customWidth="1"/>
    <col min="1567" max="1782" width="11.453125" style="113"/>
    <col min="1783" max="1783" width="1.453125" style="113" customWidth="1"/>
    <col min="1784" max="1784" width="15.81640625" style="113" customWidth="1"/>
    <col min="1785" max="1785" width="49.81640625" style="113" bestFit="1" customWidth="1"/>
    <col min="1786" max="1786" width="8.81640625" style="113" bestFit="1" customWidth="1"/>
    <col min="1787" max="1787" width="8.81640625" style="113" customWidth="1"/>
    <col min="1788" max="1788" width="8.54296875" style="113" bestFit="1" customWidth="1"/>
    <col min="1789" max="1789" width="8.81640625" style="113" bestFit="1" customWidth="1"/>
    <col min="1790" max="1790" width="9.81640625" style="113" customWidth="1"/>
    <col min="1791" max="1791" width="2.453125" style="113" customWidth="1"/>
    <col min="1792" max="1792" width="9.54296875" style="113" customWidth="1"/>
    <col min="1793" max="1793" width="9.453125" style="113" customWidth="1"/>
    <col min="1794" max="1794" width="1.54296875" style="113" customWidth="1"/>
    <col min="1795" max="1795" width="8.81640625" style="113" bestFit="1" customWidth="1"/>
    <col min="1796" max="1796" width="8.453125" style="113" bestFit="1" customWidth="1"/>
    <col min="1797" max="1797" width="9.54296875" style="113" customWidth="1"/>
    <col min="1798" max="1798" width="9" style="113" customWidth="1"/>
    <col min="1799" max="1799" width="8.81640625" style="113" bestFit="1" customWidth="1"/>
    <col min="1800" max="1800" width="8.453125" style="113" bestFit="1" customWidth="1"/>
    <col min="1801" max="1801" width="8.81640625" style="113" bestFit="1" customWidth="1"/>
    <col min="1802" max="1802" width="8.453125" style="113" bestFit="1" customWidth="1"/>
    <col min="1803" max="1803" width="4.81640625" style="113" customWidth="1"/>
    <col min="1804" max="1804" width="9.54296875" style="113" customWidth="1"/>
    <col min="1805" max="1805" width="2.453125" style="113" customWidth="1"/>
    <col min="1806" max="1807" width="9.54296875" style="113" customWidth="1"/>
    <col min="1808" max="1808" width="1.54296875" style="113" customWidth="1"/>
    <col min="1809" max="1816" width="9.54296875" style="113" customWidth="1"/>
    <col min="1817" max="1818" width="11.453125" style="113"/>
    <col min="1819" max="1819" width="1.54296875" style="113" customWidth="1"/>
    <col min="1820" max="1821" width="11.453125" style="113"/>
    <col min="1822" max="1822" width="1.54296875" style="113" customWidth="1"/>
    <col min="1823" max="2038" width="11.453125" style="113"/>
    <col min="2039" max="2039" width="1.453125" style="113" customWidth="1"/>
    <col min="2040" max="2040" width="15.81640625" style="113" customWidth="1"/>
    <col min="2041" max="2041" width="49.81640625" style="113" bestFit="1" customWidth="1"/>
    <col min="2042" max="2042" width="8.81640625" style="113" bestFit="1" customWidth="1"/>
    <col min="2043" max="2043" width="8.81640625" style="113" customWidth="1"/>
    <col min="2044" max="2044" width="8.54296875" style="113" bestFit="1" customWidth="1"/>
    <col min="2045" max="2045" width="8.81640625" style="113" bestFit="1" customWidth="1"/>
    <col min="2046" max="2046" width="9.81640625" style="113" customWidth="1"/>
    <col min="2047" max="2047" width="2.453125" style="113" customWidth="1"/>
    <col min="2048" max="2048" width="9.54296875" style="113" customWidth="1"/>
    <col min="2049" max="2049" width="9.453125" style="113" customWidth="1"/>
    <col min="2050" max="2050" width="1.54296875" style="113" customWidth="1"/>
    <col min="2051" max="2051" width="8.81640625" style="113" bestFit="1" customWidth="1"/>
    <col min="2052" max="2052" width="8.453125" style="113" bestFit="1" customWidth="1"/>
    <col min="2053" max="2053" width="9.54296875" style="113" customWidth="1"/>
    <col min="2054" max="2054" width="9" style="113" customWidth="1"/>
    <col min="2055" max="2055" width="8.81640625" style="113" bestFit="1" customWidth="1"/>
    <col min="2056" max="2056" width="8.453125" style="113" bestFit="1" customWidth="1"/>
    <col min="2057" max="2057" width="8.81640625" style="113" bestFit="1" customWidth="1"/>
    <col min="2058" max="2058" width="8.453125" style="113" bestFit="1" customWidth="1"/>
    <col min="2059" max="2059" width="4.81640625" style="113" customWidth="1"/>
    <col min="2060" max="2060" width="9.54296875" style="113" customWidth="1"/>
    <col min="2061" max="2061" width="2.453125" style="113" customWidth="1"/>
    <col min="2062" max="2063" width="9.54296875" style="113" customWidth="1"/>
    <col min="2064" max="2064" width="1.54296875" style="113" customWidth="1"/>
    <col min="2065" max="2072" width="9.54296875" style="113" customWidth="1"/>
    <col min="2073" max="2074" width="11.453125" style="113"/>
    <col min="2075" max="2075" width="1.54296875" style="113" customWidth="1"/>
    <col min="2076" max="2077" width="11.453125" style="113"/>
    <col min="2078" max="2078" width="1.54296875" style="113" customWidth="1"/>
    <col min="2079" max="2294" width="11.453125" style="113"/>
    <col min="2295" max="2295" width="1.453125" style="113" customWidth="1"/>
    <col min="2296" max="2296" width="15.81640625" style="113" customWidth="1"/>
    <col min="2297" max="2297" width="49.81640625" style="113" bestFit="1" customWidth="1"/>
    <col min="2298" max="2298" width="8.81640625" style="113" bestFit="1" customWidth="1"/>
    <col min="2299" max="2299" width="8.81640625" style="113" customWidth="1"/>
    <col min="2300" max="2300" width="8.54296875" style="113" bestFit="1" customWidth="1"/>
    <col min="2301" max="2301" width="8.81640625" style="113" bestFit="1" customWidth="1"/>
    <col min="2302" max="2302" width="9.81640625" style="113" customWidth="1"/>
    <col min="2303" max="2303" width="2.453125" style="113" customWidth="1"/>
    <col min="2304" max="2304" width="9.54296875" style="113" customWidth="1"/>
    <col min="2305" max="2305" width="9.453125" style="113" customWidth="1"/>
    <col min="2306" max="2306" width="1.54296875" style="113" customWidth="1"/>
    <col min="2307" max="2307" width="8.81640625" style="113" bestFit="1" customWidth="1"/>
    <col min="2308" max="2308" width="8.453125" style="113" bestFit="1" customWidth="1"/>
    <col min="2309" max="2309" width="9.54296875" style="113" customWidth="1"/>
    <col min="2310" max="2310" width="9" style="113" customWidth="1"/>
    <col min="2311" max="2311" width="8.81640625" style="113" bestFit="1" customWidth="1"/>
    <col min="2312" max="2312" width="8.453125" style="113" bestFit="1" customWidth="1"/>
    <col min="2313" max="2313" width="8.81640625" style="113" bestFit="1" customWidth="1"/>
    <col min="2314" max="2314" width="8.453125" style="113" bestFit="1" customWidth="1"/>
    <col min="2315" max="2315" width="4.81640625" style="113" customWidth="1"/>
    <col min="2316" max="2316" width="9.54296875" style="113" customWidth="1"/>
    <col min="2317" max="2317" width="2.453125" style="113" customWidth="1"/>
    <col min="2318" max="2319" width="9.54296875" style="113" customWidth="1"/>
    <col min="2320" max="2320" width="1.54296875" style="113" customWidth="1"/>
    <col min="2321" max="2328" width="9.54296875" style="113" customWidth="1"/>
    <col min="2329" max="2330" width="11.453125" style="113"/>
    <col min="2331" max="2331" width="1.54296875" style="113" customWidth="1"/>
    <col min="2332" max="2333" width="11.453125" style="113"/>
    <col min="2334" max="2334" width="1.54296875" style="113" customWidth="1"/>
    <col min="2335" max="2550" width="11.453125" style="113"/>
    <col min="2551" max="2551" width="1.453125" style="113" customWidth="1"/>
    <col min="2552" max="2552" width="15.81640625" style="113" customWidth="1"/>
    <col min="2553" max="2553" width="49.81640625" style="113" bestFit="1" customWidth="1"/>
    <col min="2554" max="2554" width="8.81640625" style="113" bestFit="1" customWidth="1"/>
    <col min="2555" max="2555" width="8.81640625" style="113" customWidth="1"/>
    <col min="2556" max="2556" width="8.54296875" style="113" bestFit="1" customWidth="1"/>
    <col min="2557" max="2557" width="8.81640625" style="113" bestFit="1" customWidth="1"/>
    <col min="2558" max="2558" width="9.81640625" style="113" customWidth="1"/>
    <col min="2559" max="2559" width="2.453125" style="113" customWidth="1"/>
    <col min="2560" max="2560" width="9.54296875" style="113" customWidth="1"/>
    <col min="2561" max="2561" width="9.453125" style="113" customWidth="1"/>
    <col min="2562" max="2562" width="1.54296875" style="113" customWidth="1"/>
    <col min="2563" max="2563" width="8.81640625" style="113" bestFit="1" customWidth="1"/>
    <col min="2564" max="2564" width="8.453125" style="113" bestFit="1" customWidth="1"/>
    <col min="2565" max="2565" width="9.54296875" style="113" customWidth="1"/>
    <col min="2566" max="2566" width="9" style="113" customWidth="1"/>
    <col min="2567" max="2567" width="8.81640625" style="113" bestFit="1" customWidth="1"/>
    <col min="2568" max="2568" width="8.453125" style="113" bestFit="1" customWidth="1"/>
    <col min="2569" max="2569" width="8.81640625" style="113" bestFit="1" customWidth="1"/>
    <col min="2570" max="2570" width="8.453125" style="113" bestFit="1" customWidth="1"/>
    <col min="2571" max="2571" width="4.81640625" style="113" customWidth="1"/>
    <col min="2572" max="2572" width="9.54296875" style="113" customWidth="1"/>
    <col min="2573" max="2573" width="2.453125" style="113" customWidth="1"/>
    <col min="2574" max="2575" width="9.54296875" style="113" customWidth="1"/>
    <col min="2576" max="2576" width="1.54296875" style="113" customWidth="1"/>
    <col min="2577" max="2584" width="9.54296875" style="113" customWidth="1"/>
    <col min="2585" max="2586" width="11.453125" style="113"/>
    <col min="2587" max="2587" width="1.54296875" style="113" customWidth="1"/>
    <col min="2588" max="2589" width="11.453125" style="113"/>
    <col min="2590" max="2590" width="1.54296875" style="113" customWidth="1"/>
    <col min="2591" max="2806" width="11.453125" style="113"/>
    <col min="2807" max="2807" width="1.453125" style="113" customWidth="1"/>
    <col min="2808" max="2808" width="15.81640625" style="113" customWidth="1"/>
    <col min="2809" max="2809" width="49.81640625" style="113" bestFit="1" customWidth="1"/>
    <col min="2810" max="2810" width="8.81640625" style="113" bestFit="1" customWidth="1"/>
    <col min="2811" max="2811" width="8.81640625" style="113" customWidth="1"/>
    <col min="2812" max="2812" width="8.54296875" style="113" bestFit="1" customWidth="1"/>
    <col min="2813" max="2813" width="8.81640625" style="113" bestFit="1" customWidth="1"/>
    <col min="2814" max="2814" width="9.81640625" style="113" customWidth="1"/>
    <col min="2815" max="2815" width="2.453125" style="113" customWidth="1"/>
    <col min="2816" max="2816" width="9.54296875" style="113" customWidth="1"/>
    <col min="2817" max="2817" width="9.453125" style="113" customWidth="1"/>
    <col min="2818" max="2818" width="1.54296875" style="113" customWidth="1"/>
    <col min="2819" max="2819" width="8.81640625" style="113" bestFit="1" customWidth="1"/>
    <col min="2820" max="2820" width="8.453125" style="113" bestFit="1" customWidth="1"/>
    <col min="2821" max="2821" width="9.54296875" style="113" customWidth="1"/>
    <col min="2822" max="2822" width="9" style="113" customWidth="1"/>
    <col min="2823" max="2823" width="8.81640625" style="113" bestFit="1" customWidth="1"/>
    <col min="2824" max="2824" width="8.453125" style="113" bestFit="1" customWidth="1"/>
    <col min="2825" max="2825" width="8.81640625" style="113" bestFit="1" customWidth="1"/>
    <col min="2826" max="2826" width="8.453125" style="113" bestFit="1" customWidth="1"/>
    <col min="2827" max="2827" width="4.81640625" style="113" customWidth="1"/>
    <col min="2828" max="2828" width="9.54296875" style="113" customWidth="1"/>
    <col min="2829" max="2829" width="2.453125" style="113" customWidth="1"/>
    <col min="2830" max="2831" width="9.54296875" style="113" customWidth="1"/>
    <col min="2832" max="2832" width="1.54296875" style="113" customWidth="1"/>
    <col min="2833" max="2840" width="9.54296875" style="113" customWidth="1"/>
    <col min="2841" max="2842" width="11.453125" style="113"/>
    <col min="2843" max="2843" width="1.54296875" style="113" customWidth="1"/>
    <col min="2844" max="2845" width="11.453125" style="113"/>
    <col min="2846" max="2846" width="1.54296875" style="113" customWidth="1"/>
    <col min="2847" max="3062" width="11.453125" style="113"/>
    <col min="3063" max="3063" width="1.453125" style="113" customWidth="1"/>
    <col min="3064" max="3064" width="15.81640625" style="113" customWidth="1"/>
    <col min="3065" max="3065" width="49.81640625" style="113" bestFit="1" customWidth="1"/>
    <col min="3066" max="3066" width="8.81640625" style="113" bestFit="1" customWidth="1"/>
    <col min="3067" max="3067" width="8.81640625" style="113" customWidth="1"/>
    <col min="3068" max="3068" width="8.54296875" style="113" bestFit="1" customWidth="1"/>
    <col min="3069" max="3069" width="8.81640625" style="113" bestFit="1" customWidth="1"/>
    <col min="3070" max="3070" width="9.81640625" style="113" customWidth="1"/>
    <col min="3071" max="3071" width="2.453125" style="113" customWidth="1"/>
    <col min="3072" max="3072" width="9.54296875" style="113" customWidth="1"/>
    <col min="3073" max="3073" width="9.453125" style="113" customWidth="1"/>
    <col min="3074" max="3074" width="1.54296875" style="113" customWidth="1"/>
    <col min="3075" max="3075" width="8.81640625" style="113" bestFit="1" customWidth="1"/>
    <col min="3076" max="3076" width="8.453125" style="113" bestFit="1" customWidth="1"/>
    <col min="3077" max="3077" width="9.54296875" style="113" customWidth="1"/>
    <col min="3078" max="3078" width="9" style="113" customWidth="1"/>
    <col min="3079" max="3079" width="8.81640625" style="113" bestFit="1" customWidth="1"/>
    <col min="3080" max="3080" width="8.453125" style="113" bestFit="1" customWidth="1"/>
    <col min="3081" max="3081" width="8.81640625" style="113" bestFit="1" customWidth="1"/>
    <col min="3082" max="3082" width="8.453125" style="113" bestFit="1" customWidth="1"/>
    <col min="3083" max="3083" width="4.81640625" style="113" customWidth="1"/>
    <col min="3084" max="3084" width="9.54296875" style="113" customWidth="1"/>
    <col min="3085" max="3085" width="2.453125" style="113" customWidth="1"/>
    <col min="3086" max="3087" width="9.54296875" style="113" customWidth="1"/>
    <col min="3088" max="3088" width="1.54296875" style="113" customWidth="1"/>
    <col min="3089" max="3096" width="9.54296875" style="113" customWidth="1"/>
    <col min="3097" max="3098" width="11.453125" style="113"/>
    <col min="3099" max="3099" width="1.54296875" style="113" customWidth="1"/>
    <col min="3100" max="3101" width="11.453125" style="113"/>
    <col min="3102" max="3102" width="1.54296875" style="113" customWidth="1"/>
    <col min="3103" max="3318" width="11.453125" style="113"/>
    <col min="3319" max="3319" width="1.453125" style="113" customWidth="1"/>
    <col min="3320" max="3320" width="15.81640625" style="113" customWidth="1"/>
    <col min="3321" max="3321" width="49.81640625" style="113" bestFit="1" customWidth="1"/>
    <col min="3322" max="3322" width="8.81640625" style="113" bestFit="1" customWidth="1"/>
    <col min="3323" max="3323" width="8.81640625" style="113" customWidth="1"/>
    <col min="3324" max="3324" width="8.54296875" style="113" bestFit="1" customWidth="1"/>
    <col min="3325" max="3325" width="8.81640625" style="113" bestFit="1" customWidth="1"/>
    <col min="3326" max="3326" width="9.81640625" style="113" customWidth="1"/>
    <col min="3327" max="3327" width="2.453125" style="113" customWidth="1"/>
    <col min="3328" max="3328" width="9.54296875" style="113" customWidth="1"/>
    <col min="3329" max="3329" width="9.453125" style="113" customWidth="1"/>
    <col min="3330" max="3330" width="1.54296875" style="113" customWidth="1"/>
    <col min="3331" max="3331" width="8.81640625" style="113" bestFit="1" customWidth="1"/>
    <col min="3332" max="3332" width="8.453125" style="113" bestFit="1" customWidth="1"/>
    <col min="3333" max="3333" width="9.54296875" style="113" customWidth="1"/>
    <col min="3334" max="3334" width="9" style="113" customWidth="1"/>
    <col min="3335" max="3335" width="8.81640625" style="113" bestFit="1" customWidth="1"/>
    <col min="3336" max="3336" width="8.453125" style="113" bestFit="1" customWidth="1"/>
    <col min="3337" max="3337" width="8.81640625" style="113" bestFit="1" customWidth="1"/>
    <col min="3338" max="3338" width="8.453125" style="113" bestFit="1" customWidth="1"/>
    <col min="3339" max="3339" width="4.81640625" style="113" customWidth="1"/>
    <col min="3340" max="3340" width="9.54296875" style="113" customWidth="1"/>
    <col min="3341" max="3341" width="2.453125" style="113" customWidth="1"/>
    <col min="3342" max="3343" width="9.54296875" style="113" customWidth="1"/>
    <col min="3344" max="3344" width="1.54296875" style="113" customWidth="1"/>
    <col min="3345" max="3352" width="9.54296875" style="113" customWidth="1"/>
    <col min="3353" max="3354" width="11.453125" style="113"/>
    <col min="3355" max="3355" width="1.54296875" style="113" customWidth="1"/>
    <col min="3356" max="3357" width="11.453125" style="113"/>
    <col min="3358" max="3358" width="1.54296875" style="113" customWidth="1"/>
    <col min="3359" max="3574" width="11.453125" style="113"/>
    <col min="3575" max="3575" width="1.453125" style="113" customWidth="1"/>
    <col min="3576" max="3576" width="15.81640625" style="113" customWidth="1"/>
    <col min="3577" max="3577" width="49.81640625" style="113" bestFit="1" customWidth="1"/>
    <col min="3578" max="3578" width="8.81640625" style="113" bestFit="1" customWidth="1"/>
    <col min="3579" max="3579" width="8.81640625" style="113" customWidth="1"/>
    <col min="3580" max="3580" width="8.54296875" style="113" bestFit="1" customWidth="1"/>
    <col min="3581" max="3581" width="8.81640625" style="113" bestFit="1" customWidth="1"/>
    <col min="3582" max="3582" width="9.81640625" style="113" customWidth="1"/>
    <col min="3583" max="3583" width="2.453125" style="113" customWidth="1"/>
    <col min="3584" max="3584" width="9.54296875" style="113" customWidth="1"/>
    <col min="3585" max="3585" width="9.453125" style="113" customWidth="1"/>
    <col min="3586" max="3586" width="1.54296875" style="113" customWidth="1"/>
    <col min="3587" max="3587" width="8.81640625" style="113" bestFit="1" customWidth="1"/>
    <col min="3588" max="3588" width="8.453125" style="113" bestFit="1" customWidth="1"/>
    <col min="3589" max="3589" width="9.54296875" style="113" customWidth="1"/>
    <col min="3590" max="3590" width="9" style="113" customWidth="1"/>
    <col min="3591" max="3591" width="8.81640625" style="113" bestFit="1" customWidth="1"/>
    <col min="3592" max="3592" width="8.453125" style="113" bestFit="1" customWidth="1"/>
    <col min="3593" max="3593" width="8.81640625" style="113" bestFit="1" customWidth="1"/>
    <col min="3594" max="3594" width="8.453125" style="113" bestFit="1" customWidth="1"/>
    <col min="3595" max="3595" width="4.81640625" style="113" customWidth="1"/>
    <col min="3596" max="3596" width="9.54296875" style="113" customWidth="1"/>
    <col min="3597" max="3597" width="2.453125" style="113" customWidth="1"/>
    <col min="3598" max="3599" width="9.54296875" style="113" customWidth="1"/>
    <col min="3600" max="3600" width="1.54296875" style="113" customWidth="1"/>
    <col min="3601" max="3608" width="9.54296875" style="113" customWidth="1"/>
    <col min="3609" max="3610" width="11.453125" style="113"/>
    <col min="3611" max="3611" width="1.54296875" style="113" customWidth="1"/>
    <col min="3612" max="3613" width="11.453125" style="113"/>
    <col min="3614" max="3614" width="1.54296875" style="113" customWidth="1"/>
    <col min="3615" max="3830" width="11.453125" style="113"/>
    <col min="3831" max="3831" width="1.453125" style="113" customWidth="1"/>
    <col min="3832" max="3832" width="15.81640625" style="113" customWidth="1"/>
    <col min="3833" max="3833" width="49.81640625" style="113" bestFit="1" customWidth="1"/>
    <col min="3834" max="3834" width="8.81640625" style="113" bestFit="1" customWidth="1"/>
    <col min="3835" max="3835" width="8.81640625" style="113" customWidth="1"/>
    <col min="3836" max="3836" width="8.54296875" style="113" bestFit="1" customWidth="1"/>
    <col min="3837" max="3837" width="8.81640625" style="113" bestFit="1" customWidth="1"/>
    <col min="3838" max="3838" width="9.81640625" style="113" customWidth="1"/>
    <col min="3839" max="3839" width="2.453125" style="113" customWidth="1"/>
    <col min="3840" max="3840" width="9.54296875" style="113" customWidth="1"/>
    <col min="3841" max="3841" width="9.453125" style="113" customWidth="1"/>
    <col min="3842" max="3842" width="1.54296875" style="113" customWidth="1"/>
    <col min="3843" max="3843" width="8.81640625" style="113" bestFit="1" customWidth="1"/>
    <col min="3844" max="3844" width="8.453125" style="113" bestFit="1" customWidth="1"/>
    <col min="3845" max="3845" width="9.54296875" style="113" customWidth="1"/>
    <col min="3846" max="3846" width="9" style="113" customWidth="1"/>
    <col min="3847" max="3847" width="8.81640625" style="113" bestFit="1" customWidth="1"/>
    <col min="3848" max="3848" width="8.453125" style="113" bestFit="1" customWidth="1"/>
    <col min="3849" max="3849" width="8.81640625" style="113" bestFit="1" customWidth="1"/>
    <col min="3850" max="3850" width="8.453125" style="113" bestFit="1" customWidth="1"/>
    <col min="3851" max="3851" width="4.81640625" style="113" customWidth="1"/>
    <col min="3852" max="3852" width="9.54296875" style="113" customWidth="1"/>
    <col min="3853" max="3853" width="2.453125" style="113" customWidth="1"/>
    <col min="3854" max="3855" width="9.54296875" style="113" customWidth="1"/>
    <col min="3856" max="3856" width="1.54296875" style="113" customWidth="1"/>
    <col min="3857" max="3864" width="9.54296875" style="113" customWidth="1"/>
    <col min="3865" max="3866" width="11.453125" style="113"/>
    <col min="3867" max="3867" width="1.54296875" style="113" customWidth="1"/>
    <col min="3868" max="3869" width="11.453125" style="113"/>
    <col min="3870" max="3870" width="1.54296875" style="113" customWidth="1"/>
    <col min="3871" max="4086" width="11.453125" style="113"/>
    <col min="4087" max="4087" width="1.453125" style="113" customWidth="1"/>
    <col min="4088" max="4088" width="15.81640625" style="113" customWidth="1"/>
    <col min="4089" max="4089" width="49.81640625" style="113" bestFit="1" customWidth="1"/>
    <col min="4090" max="4090" width="8.81640625" style="113" bestFit="1" customWidth="1"/>
    <col min="4091" max="4091" width="8.81640625" style="113" customWidth="1"/>
    <col min="4092" max="4092" width="8.54296875" style="113" bestFit="1" customWidth="1"/>
    <col min="4093" max="4093" width="8.81640625" style="113" bestFit="1" customWidth="1"/>
    <col min="4094" max="4094" width="9.81640625" style="113" customWidth="1"/>
    <col min="4095" max="4095" width="2.453125" style="113" customWidth="1"/>
    <col min="4096" max="4096" width="9.54296875" style="113" customWidth="1"/>
    <col min="4097" max="4097" width="9.453125" style="113" customWidth="1"/>
    <col min="4098" max="4098" width="1.54296875" style="113" customWidth="1"/>
    <col min="4099" max="4099" width="8.81640625" style="113" bestFit="1" customWidth="1"/>
    <col min="4100" max="4100" width="8.453125" style="113" bestFit="1" customWidth="1"/>
    <col min="4101" max="4101" width="9.54296875" style="113" customWidth="1"/>
    <col min="4102" max="4102" width="9" style="113" customWidth="1"/>
    <col min="4103" max="4103" width="8.81640625" style="113" bestFit="1" customWidth="1"/>
    <col min="4104" max="4104" width="8.453125" style="113" bestFit="1" customWidth="1"/>
    <col min="4105" max="4105" width="8.81640625" style="113" bestFit="1" customWidth="1"/>
    <col min="4106" max="4106" width="8.453125" style="113" bestFit="1" customWidth="1"/>
    <col min="4107" max="4107" width="4.81640625" style="113" customWidth="1"/>
    <col min="4108" max="4108" width="9.54296875" style="113" customWidth="1"/>
    <col min="4109" max="4109" width="2.453125" style="113" customWidth="1"/>
    <col min="4110" max="4111" width="9.54296875" style="113" customWidth="1"/>
    <col min="4112" max="4112" width="1.54296875" style="113" customWidth="1"/>
    <col min="4113" max="4120" width="9.54296875" style="113" customWidth="1"/>
    <col min="4121" max="4122" width="11.453125" style="113"/>
    <col min="4123" max="4123" width="1.54296875" style="113" customWidth="1"/>
    <col min="4124" max="4125" width="11.453125" style="113"/>
    <col min="4126" max="4126" width="1.54296875" style="113" customWidth="1"/>
    <col min="4127" max="4342" width="11.453125" style="113"/>
    <col min="4343" max="4343" width="1.453125" style="113" customWidth="1"/>
    <col min="4344" max="4344" width="15.81640625" style="113" customWidth="1"/>
    <col min="4345" max="4345" width="49.81640625" style="113" bestFit="1" customWidth="1"/>
    <col min="4346" max="4346" width="8.81640625" style="113" bestFit="1" customWidth="1"/>
    <col min="4347" max="4347" width="8.81640625" style="113" customWidth="1"/>
    <col min="4348" max="4348" width="8.54296875" style="113" bestFit="1" customWidth="1"/>
    <col min="4349" max="4349" width="8.81640625" style="113" bestFit="1" customWidth="1"/>
    <col min="4350" max="4350" width="9.81640625" style="113" customWidth="1"/>
    <col min="4351" max="4351" width="2.453125" style="113" customWidth="1"/>
    <col min="4352" max="4352" width="9.54296875" style="113" customWidth="1"/>
    <col min="4353" max="4353" width="9.453125" style="113" customWidth="1"/>
    <col min="4354" max="4354" width="1.54296875" style="113" customWidth="1"/>
    <col min="4355" max="4355" width="8.81640625" style="113" bestFit="1" customWidth="1"/>
    <col min="4356" max="4356" width="8.453125" style="113" bestFit="1" customWidth="1"/>
    <col min="4357" max="4357" width="9.54296875" style="113" customWidth="1"/>
    <col min="4358" max="4358" width="9" style="113" customWidth="1"/>
    <col min="4359" max="4359" width="8.81640625" style="113" bestFit="1" customWidth="1"/>
    <col min="4360" max="4360" width="8.453125" style="113" bestFit="1" customWidth="1"/>
    <col min="4361" max="4361" width="8.81640625" style="113" bestFit="1" customWidth="1"/>
    <col min="4362" max="4362" width="8.453125" style="113" bestFit="1" customWidth="1"/>
    <col min="4363" max="4363" width="4.81640625" style="113" customWidth="1"/>
    <col min="4364" max="4364" width="9.54296875" style="113" customWidth="1"/>
    <col min="4365" max="4365" width="2.453125" style="113" customWidth="1"/>
    <col min="4366" max="4367" width="9.54296875" style="113" customWidth="1"/>
    <col min="4368" max="4368" width="1.54296875" style="113" customWidth="1"/>
    <col min="4369" max="4376" width="9.54296875" style="113" customWidth="1"/>
    <col min="4377" max="4378" width="11.453125" style="113"/>
    <col min="4379" max="4379" width="1.54296875" style="113" customWidth="1"/>
    <col min="4380" max="4381" width="11.453125" style="113"/>
    <col min="4382" max="4382" width="1.54296875" style="113" customWidth="1"/>
    <col min="4383" max="4598" width="11.453125" style="113"/>
    <col min="4599" max="4599" width="1.453125" style="113" customWidth="1"/>
    <col min="4600" max="4600" width="15.81640625" style="113" customWidth="1"/>
    <col min="4601" max="4601" width="49.81640625" style="113" bestFit="1" customWidth="1"/>
    <col min="4602" max="4602" width="8.81640625" style="113" bestFit="1" customWidth="1"/>
    <col min="4603" max="4603" width="8.81640625" style="113" customWidth="1"/>
    <col min="4604" max="4604" width="8.54296875" style="113" bestFit="1" customWidth="1"/>
    <col min="4605" max="4605" width="8.81640625" style="113" bestFit="1" customWidth="1"/>
    <col min="4606" max="4606" width="9.81640625" style="113" customWidth="1"/>
    <col min="4607" max="4607" width="2.453125" style="113" customWidth="1"/>
    <col min="4608" max="4608" width="9.54296875" style="113" customWidth="1"/>
    <col min="4609" max="4609" width="9.453125" style="113" customWidth="1"/>
    <col min="4610" max="4610" width="1.54296875" style="113" customWidth="1"/>
    <col min="4611" max="4611" width="8.81640625" style="113" bestFit="1" customWidth="1"/>
    <col min="4612" max="4612" width="8.453125" style="113" bestFit="1" customWidth="1"/>
    <col min="4613" max="4613" width="9.54296875" style="113" customWidth="1"/>
    <col min="4614" max="4614" width="9" style="113" customWidth="1"/>
    <col min="4615" max="4615" width="8.81640625" style="113" bestFit="1" customWidth="1"/>
    <col min="4616" max="4616" width="8.453125" style="113" bestFit="1" customWidth="1"/>
    <col min="4617" max="4617" width="8.81640625" style="113" bestFit="1" customWidth="1"/>
    <col min="4618" max="4618" width="8.453125" style="113" bestFit="1" customWidth="1"/>
    <col min="4619" max="4619" width="4.81640625" style="113" customWidth="1"/>
    <col min="4620" max="4620" width="9.54296875" style="113" customWidth="1"/>
    <col min="4621" max="4621" width="2.453125" style="113" customWidth="1"/>
    <col min="4622" max="4623" width="9.54296875" style="113" customWidth="1"/>
    <col min="4624" max="4624" width="1.54296875" style="113" customWidth="1"/>
    <col min="4625" max="4632" width="9.54296875" style="113" customWidth="1"/>
    <col min="4633" max="4634" width="11.453125" style="113"/>
    <col min="4635" max="4635" width="1.54296875" style="113" customWidth="1"/>
    <col min="4636" max="4637" width="11.453125" style="113"/>
    <col min="4638" max="4638" width="1.54296875" style="113" customWidth="1"/>
    <col min="4639" max="4854" width="11.453125" style="113"/>
    <col min="4855" max="4855" width="1.453125" style="113" customWidth="1"/>
    <col min="4856" max="4856" width="15.81640625" style="113" customWidth="1"/>
    <col min="4857" max="4857" width="49.81640625" style="113" bestFit="1" customWidth="1"/>
    <col min="4858" max="4858" width="8.81640625" style="113" bestFit="1" customWidth="1"/>
    <col min="4859" max="4859" width="8.81640625" style="113" customWidth="1"/>
    <col min="4860" max="4860" width="8.54296875" style="113" bestFit="1" customWidth="1"/>
    <col min="4861" max="4861" width="8.81640625" style="113" bestFit="1" customWidth="1"/>
    <col min="4862" max="4862" width="9.81640625" style="113" customWidth="1"/>
    <col min="4863" max="4863" width="2.453125" style="113" customWidth="1"/>
    <col min="4864" max="4864" width="9.54296875" style="113" customWidth="1"/>
    <col min="4865" max="4865" width="9.453125" style="113" customWidth="1"/>
    <col min="4866" max="4866" width="1.54296875" style="113" customWidth="1"/>
    <col min="4867" max="4867" width="8.81640625" style="113" bestFit="1" customWidth="1"/>
    <col min="4868" max="4868" width="8.453125" style="113" bestFit="1" customWidth="1"/>
    <col min="4869" max="4869" width="9.54296875" style="113" customWidth="1"/>
    <col min="4870" max="4870" width="9" style="113" customWidth="1"/>
    <col min="4871" max="4871" width="8.81640625" style="113" bestFit="1" customWidth="1"/>
    <col min="4872" max="4872" width="8.453125" style="113" bestFit="1" customWidth="1"/>
    <col min="4873" max="4873" width="8.81640625" style="113" bestFit="1" customWidth="1"/>
    <col min="4874" max="4874" width="8.453125" style="113" bestFit="1" customWidth="1"/>
    <col min="4875" max="4875" width="4.81640625" style="113" customWidth="1"/>
    <col min="4876" max="4876" width="9.54296875" style="113" customWidth="1"/>
    <col min="4877" max="4877" width="2.453125" style="113" customWidth="1"/>
    <col min="4878" max="4879" width="9.54296875" style="113" customWidth="1"/>
    <col min="4880" max="4880" width="1.54296875" style="113" customWidth="1"/>
    <col min="4881" max="4888" width="9.54296875" style="113" customWidth="1"/>
    <col min="4889" max="4890" width="11.453125" style="113"/>
    <col min="4891" max="4891" width="1.54296875" style="113" customWidth="1"/>
    <col min="4892" max="4893" width="11.453125" style="113"/>
    <col min="4894" max="4894" width="1.54296875" style="113" customWidth="1"/>
    <col min="4895" max="5110" width="11.453125" style="113"/>
    <col min="5111" max="5111" width="1.453125" style="113" customWidth="1"/>
    <col min="5112" max="5112" width="15.81640625" style="113" customWidth="1"/>
    <col min="5113" max="5113" width="49.81640625" style="113" bestFit="1" customWidth="1"/>
    <col min="5114" max="5114" width="8.81640625" style="113" bestFit="1" customWidth="1"/>
    <col min="5115" max="5115" width="8.81640625" style="113" customWidth="1"/>
    <col min="5116" max="5116" width="8.54296875" style="113" bestFit="1" customWidth="1"/>
    <col min="5117" max="5117" width="8.81640625" style="113" bestFit="1" customWidth="1"/>
    <col min="5118" max="5118" width="9.81640625" style="113" customWidth="1"/>
    <col min="5119" max="5119" width="2.453125" style="113" customWidth="1"/>
    <col min="5120" max="5120" width="9.54296875" style="113" customWidth="1"/>
    <col min="5121" max="5121" width="9.453125" style="113" customWidth="1"/>
    <col min="5122" max="5122" width="1.54296875" style="113" customWidth="1"/>
    <col min="5123" max="5123" width="8.81640625" style="113" bestFit="1" customWidth="1"/>
    <col min="5124" max="5124" width="8.453125" style="113" bestFit="1" customWidth="1"/>
    <col min="5125" max="5125" width="9.54296875" style="113" customWidth="1"/>
    <col min="5126" max="5126" width="9" style="113" customWidth="1"/>
    <col min="5127" max="5127" width="8.81640625" style="113" bestFit="1" customWidth="1"/>
    <col min="5128" max="5128" width="8.453125" style="113" bestFit="1" customWidth="1"/>
    <col min="5129" max="5129" width="8.81640625" style="113" bestFit="1" customWidth="1"/>
    <col min="5130" max="5130" width="8.453125" style="113" bestFit="1" customWidth="1"/>
    <col min="5131" max="5131" width="4.81640625" style="113" customWidth="1"/>
    <col min="5132" max="5132" width="9.54296875" style="113" customWidth="1"/>
    <col min="5133" max="5133" width="2.453125" style="113" customWidth="1"/>
    <col min="5134" max="5135" width="9.54296875" style="113" customWidth="1"/>
    <col min="5136" max="5136" width="1.54296875" style="113" customWidth="1"/>
    <col min="5137" max="5144" width="9.54296875" style="113" customWidth="1"/>
    <col min="5145" max="5146" width="11.453125" style="113"/>
    <col min="5147" max="5147" width="1.54296875" style="113" customWidth="1"/>
    <col min="5148" max="5149" width="11.453125" style="113"/>
    <col min="5150" max="5150" width="1.54296875" style="113" customWidth="1"/>
    <col min="5151" max="5366" width="11.453125" style="113"/>
    <col min="5367" max="5367" width="1.453125" style="113" customWidth="1"/>
    <col min="5368" max="5368" width="15.81640625" style="113" customWidth="1"/>
    <col min="5369" max="5369" width="49.81640625" style="113" bestFit="1" customWidth="1"/>
    <col min="5370" max="5370" width="8.81640625" style="113" bestFit="1" customWidth="1"/>
    <col min="5371" max="5371" width="8.81640625" style="113" customWidth="1"/>
    <col min="5372" max="5372" width="8.54296875" style="113" bestFit="1" customWidth="1"/>
    <col min="5373" max="5373" width="8.81640625" style="113" bestFit="1" customWidth="1"/>
    <col min="5374" max="5374" width="9.81640625" style="113" customWidth="1"/>
    <col min="5375" max="5375" width="2.453125" style="113" customWidth="1"/>
    <col min="5376" max="5376" width="9.54296875" style="113" customWidth="1"/>
    <col min="5377" max="5377" width="9.453125" style="113" customWidth="1"/>
    <col min="5378" max="5378" width="1.54296875" style="113" customWidth="1"/>
    <col min="5379" max="5379" width="8.81640625" style="113" bestFit="1" customWidth="1"/>
    <col min="5380" max="5380" width="8.453125" style="113" bestFit="1" customWidth="1"/>
    <col min="5381" max="5381" width="9.54296875" style="113" customWidth="1"/>
    <col min="5382" max="5382" width="9" style="113" customWidth="1"/>
    <col min="5383" max="5383" width="8.81640625" style="113" bestFit="1" customWidth="1"/>
    <col min="5384" max="5384" width="8.453125" style="113" bestFit="1" customWidth="1"/>
    <col min="5385" max="5385" width="8.81640625" style="113" bestFit="1" customWidth="1"/>
    <col min="5386" max="5386" width="8.453125" style="113" bestFit="1" customWidth="1"/>
    <col min="5387" max="5387" width="4.81640625" style="113" customWidth="1"/>
    <col min="5388" max="5388" width="9.54296875" style="113" customWidth="1"/>
    <col min="5389" max="5389" width="2.453125" style="113" customWidth="1"/>
    <col min="5390" max="5391" width="9.54296875" style="113" customWidth="1"/>
    <col min="5392" max="5392" width="1.54296875" style="113" customWidth="1"/>
    <col min="5393" max="5400" width="9.54296875" style="113" customWidth="1"/>
    <col min="5401" max="5402" width="11.453125" style="113"/>
    <col min="5403" max="5403" width="1.54296875" style="113" customWidth="1"/>
    <col min="5404" max="5405" width="11.453125" style="113"/>
    <col min="5406" max="5406" width="1.54296875" style="113" customWidth="1"/>
    <col min="5407" max="5622" width="11.453125" style="113"/>
    <col min="5623" max="5623" width="1.453125" style="113" customWidth="1"/>
    <col min="5624" max="5624" width="15.81640625" style="113" customWidth="1"/>
    <col min="5625" max="5625" width="49.81640625" style="113" bestFit="1" customWidth="1"/>
    <col min="5626" max="5626" width="8.81640625" style="113" bestFit="1" customWidth="1"/>
    <col min="5627" max="5627" width="8.81640625" style="113" customWidth="1"/>
    <col min="5628" max="5628" width="8.54296875" style="113" bestFit="1" customWidth="1"/>
    <col min="5629" max="5629" width="8.81640625" style="113" bestFit="1" customWidth="1"/>
    <col min="5630" max="5630" width="9.81640625" style="113" customWidth="1"/>
    <col min="5631" max="5631" width="2.453125" style="113" customWidth="1"/>
    <col min="5632" max="5632" width="9.54296875" style="113" customWidth="1"/>
    <col min="5633" max="5633" width="9.453125" style="113" customWidth="1"/>
    <col min="5634" max="5634" width="1.54296875" style="113" customWidth="1"/>
    <col min="5635" max="5635" width="8.81640625" style="113" bestFit="1" customWidth="1"/>
    <col min="5636" max="5636" width="8.453125" style="113" bestFit="1" customWidth="1"/>
    <col min="5637" max="5637" width="9.54296875" style="113" customWidth="1"/>
    <col min="5638" max="5638" width="9" style="113" customWidth="1"/>
    <col min="5639" max="5639" width="8.81640625" style="113" bestFit="1" customWidth="1"/>
    <col min="5640" max="5640" width="8.453125" style="113" bestFit="1" customWidth="1"/>
    <col min="5641" max="5641" width="8.81640625" style="113" bestFit="1" customWidth="1"/>
    <col min="5642" max="5642" width="8.453125" style="113" bestFit="1" customWidth="1"/>
    <col min="5643" max="5643" width="4.81640625" style="113" customWidth="1"/>
    <col min="5644" max="5644" width="9.54296875" style="113" customWidth="1"/>
    <col min="5645" max="5645" width="2.453125" style="113" customWidth="1"/>
    <col min="5646" max="5647" width="9.54296875" style="113" customWidth="1"/>
    <col min="5648" max="5648" width="1.54296875" style="113" customWidth="1"/>
    <col min="5649" max="5656" width="9.54296875" style="113" customWidth="1"/>
    <col min="5657" max="5658" width="11.453125" style="113"/>
    <col min="5659" max="5659" width="1.54296875" style="113" customWidth="1"/>
    <col min="5660" max="5661" width="11.453125" style="113"/>
    <col min="5662" max="5662" width="1.54296875" style="113" customWidth="1"/>
    <col min="5663" max="5878" width="11.453125" style="113"/>
    <col min="5879" max="5879" width="1.453125" style="113" customWidth="1"/>
    <col min="5880" max="5880" width="15.81640625" style="113" customWidth="1"/>
    <col min="5881" max="5881" width="49.81640625" style="113" bestFit="1" customWidth="1"/>
    <col min="5882" max="5882" width="8.81640625" style="113" bestFit="1" customWidth="1"/>
    <col min="5883" max="5883" width="8.81640625" style="113" customWidth="1"/>
    <col min="5884" max="5884" width="8.54296875" style="113" bestFit="1" customWidth="1"/>
    <col min="5885" max="5885" width="8.81640625" style="113" bestFit="1" customWidth="1"/>
    <col min="5886" max="5886" width="9.81640625" style="113" customWidth="1"/>
    <col min="5887" max="5887" width="2.453125" style="113" customWidth="1"/>
    <col min="5888" max="5888" width="9.54296875" style="113" customWidth="1"/>
    <col min="5889" max="5889" width="9.453125" style="113" customWidth="1"/>
    <col min="5890" max="5890" width="1.54296875" style="113" customWidth="1"/>
    <col min="5891" max="5891" width="8.81640625" style="113" bestFit="1" customWidth="1"/>
    <col min="5892" max="5892" width="8.453125" style="113" bestFit="1" customWidth="1"/>
    <col min="5893" max="5893" width="9.54296875" style="113" customWidth="1"/>
    <col min="5894" max="5894" width="9" style="113" customWidth="1"/>
    <col min="5895" max="5895" width="8.81640625" style="113" bestFit="1" customWidth="1"/>
    <col min="5896" max="5896" width="8.453125" style="113" bestFit="1" customWidth="1"/>
    <col min="5897" max="5897" width="8.81640625" style="113" bestFit="1" customWidth="1"/>
    <col min="5898" max="5898" width="8.453125" style="113" bestFit="1" customWidth="1"/>
    <col min="5899" max="5899" width="4.81640625" style="113" customWidth="1"/>
    <col min="5900" max="5900" width="9.54296875" style="113" customWidth="1"/>
    <col min="5901" max="5901" width="2.453125" style="113" customWidth="1"/>
    <col min="5902" max="5903" width="9.54296875" style="113" customWidth="1"/>
    <col min="5904" max="5904" width="1.54296875" style="113" customWidth="1"/>
    <col min="5905" max="5912" width="9.54296875" style="113" customWidth="1"/>
    <col min="5913" max="5914" width="11.453125" style="113"/>
    <col min="5915" max="5915" width="1.54296875" style="113" customWidth="1"/>
    <col min="5916" max="5917" width="11.453125" style="113"/>
    <col min="5918" max="5918" width="1.54296875" style="113" customWidth="1"/>
    <col min="5919" max="6134" width="11.453125" style="113"/>
    <col min="6135" max="6135" width="1.453125" style="113" customWidth="1"/>
    <col min="6136" max="6136" width="15.81640625" style="113" customWidth="1"/>
    <col min="6137" max="6137" width="49.81640625" style="113" bestFit="1" customWidth="1"/>
    <col min="6138" max="6138" width="8.81640625" style="113" bestFit="1" customWidth="1"/>
    <col min="6139" max="6139" width="8.81640625" style="113" customWidth="1"/>
    <col min="6140" max="6140" width="8.54296875" style="113" bestFit="1" customWidth="1"/>
    <col min="6141" max="6141" width="8.81640625" style="113" bestFit="1" customWidth="1"/>
    <col min="6142" max="6142" width="9.81640625" style="113" customWidth="1"/>
    <col min="6143" max="6143" width="2.453125" style="113" customWidth="1"/>
    <col min="6144" max="6144" width="9.54296875" style="113" customWidth="1"/>
    <col min="6145" max="6145" width="9.453125" style="113" customWidth="1"/>
    <col min="6146" max="6146" width="1.54296875" style="113" customWidth="1"/>
    <col min="6147" max="6147" width="8.81640625" style="113" bestFit="1" customWidth="1"/>
    <col min="6148" max="6148" width="8.453125" style="113" bestFit="1" customWidth="1"/>
    <col min="6149" max="6149" width="9.54296875" style="113" customWidth="1"/>
    <col min="6150" max="6150" width="9" style="113" customWidth="1"/>
    <col min="6151" max="6151" width="8.81640625" style="113" bestFit="1" customWidth="1"/>
    <col min="6152" max="6152" width="8.453125" style="113" bestFit="1" customWidth="1"/>
    <col min="6153" max="6153" width="8.81640625" style="113" bestFit="1" customWidth="1"/>
    <col min="6154" max="6154" width="8.453125" style="113" bestFit="1" customWidth="1"/>
    <col min="6155" max="6155" width="4.81640625" style="113" customWidth="1"/>
    <col min="6156" max="6156" width="9.54296875" style="113" customWidth="1"/>
    <col min="6157" max="6157" width="2.453125" style="113" customWidth="1"/>
    <col min="6158" max="6159" width="9.54296875" style="113" customWidth="1"/>
    <col min="6160" max="6160" width="1.54296875" style="113" customWidth="1"/>
    <col min="6161" max="6168" width="9.54296875" style="113" customWidth="1"/>
    <col min="6169" max="6170" width="11.453125" style="113"/>
    <col min="6171" max="6171" width="1.54296875" style="113" customWidth="1"/>
    <col min="6172" max="6173" width="11.453125" style="113"/>
    <col min="6174" max="6174" width="1.54296875" style="113" customWidth="1"/>
    <col min="6175" max="6390" width="11.453125" style="113"/>
    <col min="6391" max="6391" width="1.453125" style="113" customWidth="1"/>
    <col min="6392" max="6392" width="15.81640625" style="113" customWidth="1"/>
    <col min="6393" max="6393" width="49.81640625" style="113" bestFit="1" customWidth="1"/>
    <col min="6394" max="6394" width="8.81640625" style="113" bestFit="1" customWidth="1"/>
    <col min="6395" max="6395" width="8.81640625" style="113" customWidth="1"/>
    <col min="6396" max="6396" width="8.54296875" style="113" bestFit="1" customWidth="1"/>
    <col min="6397" max="6397" width="8.81640625" style="113" bestFit="1" customWidth="1"/>
    <col min="6398" max="6398" width="9.81640625" style="113" customWidth="1"/>
    <col min="6399" max="6399" width="2.453125" style="113" customWidth="1"/>
    <col min="6400" max="6400" width="9.54296875" style="113" customWidth="1"/>
    <col min="6401" max="6401" width="9.453125" style="113" customWidth="1"/>
    <col min="6402" max="6402" width="1.54296875" style="113" customWidth="1"/>
    <col min="6403" max="6403" width="8.81640625" style="113" bestFit="1" customWidth="1"/>
    <col min="6404" max="6404" width="8.453125" style="113" bestFit="1" customWidth="1"/>
    <col min="6405" max="6405" width="9.54296875" style="113" customWidth="1"/>
    <col min="6406" max="6406" width="9" style="113" customWidth="1"/>
    <col min="6407" max="6407" width="8.81640625" style="113" bestFit="1" customWidth="1"/>
    <col min="6408" max="6408" width="8.453125" style="113" bestFit="1" customWidth="1"/>
    <col min="6409" max="6409" width="8.81640625" style="113" bestFit="1" customWidth="1"/>
    <col min="6410" max="6410" width="8.453125" style="113" bestFit="1" customWidth="1"/>
    <col min="6411" max="6411" width="4.81640625" style="113" customWidth="1"/>
    <col min="6412" max="6412" width="9.54296875" style="113" customWidth="1"/>
    <col min="6413" max="6413" width="2.453125" style="113" customWidth="1"/>
    <col min="6414" max="6415" width="9.54296875" style="113" customWidth="1"/>
    <col min="6416" max="6416" width="1.54296875" style="113" customWidth="1"/>
    <col min="6417" max="6424" width="9.54296875" style="113" customWidth="1"/>
    <col min="6425" max="6426" width="11.453125" style="113"/>
    <col min="6427" max="6427" width="1.54296875" style="113" customWidth="1"/>
    <col min="6428" max="6429" width="11.453125" style="113"/>
    <col min="6430" max="6430" width="1.54296875" style="113" customWidth="1"/>
    <col min="6431" max="6646" width="11.453125" style="113"/>
    <col min="6647" max="6647" width="1.453125" style="113" customWidth="1"/>
    <col min="6648" max="6648" width="15.81640625" style="113" customWidth="1"/>
    <col min="6649" max="6649" width="49.81640625" style="113" bestFit="1" customWidth="1"/>
    <col min="6650" max="6650" width="8.81640625" style="113" bestFit="1" customWidth="1"/>
    <col min="6651" max="6651" width="8.81640625" style="113" customWidth="1"/>
    <col min="6652" max="6652" width="8.54296875" style="113" bestFit="1" customWidth="1"/>
    <col min="6653" max="6653" width="8.81640625" style="113" bestFit="1" customWidth="1"/>
    <col min="6654" max="6654" width="9.81640625" style="113" customWidth="1"/>
    <col min="6655" max="6655" width="2.453125" style="113" customWidth="1"/>
    <col min="6656" max="6656" width="9.54296875" style="113" customWidth="1"/>
    <col min="6657" max="6657" width="9.453125" style="113" customWidth="1"/>
    <col min="6658" max="6658" width="1.54296875" style="113" customWidth="1"/>
    <col min="6659" max="6659" width="8.81640625" style="113" bestFit="1" customWidth="1"/>
    <col min="6660" max="6660" width="8.453125" style="113" bestFit="1" customWidth="1"/>
    <col min="6661" max="6661" width="9.54296875" style="113" customWidth="1"/>
    <col min="6662" max="6662" width="9" style="113" customWidth="1"/>
    <col min="6663" max="6663" width="8.81640625" style="113" bestFit="1" customWidth="1"/>
    <col min="6664" max="6664" width="8.453125" style="113" bestFit="1" customWidth="1"/>
    <col min="6665" max="6665" width="8.81640625" style="113" bestFit="1" customWidth="1"/>
    <col min="6666" max="6666" width="8.453125" style="113" bestFit="1" customWidth="1"/>
    <col min="6667" max="6667" width="4.81640625" style="113" customWidth="1"/>
    <col min="6668" max="6668" width="9.54296875" style="113" customWidth="1"/>
    <col min="6669" max="6669" width="2.453125" style="113" customWidth="1"/>
    <col min="6670" max="6671" width="9.54296875" style="113" customWidth="1"/>
    <col min="6672" max="6672" width="1.54296875" style="113" customWidth="1"/>
    <col min="6673" max="6680" width="9.54296875" style="113" customWidth="1"/>
    <col min="6681" max="6682" width="11.453125" style="113"/>
    <col min="6683" max="6683" width="1.54296875" style="113" customWidth="1"/>
    <col min="6684" max="6685" width="11.453125" style="113"/>
    <col min="6686" max="6686" width="1.54296875" style="113" customWidth="1"/>
    <col min="6687" max="6902" width="11.453125" style="113"/>
    <col min="6903" max="6903" width="1.453125" style="113" customWidth="1"/>
    <col min="6904" max="6904" width="15.81640625" style="113" customWidth="1"/>
    <col min="6905" max="6905" width="49.81640625" style="113" bestFit="1" customWidth="1"/>
    <col min="6906" max="6906" width="8.81640625" style="113" bestFit="1" customWidth="1"/>
    <col min="6907" max="6907" width="8.81640625" style="113" customWidth="1"/>
    <col min="6908" max="6908" width="8.54296875" style="113" bestFit="1" customWidth="1"/>
    <col min="6909" max="6909" width="8.81640625" style="113" bestFit="1" customWidth="1"/>
    <col min="6910" max="6910" width="9.81640625" style="113" customWidth="1"/>
    <col min="6911" max="6911" width="2.453125" style="113" customWidth="1"/>
    <col min="6912" max="6912" width="9.54296875" style="113" customWidth="1"/>
    <col min="6913" max="6913" width="9.453125" style="113" customWidth="1"/>
    <col min="6914" max="6914" width="1.54296875" style="113" customWidth="1"/>
    <col min="6915" max="6915" width="8.81640625" style="113" bestFit="1" customWidth="1"/>
    <col min="6916" max="6916" width="8.453125" style="113" bestFit="1" customWidth="1"/>
    <col min="6917" max="6917" width="9.54296875" style="113" customWidth="1"/>
    <col min="6918" max="6918" width="9" style="113" customWidth="1"/>
    <col min="6919" max="6919" width="8.81640625" style="113" bestFit="1" customWidth="1"/>
    <col min="6920" max="6920" width="8.453125" style="113" bestFit="1" customWidth="1"/>
    <col min="6921" max="6921" width="8.81640625" style="113" bestFit="1" customWidth="1"/>
    <col min="6922" max="6922" width="8.453125" style="113" bestFit="1" customWidth="1"/>
    <col min="6923" max="6923" width="4.81640625" style="113" customWidth="1"/>
    <col min="6924" max="6924" width="9.54296875" style="113" customWidth="1"/>
    <col min="6925" max="6925" width="2.453125" style="113" customWidth="1"/>
    <col min="6926" max="6927" width="9.54296875" style="113" customWidth="1"/>
    <col min="6928" max="6928" width="1.54296875" style="113" customWidth="1"/>
    <col min="6929" max="6936" width="9.54296875" style="113" customWidth="1"/>
    <col min="6937" max="6938" width="11.453125" style="113"/>
    <col min="6939" max="6939" width="1.54296875" style="113" customWidth="1"/>
    <col min="6940" max="6941" width="11.453125" style="113"/>
    <col min="6942" max="6942" width="1.54296875" style="113" customWidth="1"/>
    <col min="6943" max="7158" width="11.453125" style="113"/>
    <col min="7159" max="7159" width="1.453125" style="113" customWidth="1"/>
    <col min="7160" max="7160" width="15.81640625" style="113" customWidth="1"/>
    <col min="7161" max="7161" width="49.81640625" style="113" bestFit="1" customWidth="1"/>
    <col min="7162" max="7162" width="8.81640625" style="113" bestFit="1" customWidth="1"/>
    <col min="7163" max="7163" width="8.81640625" style="113" customWidth="1"/>
    <col min="7164" max="7164" width="8.54296875" style="113" bestFit="1" customWidth="1"/>
    <col min="7165" max="7165" width="8.81640625" style="113" bestFit="1" customWidth="1"/>
    <col min="7166" max="7166" width="9.81640625" style="113" customWidth="1"/>
    <col min="7167" max="7167" width="2.453125" style="113" customWidth="1"/>
    <col min="7168" max="7168" width="9.54296875" style="113" customWidth="1"/>
    <col min="7169" max="7169" width="9.453125" style="113" customWidth="1"/>
    <col min="7170" max="7170" width="1.54296875" style="113" customWidth="1"/>
    <col min="7171" max="7171" width="8.81640625" style="113" bestFit="1" customWidth="1"/>
    <col min="7172" max="7172" width="8.453125" style="113" bestFit="1" customWidth="1"/>
    <col min="7173" max="7173" width="9.54296875" style="113" customWidth="1"/>
    <col min="7174" max="7174" width="9" style="113" customWidth="1"/>
    <col min="7175" max="7175" width="8.81640625" style="113" bestFit="1" customWidth="1"/>
    <col min="7176" max="7176" width="8.453125" style="113" bestFit="1" customWidth="1"/>
    <col min="7177" max="7177" width="8.81640625" style="113" bestFit="1" customWidth="1"/>
    <col min="7178" max="7178" width="8.453125" style="113" bestFit="1" customWidth="1"/>
    <col min="7179" max="7179" width="4.81640625" style="113" customWidth="1"/>
    <col min="7180" max="7180" width="9.54296875" style="113" customWidth="1"/>
    <col min="7181" max="7181" width="2.453125" style="113" customWidth="1"/>
    <col min="7182" max="7183" width="9.54296875" style="113" customWidth="1"/>
    <col min="7184" max="7184" width="1.54296875" style="113" customWidth="1"/>
    <col min="7185" max="7192" width="9.54296875" style="113" customWidth="1"/>
    <col min="7193" max="7194" width="11.453125" style="113"/>
    <col min="7195" max="7195" width="1.54296875" style="113" customWidth="1"/>
    <col min="7196" max="7197" width="11.453125" style="113"/>
    <col min="7198" max="7198" width="1.54296875" style="113" customWidth="1"/>
    <col min="7199" max="7414" width="11.453125" style="113"/>
    <col min="7415" max="7415" width="1.453125" style="113" customWidth="1"/>
    <col min="7416" max="7416" width="15.81640625" style="113" customWidth="1"/>
    <col min="7417" max="7417" width="49.81640625" style="113" bestFit="1" customWidth="1"/>
    <col min="7418" max="7418" width="8.81640625" style="113" bestFit="1" customWidth="1"/>
    <col min="7419" max="7419" width="8.81640625" style="113" customWidth="1"/>
    <col min="7420" max="7420" width="8.54296875" style="113" bestFit="1" customWidth="1"/>
    <col min="7421" max="7421" width="8.81640625" style="113" bestFit="1" customWidth="1"/>
    <col min="7422" max="7422" width="9.81640625" style="113" customWidth="1"/>
    <col min="7423" max="7423" width="2.453125" style="113" customWidth="1"/>
    <col min="7424" max="7424" width="9.54296875" style="113" customWidth="1"/>
    <col min="7425" max="7425" width="9.453125" style="113" customWidth="1"/>
    <col min="7426" max="7426" width="1.54296875" style="113" customWidth="1"/>
    <col min="7427" max="7427" width="8.81640625" style="113" bestFit="1" customWidth="1"/>
    <col min="7428" max="7428" width="8.453125" style="113" bestFit="1" customWidth="1"/>
    <col min="7429" max="7429" width="9.54296875" style="113" customWidth="1"/>
    <col min="7430" max="7430" width="9" style="113" customWidth="1"/>
    <col min="7431" max="7431" width="8.81640625" style="113" bestFit="1" customWidth="1"/>
    <col min="7432" max="7432" width="8.453125" style="113" bestFit="1" customWidth="1"/>
    <col min="7433" max="7433" width="8.81640625" style="113" bestFit="1" customWidth="1"/>
    <col min="7434" max="7434" width="8.453125" style="113" bestFit="1" customWidth="1"/>
    <col min="7435" max="7435" width="4.81640625" style="113" customWidth="1"/>
    <col min="7436" max="7436" width="9.54296875" style="113" customWidth="1"/>
    <col min="7437" max="7437" width="2.453125" style="113" customWidth="1"/>
    <col min="7438" max="7439" width="9.54296875" style="113" customWidth="1"/>
    <col min="7440" max="7440" width="1.54296875" style="113" customWidth="1"/>
    <col min="7441" max="7448" width="9.54296875" style="113" customWidth="1"/>
    <col min="7449" max="7450" width="11.453125" style="113"/>
    <col min="7451" max="7451" width="1.54296875" style="113" customWidth="1"/>
    <col min="7452" max="7453" width="11.453125" style="113"/>
    <col min="7454" max="7454" width="1.54296875" style="113" customWidth="1"/>
    <col min="7455" max="7670" width="11.453125" style="113"/>
    <col min="7671" max="7671" width="1.453125" style="113" customWidth="1"/>
    <col min="7672" max="7672" width="15.81640625" style="113" customWidth="1"/>
    <col min="7673" max="7673" width="49.81640625" style="113" bestFit="1" customWidth="1"/>
    <col min="7674" max="7674" width="8.81640625" style="113" bestFit="1" customWidth="1"/>
    <col min="7675" max="7675" width="8.81640625" style="113" customWidth="1"/>
    <col min="7676" max="7676" width="8.54296875" style="113" bestFit="1" customWidth="1"/>
    <col min="7677" max="7677" width="8.81640625" style="113" bestFit="1" customWidth="1"/>
    <col min="7678" max="7678" width="9.81640625" style="113" customWidth="1"/>
    <col min="7679" max="7679" width="2.453125" style="113" customWidth="1"/>
    <col min="7680" max="7680" width="9.54296875" style="113" customWidth="1"/>
    <col min="7681" max="7681" width="9.453125" style="113" customWidth="1"/>
    <col min="7682" max="7682" width="1.54296875" style="113" customWidth="1"/>
    <col min="7683" max="7683" width="8.81640625" style="113" bestFit="1" customWidth="1"/>
    <col min="7684" max="7684" width="8.453125" style="113" bestFit="1" customWidth="1"/>
    <col min="7685" max="7685" width="9.54296875" style="113" customWidth="1"/>
    <col min="7686" max="7686" width="9" style="113" customWidth="1"/>
    <col min="7687" max="7687" width="8.81640625" style="113" bestFit="1" customWidth="1"/>
    <col min="7688" max="7688" width="8.453125" style="113" bestFit="1" customWidth="1"/>
    <col min="7689" max="7689" width="8.81640625" style="113" bestFit="1" customWidth="1"/>
    <col min="7690" max="7690" width="8.453125" style="113" bestFit="1" customWidth="1"/>
    <col min="7691" max="7691" width="4.81640625" style="113" customWidth="1"/>
    <col min="7692" max="7692" width="9.54296875" style="113" customWidth="1"/>
    <col min="7693" max="7693" width="2.453125" style="113" customWidth="1"/>
    <col min="7694" max="7695" width="9.54296875" style="113" customWidth="1"/>
    <col min="7696" max="7696" width="1.54296875" style="113" customWidth="1"/>
    <col min="7697" max="7704" width="9.54296875" style="113" customWidth="1"/>
    <col min="7705" max="7706" width="11.453125" style="113"/>
    <col min="7707" max="7707" width="1.54296875" style="113" customWidth="1"/>
    <col min="7708" max="7709" width="11.453125" style="113"/>
    <col min="7710" max="7710" width="1.54296875" style="113" customWidth="1"/>
    <col min="7711" max="7926" width="11.453125" style="113"/>
    <col min="7927" max="7927" width="1.453125" style="113" customWidth="1"/>
    <col min="7928" max="7928" width="15.81640625" style="113" customWidth="1"/>
    <col min="7929" max="7929" width="49.81640625" style="113" bestFit="1" customWidth="1"/>
    <col min="7930" max="7930" width="8.81640625" style="113" bestFit="1" customWidth="1"/>
    <col min="7931" max="7931" width="8.81640625" style="113" customWidth="1"/>
    <col min="7932" max="7932" width="8.54296875" style="113" bestFit="1" customWidth="1"/>
    <col min="7933" max="7933" width="8.81640625" style="113" bestFit="1" customWidth="1"/>
    <col min="7934" max="7934" width="9.81640625" style="113" customWidth="1"/>
    <col min="7935" max="7935" width="2.453125" style="113" customWidth="1"/>
    <col min="7936" max="7936" width="9.54296875" style="113" customWidth="1"/>
    <col min="7937" max="7937" width="9.453125" style="113" customWidth="1"/>
    <col min="7938" max="7938" width="1.54296875" style="113" customWidth="1"/>
    <col min="7939" max="7939" width="8.81640625" style="113" bestFit="1" customWidth="1"/>
    <col min="7940" max="7940" width="8.453125" style="113" bestFit="1" customWidth="1"/>
    <col min="7941" max="7941" width="9.54296875" style="113" customWidth="1"/>
    <col min="7942" max="7942" width="9" style="113" customWidth="1"/>
    <col min="7943" max="7943" width="8.81640625" style="113" bestFit="1" customWidth="1"/>
    <col min="7944" max="7944" width="8.453125" style="113" bestFit="1" customWidth="1"/>
    <col min="7945" max="7945" width="8.81640625" style="113" bestFit="1" customWidth="1"/>
    <col min="7946" max="7946" width="8.453125" style="113" bestFit="1" customWidth="1"/>
    <col min="7947" max="7947" width="4.81640625" style="113" customWidth="1"/>
    <col min="7948" max="7948" width="9.54296875" style="113" customWidth="1"/>
    <col min="7949" max="7949" width="2.453125" style="113" customWidth="1"/>
    <col min="7950" max="7951" width="9.54296875" style="113" customWidth="1"/>
    <col min="7952" max="7952" width="1.54296875" style="113" customWidth="1"/>
    <col min="7953" max="7960" width="9.54296875" style="113" customWidth="1"/>
    <col min="7961" max="7962" width="11.453125" style="113"/>
    <col min="7963" max="7963" width="1.54296875" style="113" customWidth="1"/>
    <col min="7964" max="7965" width="11.453125" style="113"/>
    <col min="7966" max="7966" width="1.54296875" style="113" customWidth="1"/>
    <col min="7967" max="8182" width="11.453125" style="113"/>
    <col min="8183" max="8183" width="1.453125" style="113" customWidth="1"/>
    <col min="8184" max="8184" width="15.81640625" style="113" customWidth="1"/>
    <col min="8185" max="8185" width="49.81640625" style="113" bestFit="1" customWidth="1"/>
    <col min="8186" max="8186" width="8.81640625" style="113" bestFit="1" customWidth="1"/>
    <col min="8187" max="8187" width="8.81640625" style="113" customWidth="1"/>
    <col min="8188" max="8188" width="8.54296875" style="113" bestFit="1" customWidth="1"/>
    <col min="8189" max="8189" width="8.81640625" style="113" bestFit="1" customWidth="1"/>
    <col min="8190" max="8190" width="9.81640625" style="113" customWidth="1"/>
    <col min="8191" max="8191" width="2.453125" style="113" customWidth="1"/>
    <col min="8192" max="8192" width="9.54296875" style="113" customWidth="1"/>
    <col min="8193" max="8193" width="9.453125" style="113" customWidth="1"/>
    <col min="8194" max="8194" width="1.54296875" style="113" customWidth="1"/>
    <col min="8195" max="8195" width="8.81640625" style="113" bestFit="1" customWidth="1"/>
    <col min="8196" max="8196" width="8.453125" style="113" bestFit="1" customWidth="1"/>
    <col min="8197" max="8197" width="9.54296875" style="113" customWidth="1"/>
    <col min="8198" max="8198" width="9" style="113" customWidth="1"/>
    <col min="8199" max="8199" width="8.81640625" style="113" bestFit="1" customWidth="1"/>
    <col min="8200" max="8200" width="8.453125" style="113" bestFit="1" customWidth="1"/>
    <col min="8201" max="8201" width="8.81640625" style="113" bestFit="1" customWidth="1"/>
    <col min="8202" max="8202" width="8.453125" style="113" bestFit="1" customWidth="1"/>
    <col min="8203" max="8203" width="4.81640625" style="113" customWidth="1"/>
    <col min="8204" max="8204" width="9.54296875" style="113" customWidth="1"/>
    <col min="8205" max="8205" width="2.453125" style="113" customWidth="1"/>
    <col min="8206" max="8207" width="9.54296875" style="113" customWidth="1"/>
    <col min="8208" max="8208" width="1.54296875" style="113" customWidth="1"/>
    <col min="8209" max="8216" width="9.54296875" style="113" customWidth="1"/>
    <col min="8217" max="8218" width="11.453125" style="113"/>
    <col min="8219" max="8219" width="1.54296875" style="113" customWidth="1"/>
    <col min="8220" max="8221" width="11.453125" style="113"/>
    <col min="8222" max="8222" width="1.54296875" style="113" customWidth="1"/>
    <col min="8223" max="8438" width="11.453125" style="113"/>
    <col min="8439" max="8439" width="1.453125" style="113" customWidth="1"/>
    <col min="8440" max="8440" width="15.81640625" style="113" customWidth="1"/>
    <col min="8441" max="8441" width="49.81640625" style="113" bestFit="1" customWidth="1"/>
    <col min="8442" max="8442" width="8.81640625" style="113" bestFit="1" customWidth="1"/>
    <col min="8443" max="8443" width="8.81640625" style="113" customWidth="1"/>
    <col min="8444" max="8444" width="8.54296875" style="113" bestFit="1" customWidth="1"/>
    <col min="8445" max="8445" width="8.81640625" style="113" bestFit="1" customWidth="1"/>
    <col min="8446" max="8446" width="9.81640625" style="113" customWidth="1"/>
    <col min="8447" max="8447" width="2.453125" style="113" customWidth="1"/>
    <col min="8448" max="8448" width="9.54296875" style="113" customWidth="1"/>
    <col min="8449" max="8449" width="9.453125" style="113" customWidth="1"/>
    <col min="8450" max="8450" width="1.54296875" style="113" customWidth="1"/>
    <col min="8451" max="8451" width="8.81640625" style="113" bestFit="1" customWidth="1"/>
    <col min="8452" max="8452" width="8.453125" style="113" bestFit="1" customWidth="1"/>
    <col min="8453" max="8453" width="9.54296875" style="113" customWidth="1"/>
    <col min="8454" max="8454" width="9" style="113" customWidth="1"/>
    <col min="8455" max="8455" width="8.81640625" style="113" bestFit="1" customWidth="1"/>
    <col min="8456" max="8456" width="8.453125" style="113" bestFit="1" customWidth="1"/>
    <col min="8457" max="8457" width="8.81640625" style="113" bestFit="1" customWidth="1"/>
    <col min="8458" max="8458" width="8.453125" style="113" bestFit="1" customWidth="1"/>
    <col min="8459" max="8459" width="4.81640625" style="113" customWidth="1"/>
    <col min="8460" max="8460" width="9.54296875" style="113" customWidth="1"/>
    <col min="8461" max="8461" width="2.453125" style="113" customWidth="1"/>
    <col min="8462" max="8463" width="9.54296875" style="113" customWidth="1"/>
    <col min="8464" max="8464" width="1.54296875" style="113" customWidth="1"/>
    <col min="8465" max="8472" width="9.54296875" style="113" customWidth="1"/>
    <col min="8473" max="8474" width="11.453125" style="113"/>
    <col min="8475" max="8475" width="1.54296875" style="113" customWidth="1"/>
    <col min="8476" max="8477" width="11.453125" style="113"/>
    <col min="8478" max="8478" width="1.54296875" style="113" customWidth="1"/>
    <col min="8479" max="8694" width="11.453125" style="113"/>
    <col min="8695" max="8695" width="1.453125" style="113" customWidth="1"/>
    <col min="8696" max="8696" width="15.81640625" style="113" customWidth="1"/>
    <col min="8697" max="8697" width="49.81640625" style="113" bestFit="1" customWidth="1"/>
    <col min="8698" max="8698" width="8.81640625" style="113" bestFit="1" customWidth="1"/>
    <col min="8699" max="8699" width="8.81640625" style="113" customWidth="1"/>
    <col min="8700" max="8700" width="8.54296875" style="113" bestFit="1" customWidth="1"/>
    <col min="8701" max="8701" width="8.81640625" style="113" bestFit="1" customWidth="1"/>
    <col min="8702" max="8702" width="9.81640625" style="113" customWidth="1"/>
    <col min="8703" max="8703" width="2.453125" style="113" customWidth="1"/>
    <col min="8704" max="8704" width="9.54296875" style="113" customWidth="1"/>
    <col min="8705" max="8705" width="9.453125" style="113" customWidth="1"/>
    <col min="8706" max="8706" width="1.54296875" style="113" customWidth="1"/>
    <col min="8707" max="8707" width="8.81640625" style="113" bestFit="1" customWidth="1"/>
    <col min="8708" max="8708" width="8.453125" style="113" bestFit="1" customWidth="1"/>
    <col min="8709" max="8709" width="9.54296875" style="113" customWidth="1"/>
    <col min="8710" max="8710" width="9" style="113" customWidth="1"/>
    <col min="8711" max="8711" width="8.81640625" style="113" bestFit="1" customWidth="1"/>
    <col min="8712" max="8712" width="8.453125" style="113" bestFit="1" customWidth="1"/>
    <col min="8713" max="8713" width="8.81640625" style="113" bestFit="1" customWidth="1"/>
    <col min="8714" max="8714" width="8.453125" style="113" bestFit="1" customWidth="1"/>
    <col min="8715" max="8715" width="4.81640625" style="113" customWidth="1"/>
    <col min="8716" max="8716" width="9.54296875" style="113" customWidth="1"/>
    <col min="8717" max="8717" width="2.453125" style="113" customWidth="1"/>
    <col min="8718" max="8719" width="9.54296875" style="113" customWidth="1"/>
    <col min="8720" max="8720" width="1.54296875" style="113" customWidth="1"/>
    <col min="8721" max="8728" width="9.54296875" style="113" customWidth="1"/>
    <col min="8729" max="8730" width="11.453125" style="113"/>
    <col min="8731" max="8731" width="1.54296875" style="113" customWidth="1"/>
    <col min="8732" max="8733" width="11.453125" style="113"/>
    <col min="8734" max="8734" width="1.54296875" style="113" customWidth="1"/>
    <col min="8735" max="8950" width="11.453125" style="113"/>
    <col min="8951" max="8951" width="1.453125" style="113" customWidth="1"/>
    <col min="8952" max="8952" width="15.81640625" style="113" customWidth="1"/>
    <col min="8953" max="8953" width="49.81640625" style="113" bestFit="1" customWidth="1"/>
    <col min="8954" max="8954" width="8.81640625" style="113" bestFit="1" customWidth="1"/>
    <col min="8955" max="8955" width="8.81640625" style="113" customWidth="1"/>
    <col min="8956" max="8956" width="8.54296875" style="113" bestFit="1" customWidth="1"/>
    <col min="8957" max="8957" width="8.81640625" style="113" bestFit="1" customWidth="1"/>
    <col min="8958" max="8958" width="9.81640625" style="113" customWidth="1"/>
    <col min="8959" max="8959" width="2.453125" style="113" customWidth="1"/>
    <col min="8960" max="8960" width="9.54296875" style="113" customWidth="1"/>
    <col min="8961" max="8961" width="9.453125" style="113" customWidth="1"/>
    <col min="8962" max="8962" width="1.54296875" style="113" customWidth="1"/>
    <col min="8963" max="8963" width="8.81640625" style="113" bestFit="1" customWidth="1"/>
    <col min="8964" max="8964" width="8.453125" style="113" bestFit="1" customWidth="1"/>
    <col min="8965" max="8965" width="9.54296875" style="113" customWidth="1"/>
    <col min="8966" max="8966" width="9" style="113" customWidth="1"/>
    <col min="8967" max="8967" width="8.81640625" style="113" bestFit="1" customWidth="1"/>
    <col min="8968" max="8968" width="8.453125" style="113" bestFit="1" customWidth="1"/>
    <col min="8969" max="8969" width="8.81640625" style="113" bestFit="1" customWidth="1"/>
    <col min="8970" max="8970" width="8.453125" style="113" bestFit="1" customWidth="1"/>
    <col min="8971" max="8971" width="4.81640625" style="113" customWidth="1"/>
    <col min="8972" max="8972" width="9.54296875" style="113" customWidth="1"/>
    <col min="8973" max="8973" width="2.453125" style="113" customWidth="1"/>
    <col min="8974" max="8975" width="9.54296875" style="113" customWidth="1"/>
    <col min="8976" max="8976" width="1.54296875" style="113" customWidth="1"/>
    <col min="8977" max="8984" width="9.54296875" style="113" customWidth="1"/>
    <col min="8985" max="8986" width="11.453125" style="113"/>
    <col min="8987" max="8987" width="1.54296875" style="113" customWidth="1"/>
    <col min="8988" max="8989" width="11.453125" style="113"/>
    <col min="8990" max="8990" width="1.54296875" style="113" customWidth="1"/>
    <col min="8991" max="9206" width="11.453125" style="113"/>
    <col min="9207" max="9207" width="1.453125" style="113" customWidth="1"/>
    <col min="9208" max="9208" width="15.81640625" style="113" customWidth="1"/>
    <col min="9209" max="9209" width="49.81640625" style="113" bestFit="1" customWidth="1"/>
    <col min="9210" max="9210" width="8.81640625" style="113" bestFit="1" customWidth="1"/>
    <col min="9211" max="9211" width="8.81640625" style="113" customWidth="1"/>
    <col min="9212" max="9212" width="8.54296875" style="113" bestFit="1" customWidth="1"/>
    <col min="9213" max="9213" width="8.81640625" style="113" bestFit="1" customWidth="1"/>
    <col min="9214" max="9214" width="9.81640625" style="113" customWidth="1"/>
    <col min="9215" max="9215" width="2.453125" style="113" customWidth="1"/>
    <col min="9216" max="9216" width="9.54296875" style="113" customWidth="1"/>
    <col min="9217" max="9217" width="9.453125" style="113" customWidth="1"/>
    <col min="9218" max="9218" width="1.54296875" style="113" customWidth="1"/>
    <col min="9219" max="9219" width="8.81640625" style="113" bestFit="1" customWidth="1"/>
    <col min="9220" max="9220" width="8.453125" style="113" bestFit="1" customWidth="1"/>
    <col min="9221" max="9221" width="9.54296875" style="113" customWidth="1"/>
    <col min="9222" max="9222" width="9" style="113" customWidth="1"/>
    <col min="9223" max="9223" width="8.81640625" style="113" bestFit="1" customWidth="1"/>
    <col min="9224" max="9224" width="8.453125" style="113" bestFit="1" customWidth="1"/>
    <col min="9225" max="9225" width="8.81640625" style="113" bestFit="1" customWidth="1"/>
    <col min="9226" max="9226" width="8.453125" style="113" bestFit="1" customWidth="1"/>
    <col min="9227" max="9227" width="4.81640625" style="113" customWidth="1"/>
    <col min="9228" max="9228" width="9.54296875" style="113" customWidth="1"/>
    <col min="9229" max="9229" width="2.453125" style="113" customWidth="1"/>
    <col min="9230" max="9231" width="9.54296875" style="113" customWidth="1"/>
    <col min="9232" max="9232" width="1.54296875" style="113" customWidth="1"/>
    <col min="9233" max="9240" width="9.54296875" style="113" customWidth="1"/>
    <col min="9241" max="9242" width="11.453125" style="113"/>
    <col min="9243" max="9243" width="1.54296875" style="113" customWidth="1"/>
    <col min="9244" max="9245" width="11.453125" style="113"/>
    <col min="9246" max="9246" width="1.54296875" style="113" customWidth="1"/>
    <col min="9247" max="9462" width="11.453125" style="113"/>
    <col min="9463" max="9463" width="1.453125" style="113" customWidth="1"/>
    <col min="9464" max="9464" width="15.81640625" style="113" customWidth="1"/>
    <col min="9465" max="9465" width="49.81640625" style="113" bestFit="1" customWidth="1"/>
    <col min="9466" max="9466" width="8.81640625" style="113" bestFit="1" customWidth="1"/>
    <col min="9467" max="9467" width="8.81640625" style="113" customWidth="1"/>
    <col min="9468" max="9468" width="8.54296875" style="113" bestFit="1" customWidth="1"/>
    <col min="9469" max="9469" width="8.81640625" style="113" bestFit="1" customWidth="1"/>
    <col min="9470" max="9470" width="9.81640625" style="113" customWidth="1"/>
    <col min="9471" max="9471" width="2.453125" style="113" customWidth="1"/>
    <col min="9472" max="9472" width="9.54296875" style="113" customWidth="1"/>
    <col min="9473" max="9473" width="9.453125" style="113" customWidth="1"/>
    <col min="9474" max="9474" width="1.54296875" style="113" customWidth="1"/>
    <col min="9475" max="9475" width="8.81640625" style="113" bestFit="1" customWidth="1"/>
    <col min="9476" max="9476" width="8.453125" style="113" bestFit="1" customWidth="1"/>
    <col min="9477" max="9477" width="9.54296875" style="113" customWidth="1"/>
    <col min="9478" max="9478" width="9" style="113" customWidth="1"/>
    <col min="9479" max="9479" width="8.81640625" style="113" bestFit="1" customWidth="1"/>
    <col min="9480" max="9480" width="8.453125" style="113" bestFit="1" customWidth="1"/>
    <col min="9481" max="9481" width="8.81640625" style="113" bestFit="1" customWidth="1"/>
    <col min="9482" max="9482" width="8.453125" style="113" bestFit="1" customWidth="1"/>
    <col min="9483" max="9483" width="4.81640625" style="113" customWidth="1"/>
    <col min="9484" max="9484" width="9.54296875" style="113" customWidth="1"/>
    <col min="9485" max="9485" width="2.453125" style="113" customWidth="1"/>
    <col min="9486" max="9487" width="9.54296875" style="113" customWidth="1"/>
    <col min="9488" max="9488" width="1.54296875" style="113" customWidth="1"/>
    <col min="9489" max="9496" width="9.54296875" style="113" customWidth="1"/>
    <col min="9497" max="9498" width="11.453125" style="113"/>
    <col min="9499" max="9499" width="1.54296875" style="113" customWidth="1"/>
    <col min="9500" max="9501" width="11.453125" style="113"/>
    <col min="9502" max="9502" width="1.54296875" style="113" customWidth="1"/>
    <col min="9503" max="9718" width="11.453125" style="113"/>
    <col min="9719" max="9719" width="1.453125" style="113" customWidth="1"/>
    <col min="9720" max="9720" width="15.81640625" style="113" customWidth="1"/>
    <col min="9721" max="9721" width="49.81640625" style="113" bestFit="1" customWidth="1"/>
    <col min="9722" max="9722" width="8.81640625" style="113" bestFit="1" customWidth="1"/>
    <col min="9723" max="9723" width="8.81640625" style="113" customWidth="1"/>
    <col min="9724" max="9724" width="8.54296875" style="113" bestFit="1" customWidth="1"/>
    <col min="9725" max="9725" width="8.81640625" style="113" bestFit="1" customWidth="1"/>
    <col min="9726" max="9726" width="9.81640625" style="113" customWidth="1"/>
    <col min="9727" max="9727" width="2.453125" style="113" customWidth="1"/>
    <col min="9728" max="9728" width="9.54296875" style="113" customWidth="1"/>
    <col min="9729" max="9729" width="9.453125" style="113" customWidth="1"/>
    <col min="9730" max="9730" width="1.54296875" style="113" customWidth="1"/>
    <col min="9731" max="9731" width="8.81640625" style="113" bestFit="1" customWidth="1"/>
    <col min="9732" max="9732" width="8.453125" style="113" bestFit="1" customWidth="1"/>
    <col min="9733" max="9733" width="9.54296875" style="113" customWidth="1"/>
    <col min="9734" max="9734" width="9" style="113" customWidth="1"/>
    <col min="9735" max="9735" width="8.81640625" style="113" bestFit="1" customWidth="1"/>
    <col min="9736" max="9736" width="8.453125" style="113" bestFit="1" customWidth="1"/>
    <col min="9737" max="9737" width="8.81640625" style="113" bestFit="1" customWidth="1"/>
    <col min="9738" max="9738" width="8.453125" style="113" bestFit="1" customWidth="1"/>
    <col min="9739" max="9739" width="4.81640625" style="113" customWidth="1"/>
    <col min="9740" max="9740" width="9.54296875" style="113" customWidth="1"/>
    <col min="9741" max="9741" width="2.453125" style="113" customWidth="1"/>
    <col min="9742" max="9743" width="9.54296875" style="113" customWidth="1"/>
    <col min="9744" max="9744" width="1.54296875" style="113" customWidth="1"/>
    <col min="9745" max="9752" width="9.54296875" style="113" customWidth="1"/>
    <col min="9753" max="9754" width="11.453125" style="113"/>
    <col min="9755" max="9755" width="1.54296875" style="113" customWidth="1"/>
    <col min="9756" max="9757" width="11.453125" style="113"/>
    <col min="9758" max="9758" width="1.54296875" style="113" customWidth="1"/>
    <col min="9759" max="9974" width="11.453125" style="113"/>
    <col min="9975" max="9975" width="1.453125" style="113" customWidth="1"/>
    <col min="9976" max="9976" width="15.81640625" style="113" customWidth="1"/>
    <col min="9977" max="9977" width="49.81640625" style="113" bestFit="1" customWidth="1"/>
    <col min="9978" max="9978" width="8.81640625" style="113" bestFit="1" customWidth="1"/>
    <col min="9979" max="9979" width="8.81640625" style="113" customWidth="1"/>
    <col min="9980" max="9980" width="8.54296875" style="113" bestFit="1" customWidth="1"/>
    <col min="9981" max="9981" width="8.81640625" style="113" bestFit="1" customWidth="1"/>
    <col min="9982" max="9982" width="9.81640625" style="113" customWidth="1"/>
    <col min="9983" max="9983" width="2.453125" style="113" customWidth="1"/>
    <col min="9984" max="9984" width="9.54296875" style="113" customWidth="1"/>
    <col min="9985" max="9985" width="9.453125" style="113" customWidth="1"/>
    <col min="9986" max="9986" width="1.54296875" style="113" customWidth="1"/>
    <col min="9987" max="9987" width="8.81640625" style="113" bestFit="1" customWidth="1"/>
    <col min="9988" max="9988" width="8.453125" style="113" bestFit="1" customWidth="1"/>
    <col min="9989" max="9989" width="9.54296875" style="113" customWidth="1"/>
    <col min="9990" max="9990" width="9" style="113" customWidth="1"/>
    <col min="9991" max="9991" width="8.81640625" style="113" bestFit="1" customWidth="1"/>
    <col min="9992" max="9992" width="8.453125" style="113" bestFit="1" customWidth="1"/>
    <col min="9993" max="9993" width="8.81640625" style="113" bestFit="1" customWidth="1"/>
    <col min="9994" max="9994" width="8.453125" style="113" bestFit="1" customWidth="1"/>
    <col min="9995" max="9995" width="4.81640625" style="113" customWidth="1"/>
    <col min="9996" max="9996" width="9.54296875" style="113" customWidth="1"/>
    <col min="9997" max="9997" width="2.453125" style="113" customWidth="1"/>
    <col min="9998" max="9999" width="9.54296875" style="113" customWidth="1"/>
    <col min="10000" max="10000" width="1.54296875" style="113" customWidth="1"/>
    <col min="10001" max="10008" width="9.54296875" style="113" customWidth="1"/>
    <col min="10009" max="10010" width="11.453125" style="113"/>
    <col min="10011" max="10011" width="1.54296875" style="113" customWidth="1"/>
    <col min="10012" max="10013" width="11.453125" style="113"/>
    <col min="10014" max="10014" width="1.54296875" style="113" customWidth="1"/>
    <col min="10015" max="10230" width="11.453125" style="113"/>
    <col min="10231" max="10231" width="1.453125" style="113" customWidth="1"/>
    <col min="10232" max="10232" width="15.81640625" style="113" customWidth="1"/>
    <col min="10233" max="10233" width="49.81640625" style="113" bestFit="1" customWidth="1"/>
    <col min="10234" max="10234" width="8.81640625" style="113" bestFit="1" customWidth="1"/>
    <col min="10235" max="10235" width="8.81640625" style="113" customWidth="1"/>
    <col min="10236" max="10236" width="8.54296875" style="113" bestFit="1" customWidth="1"/>
    <col min="10237" max="10237" width="8.81640625" style="113" bestFit="1" customWidth="1"/>
    <col min="10238" max="10238" width="9.81640625" style="113" customWidth="1"/>
    <col min="10239" max="10239" width="2.453125" style="113" customWidth="1"/>
    <col min="10240" max="10240" width="9.54296875" style="113" customWidth="1"/>
    <col min="10241" max="10241" width="9.453125" style="113" customWidth="1"/>
    <col min="10242" max="10242" width="1.54296875" style="113" customWidth="1"/>
    <col min="10243" max="10243" width="8.81640625" style="113" bestFit="1" customWidth="1"/>
    <col min="10244" max="10244" width="8.453125" style="113" bestFit="1" customWidth="1"/>
    <col min="10245" max="10245" width="9.54296875" style="113" customWidth="1"/>
    <col min="10246" max="10246" width="9" style="113" customWidth="1"/>
    <col min="10247" max="10247" width="8.81640625" style="113" bestFit="1" customWidth="1"/>
    <col min="10248" max="10248" width="8.453125" style="113" bestFit="1" customWidth="1"/>
    <col min="10249" max="10249" width="8.81640625" style="113" bestFit="1" customWidth="1"/>
    <col min="10250" max="10250" width="8.453125" style="113" bestFit="1" customWidth="1"/>
    <col min="10251" max="10251" width="4.81640625" style="113" customWidth="1"/>
    <col min="10252" max="10252" width="9.54296875" style="113" customWidth="1"/>
    <col min="10253" max="10253" width="2.453125" style="113" customWidth="1"/>
    <col min="10254" max="10255" width="9.54296875" style="113" customWidth="1"/>
    <col min="10256" max="10256" width="1.54296875" style="113" customWidth="1"/>
    <col min="10257" max="10264" width="9.54296875" style="113" customWidth="1"/>
    <col min="10265" max="10266" width="11.453125" style="113"/>
    <col min="10267" max="10267" width="1.54296875" style="113" customWidth="1"/>
    <col min="10268" max="10269" width="11.453125" style="113"/>
    <col min="10270" max="10270" width="1.54296875" style="113" customWidth="1"/>
    <col min="10271" max="10486" width="11.453125" style="113"/>
    <col min="10487" max="10487" width="1.453125" style="113" customWidth="1"/>
    <col min="10488" max="10488" width="15.81640625" style="113" customWidth="1"/>
    <col min="10489" max="10489" width="49.81640625" style="113" bestFit="1" customWidth="1"/>
    <col min="10490" max="10490" width="8.81640625" style="113" bestFit="1" customWidth="1"/>
    <col min="10491" max="10491" width="8.81640625" style="113" customWidth="1"/>
    <col min="10492" max="10492" width="8.54296875" style="113" bestFit="1" customWidth="1"/>
    <col min="10493" max="10493" width="8.81640625" style="113" bestFit="1" customWidth="1"/>
    <col min="10494" max="10494" width="9.81640625" style="113" customWidth="1"/>
    <col min="10495" max="10495" width="2.453125" style="113" customWidth="1"/>
    <col min="10496" max="10496" width="9.54296875" style="113" customWidth="1"/>
    <col min="10497" max="10497" width="9.453125" style="113" customWidth="1"/>
    <col min="10498" max="10498" width="1.54296875" style="113" customWidth="1"/>
    <col min="10499" max="10499" width="8.81640625" style="113" bestFit="1" customWidth="1"/>
    <col min="10500" max="10500" width="8.453125" style="113" bestFit="1" customWidth="1"/>
    <col min="10501" max="10501" width="9.54296875" style="113" customWidth="1"/>
    <col min="10502" max="10502" width="9" style="113" customWidth="1"/>
    <col min="10503" max="10503" width="8.81640625" style="113" bestFit="1" customWidth="1"/>
    <col min="10504" max="10504" width="8.453125" style="113" bestFit="1" customWidth="1"/>
    <col min="10505" max="10505" width="8.81640625" style="113" bestFit="1" customWidth="1"/>
    <col min="10506" max="10506" width="8.453125" style="113" bestFit="1" customWidth="1"/>
    <col min="10507" max="10507" width="4.81640625" style="113" customWidth="1"/>
    <col min="10508" max="10508" width="9.54296875" style="113" customWidth="1"/>
    <col min="10509" max="10509" width="2.453125" style="113" customWidth="1"/>
    <col min="10510" max="10511" width="9.54296875" style="113" customWidth="1"/>
    <col min="10512" max="10512" width="1.54296875" style="113" customWidth="1"/>
    <col min="10513" max="10520" width="9.54296875" style="113" customWidth="1"/>
    <col min="10521" max="10522" width="11.453125" style="113"/>
    <col min="10523" max="10523" width="1.54296875" style="113" customWidth="1"/>
    <col min="10524" max="10525" width="11.453125" style="113"/>
    <col min="10526" max="10526" width="1.54296875" style="113" customWidth="1"/>
    <col min="10527" max="10742" width="11.453125" style="113"/>
    <col min="10743" max="10743" width="1.453125" style="113" customWidth="1"/>
    <col min="10744" max="10744" width="15.81640625" style="113" customWidth="1"/>
    <col min="10745" max="10745" width="49.81640625" style="113" bestFit="1" customWidth="1"/>
    <col min="10746" max="10746" width="8.81640625" style="113" bestFit="1" customWidth="1"/>
    <col min="10747" max="10747" width="8.81640625" style="113" customWidth="1"/>
    <col min="10748" max="10748" width="8.54296875" style="113" bestFit="1" customWidth="1"/>
    <col min="10749" max="10749" width="8.81640625" style="113" bestFit="1" customWidth="1"/>
    <col min="10750" max="10750" width="9.81640625" style="113" customWidth="1"/>
    <col min="10751" max="10751" width="2.453125" style="113" customWidth="1"/>
    <col min="10752" max="10752" width="9.54296875" style="113" customWidth="1"/>
    <col min="10753" max="10753" width="9.453125" style="113" customWidth="1"/>
    <col min="10754" max="10754" width="1.54296875" style="113" customWidth="1"/>
    <col min="10755" max="10755" width="8.81640625" style="113" bestFit="1" customWidth="1"/>
    <col min="10756" max="10756" width="8.453125" style="113" bestFit="1" customWidth="1"/>
    <col min="10757" max="10757" width="9.54296875" style="113" customWidth="1"/>
    <col min="10758" max="10758" width="9" style="113" customWidth="1"/>
    <col min="10759" max="10759" width="8.81640625" style="113" bestFit="1" customWidth="1"/>
    <col min="10760" max="10760" width="8.453125" style="113" bestFit="1" customWidth="1"/>
    <col min="10761" max="10761" width="8.81640625" style="113" bestFit="1" customWidth="1"/>
    <col min="10762" max="10762" width="8.453125" style="113" bestFit="1" customWidth="1"/>
    <col min="10763" max="10763" width="4.81640625" style="113" customWidth="1"/>
    <col min="10764" max="10764" width="9.54296875" style="113" customWidth="1"/>
    <col min="10765" max="10765" width="2.453125" style="113" customWidth="1"/>
    <col min="10766" max="10767" width="9.54296875" style="113" customWidth="1"/>
    <col min="10768" max="10768" width="1.54296875" style="113" customWidth="1"/>
    <col min="10769" max="10776" width="9.54296875" style="113" customWidth="1"/>
    <col min="10777" max="10778" width="11.453125" style="113"/>
    <col min="10779" max="10779" width="1.54296875" style="113" customWidth="1"/>
    <col min="10780" max="10781" width="11.453125" style="113"/>
    <col min="10782" max="10782" width="1.54296875" style="113" customWidth="1"/>
    <col min="10783" max="10998" width="11.453125" style="113"/>
    <col min="10999" max="10999" width="1.453125" style="113" customWidth="1"/>
    <col min="11000" max="11000" width="15.81640625" style="113" customWidth="1"/>
    <col min="11001" max="11001" width="49.81640625" style="113" bestFit="1" customWidth="1"/>
    <col min="11002" max="11002" width="8.81640625" style="113" bestFit="1" customWidth="1"/>
    <col min="11003" max="11003" width="8.81640625" style="113" customWidth="1"/>
    <col min="11004" max="11004" width="8.54296875" style="113" bestFit="1" customWidth="1"/>
    <col min="11005" max="11005" width="8.81640625" style="113" bestFit="1" customWidth="1"/>
    <col min="11006" max="11006" width="9.81640625" style="113" customWidth="1"/>
    <col min="11007" max="11007" width="2.453125" style="113" customWidth="1"/>
    <col min="11008" max="11008" width="9.54296875" style="113" customWidth="1"/>
    <col min="11009" max="11009" width="9.453125" style="113" customWidth="1"/>
    <col min="11010" max="11010" width="1.54296875" style="113" customWidth="1"/>
    <col min="11011" max="11011" width="8.81640625" style="113" bestFit="1" customWidth="1"/>
    <col min="11012" max="11012" width="8.453125" style="113" bestFit="1" customWidth="1"/>
    <col min="11013" max="11013" width="9.54296875" style="113" customWidth="1"/>
    <col min="11014" max="11014" width="9" style="113" customWidth="1"/>
    <col min="11015" max="11015" width="8.81640625" style="113" bestFit="1" customWidth="1"/>
    <col min="11016" max="11016" width="8.453125" style="113" bestFit="1" customWidth="1"/>
    <col min="11017" max="11017" width="8.81640625" style="113" bestFit="1" customWidth="1"/>
    <col min="11018" max="11018" width="8.453125" style="113" bestFit="1" customWidth="1"/>
    <col min="11019" max="11019" width="4.81640625" style="113" customWidth="1"/>
    <col min="11020" max="11020" width="9.54296875" style="113" customWidth="1"/>
    <col min="11021" max="11021" width="2.453125" style="113" customWidth="1"/>
    <col min="11022" max="11023" width="9.54296875" style="113" customWidth="1"/>
    <col min="11024" max="11024" width="1.54296875" style="113" customWidth="1"/>
    <col min="11025" max="11032" width="9.54296875" style="113" customWidth="1"/>
    <col min="11033" max="11034" width="11.453125" style="113"/>
    <col min="11035" max="11035" width="1.54296875" style="113" customWidth="1"/>
    <col min="11036" max="11037" width="11.453125" style="113"/>
    <col min="11038" max="11038" width="1.54296875" style="113" customWidth="1"/>
    <col min="11039" max="11254" width="11.453125" style="113"/>
    <col min="11255" max="11255" width="1.453125" style="113" customWidth="1"/>
    <col min="11256" max="11256" width="15.81640625" style="113" customWidth="1"/>
    <col min="11257" max="11257" width="49.81640625" style="113" bestFit="1" customWidth="1"/>
    <col min="11258" max="11258" width="8.81640625" style="113" bestFit="1" customWidth="1"/>
    <col min="11259" max="11259" width="8.81640625" style="113" customWidth="1"/>
    <col min="11260" max="11260" width="8.54296875" style="113" bestFit="1" customWidth="1"/>
    <col min="11261" max="11261" width="8.81640625" style="113" bestFit="1" customWidth="1"/>
    <col min="11262" max="11262" width="9.81640625" style="113" customWidth="1"/>
    <col min="11263" max="11263" width="2.453125" style="113" customWidth="1"/>
    <col min="11264" max="11264" width="9.54296875" style="113" customWidth="1"/>
    <col min="11265" max="11265" width="9.453125" style="113" customWidth="1"/>
    <col min="11266" max="11266" width="1.54296875" style="113" customWidth="1"/>
    <col min="11267" max="11267" width="8.81640625" style="113" bestFit="1" customWidth="1"/>
    <col min="11268" max="11268" width="8.453125" style="113" bestFit="1" customWidth="1"/>
    <col min="11269" max="11269" width="9.54296875" style="113" customWidth="1"/>
    <col min="11270" max="11270" width="9" style="113" customWidth="1"/>
    <col min="11271" max="11271" width="8.81640625" style="113" bestFit="1" customWidth="1"/>
    <col min="11272" max="11272" width="8.453125" style="113" bestFit="1" customWidth="1"/>
    <col min="11273" max="11273" width="8.81640625" style="113" bestFit="1" customWidth="1"/>
    <col min="11274" max="11274" width="8.453125" style="113" bestFit="1" customWidth="1"/>
    <col min="11275" max="11275" width="4.81640625" style="113" customWidth="1"/>
    <col min="11276" max="11276" width="9.54296875" style="113" customWidth="1"/>
    <col min="11277" max="11277" width="2.453125" style="113" customWidth="1"/>
    <col min="11278" max="11279" width="9.54296875" style="113" customWidth="1"/>
    <col min="11280" max="11280" width="1.54296875" style="113" customWidth="1"/>
    <col min="11281" max="11288" width="9.54296875" style="113" customWidth="1"/>
    <col min="11289" max="11290" width="11.453125" style="113"/>
    <col min="11291" max="11291" width="1.54296875" style="113" customWidth="1"/>
    <col min="11292" max="11293" width="11.453125" style="113"/>
    <col min="11294" max="11294" width="1.54296875" style="113" customWidth="1"/>
    <col min="11295" max="11510" width="11.453125" style="113"/>
    <col min="11511" max="11511" width="1.453125" style="113" customWidth="1"/>
    <col min="11512" max="11512" width="15.81640625" style="113" customWidth="1"/>
    <col min="11513" max="11513" width="49.81640625" style="113" bestFit="1" customWidth="1"/>
    <col min="11514" max="11514" width="8.81640625" style="113" bestFit="1" customWidth="1"/>
    <col min="11515" max="11515" width="8.81640625" style="113" customWidth="1"/>
    <col min="11516" max="11516" width="8.54296875" style="113" bestFit="1" customWidth="1"/>
    <col min="11517" max="11517" width="8.81640625" style="113" bestFit="1" customWidth="1"/>
    <col min="11518" max="11518" width="9.81640625" style="113" customWidth="1"/>
    <col min="11519" max="11519" width="2.453125" style="113" customWidth="1"/>
    <col min="11520" max="11520" width="9.54296875" style="113" customWidth="1"/>
    <col min="11521" max="11521" width="9.453125" style="113" customWidth="1"/>
    <col min="11522" max="11522" width="1.54296875" style="113" customWidth="1"/>
    <col min="11523" max="11523" width="8.81640625" style="113" bestFit="1" customWidth="1"/>
    <col min="11524" max="11524" width="8.453125" style="113" bestFit="1" customWidth="1"/>
    <col min="11525" max="11525" width="9.54296875" style="113" customWidth="1"/>
    <col min="11526" max="11526" width="9" style="113" customWidth="1"/>
    <col min="11527" max="11527" width="8.81640625" style="113" bestFit="1" customWidth="1"/>
    <col min="11528" max="11528" width="8.453125" style="113" bestFit="1" customWidth="1"/>
    <col min="11529" max="11529" width="8.81640625" style="113" bestFit="1" customWidth="1"/>
    <col min="11530" max="11530" width="8.453125" style="113" bestFit="1" customWidth="1"/>
    <col min="11531" max="11531" width="4.81640625" style="113" customWidth="1"/>
    <col min="11532" max="11532" width="9.54296875" style="113" customWidth="1"/>
    <col min="11533" max="11533" width="2.453125" style="113" customWidth="1"/>
    <col min="11534" max="11535" width="9.54296875" style="113" customWidth="1"/>
    <col min="11536" max="11536" width="1.54296875" style="113" customWidth="1"/>
    <col min="11537" max="11544" width="9.54296875" style="113" customWidth="1"/>
    <col min="11545" max="11546" width="11.453125" style="113"/>
    <col min="11547" max="11547" width="1.54296875" style="113" customWidth="1"/>
    <col min="11548" max="11549" width="11.453125" style="113"/>
    <col min="11550" max="11550" width="1.54296875" style="113" customWidth="1"/>
    <col min="11551" max="11766" width="11.453125" style="113"/>
    <col min="11767" max="11767" width="1.453125" style="113" customWidth="1"/>
    <col min="11768" max="11768" width="15.81640625" style="113" customWidth="1"/>
    <col min="11769" max="11769" width="49.81640625" style="113" bestFit="1" customWidth="1"/>
    <col min="11770" max="11770" width="8.81640625" style="113" bestFit="1" customWidth="1"/>
    <col min="11771" max="11771" width="8.81640625" style="113" customWidth="1"/>
    <col min="11772" max="11772" width="8.54296875" style="113" bestFit="1" customWidth="1"/>
    <col min="11773" max="11773" width="8.81640625" style="113" bestFit="1" customWidth="1"/>
    <col min="11774" max="11774" width="9.81640625" style="113" customWidth="1"/>
    <col min="11775" max="11775" width="2.453125" style="113" customWidth="1"/>
    <col min="11776" max="11776" width="9.54296875" style="113" customWidth="1"/>
    <col min="11777" max="11777" width="9.453125" style="113" customWidth="1"/>
    <col min="11778" max="11778" width="1.54296875" style="113" customWidth="1"/>
    <col min="11779" max="11779" width="8.81640625" style="113" bestFit="1" customWidth="1"/>
    <col min="11780" max="11780" width="8.453125" style="113" bestFit="1" customWidth="1"/>
    <col min="11781" max="11781" width="9.54296875" style="113" customWidth="1"/>
    <col min="11782" max="11782" width="9" style="113" customWidth="1"/>
    <col min="11783" max="11783" width="8.81640625" style="113" bestFit="1" customWidth="1"/>
    <col min="11784" max="11784" width="8.453125" style="113" bestFit="1" customWidth="1"/>
    <col min="11785" max="11785" width="8.81640625" style="113" bestFit="1" customWidth="1"/>
    <col min="11786" max="11786" width="8.453125" style="113" bestFit="1" customWidth="1"/>
    <col min="11787" max="11787" width="4.81640625" style="113" customWidth="1"/>
    <col min="11788" max="11788" width="9.54296875" style="113" customWidth="1"/>
    <col min="11789" max="11789" width="2.453125" style="113" customWidth="1"/>
    <col min="11790" max="11791" width="9.54296875" style="113" customWidth="1"/>
    <col min="11792" max="11792" width="1.54296875" style="113" customWidth="1"/>
    <col min="11793" max="11800" width="9.54296875" style="113" customWidth="1"/>
    <col min="11801" max="11802" width="11.453125" style="113"/>
    <col min="11803" max="11803" width="1.54296875" style="113" customWidth="1"/>
    <col min="11804" max="11805" width="11.453125" style="113"/>
    <col min="11806" max="11806" width="1.54296875" style="113" customWidth="1"/>
    <col min="11807" max="12022" width="11.453125" style="113"/>
    <col min="12023" max="12023" width="1.453125" style="113" customWidth="1"/>
    <col min="12024" max="12024" width="15.81640625" style="113" customWidth="1"/>
    <col min="12025" max="12025" width="49.81640625" style="113" bestFit="1" customWidth="1"/>
    <col min="12026" max="12026" width="8.81640625" style="113" bestFit="1" customWidth="1"/>
    <col min="12027" max="12027" width="8.81640625" style="113" customWidth="1"/>
    <col min="12028" max="12028" width="8.54296875" style="113" bestFit="1" customWidth="1"/>
    <col min="12029" max="12029" width="8.81640625" style="113" bestFit="1" customWidth="1"/>
    <col min="12030" max="12030" width="9.81640625" style="113" customWidth="1"/>
    <col min="12031" max="12031" width="2.453125" style="113" customWidth="1"/>
    <col min="12032" max="12032" width="9.54296875" style="113" customWidth="1"/>
    <col min="12033" max="12033" width="9.453125" style="113" customWidth="1"/>
    <col min="12034" max="12034" width="1.54296875" style="113" customWidth="1"/>
    <col min="12035" max="12035" width="8.81640625" style="113" bestFit="1" customWidth="1"/>
    <col min="12036" max="12036" width="8.453125" style="113" bestFit="1" customWidth="1"/>
    <col min="12037" max="12037" width="9.54296875" style="113" customWidth="1"/>
    <col min="12038" max="12038" width="9" style="113" customWidth="1"/>
    <col min="12039" max="12039" width="8.81640625" style="113" bestFit="1" customWidth="1"/>
    <col min="12040" max="12040" width="8.453125" style="113" bestFit="1" customWidth="1"/>
    <col min="12041" max="12041" width="8.81640625" style="113" bestFit="1" customWidth="1"/>
    <col min="12042" max="12042" width="8.453125" style="113" bestFit="1" customWidth="1"/>
    <col min="12043" max="12043" width="4.81640625" style="113" customWidth="1"/>
    <col min="12044" max="12044" width="9.54296875" style="113" customWidth="1"/>
    <col min="12045" max="12045" width="2.453125" style="113" customWidth="1"/>
    <col min="12046" max="12047" width="9.54296875" style="113" customWidth="1"/>
    <col min="12048" max="12048" width="1.54296875" style="113" customWidth="1"/>
    <col min="12049" max="12056" width="9.54296875" style="113" customWidth="1"/>
    <col min="12057" max="12058" width="11.453125" style="113"/>
    <col min="12059" max="12059" width="1.54296875" style="113" customWidth="1"/>
    <col min="12060" max="12061" width="11.453125" style="113"/>
    <col min="12062" max="12062" width="1.54296875" style="113" customWidth="1"/>
    <col min="12063" max="12278" width="11.453125" style="113"/>
    <col min="12279" max="12279" width="1.453125" style="113" customWidth="1"/>
    <col min="12280" max="12280" width="15.81640625" style="113" customWidth="1"/>
    <col min="12281" max="12281" width="49.81640625" style="113" bestFit="1" customWidth="1"/>
    <col min="12282" max="12282" width="8.81640625" style="113" bestFit="1" customWidth="1"/>
    <col min="12283" max="12283" width="8.81640625" style="113" customWidth="1"/>
    <col min="12284" max="12284" width="8.54296875" style="113" bestFit="1" customWidth="1"/>
    <col min="12285" max="12285" width="8.81640625" style="113" bestFit="1" customWidth="1"/>
    <col min="12286" max="12286" width="9.81640625" style="113" customWidth="1"/>
    <col min="12287" max="12287" width="2.453125" style="113" customWidth="1"/>
    <col min="12288" max="12288" width="9.54296875" style="113" customWidth="1"/>
    <col min="12289" max="12289" width="9.453125" style="113" customWidth="1"/>
    <col min="12290" max="12290" width="1.54296875" style="113" customWidth="1"/>
    <col min="12291" max="12291" width="8.81640625" style="113" bestFit="1" customWidth="1"/>
    <col min="12292" max="12292" width="8.453125" style="113" bestFit="1" customWidth="1"/>
    <col min="12293" max="12293" width="9.54296875" style="113" customWidth="1"/>
    <col min="12294" max="12294" width="9" style="113" customWidth="1"/>
    <col min="12295" max="12295" width="8.81640625" style="113" bestFit="1" customWidth="1"/>
    <col min="12296" max="12296" width="8.453125" style="113" bestFit="1" customWidth="1"/>
    <col min="12297" max="12297" width="8.81640625" style="113" bestFit="1" customWidth="1"/>
    <col min="12298" max="12298" width="8.453125" style="113" bestFit="1" customWidth="1"/>
    <col min="12299" max="12299" width="4.81640625" style="113" customWidth="1"/>
    <col min="12300" max="12300" width="9.54296875" style="113" customWidth="1"/>
    <col min="12301" max="12301" width="2.453125" style="113" customWidth="1"/>
    <col min="12302" max="12303" width="9.54296875" style="113" customWidth="1"/>
    <col min="12304" max="12304" width="1.54296875" style="113" customWidth="1"/>
    <col min="12305" max="12312" width="9.54296875" style="113" customWidth="1"/>
    <col min="12313" max="12314" width="11.453125" style="113"/>
    <col min="12315" max="12315" width="1.54296875" style="113" customWidth="1"/>
    <col min="12316" max="12317" width="11.453125" style="113"/>
    <col min="12318" max="12318" width="1.54296875" style="113" customWidth="1"/>
    <col min="12319" max="12534" width="11.453125" style="113"/>
    <col min="12535" max="12535" width="1.453125" style="113" customWidth="1"/>
    <col min="12536" max="12536" width="15.81640625" style="113" customWidth="1"/>
    <col min="12537" max="12537" width="49.81640625" style="113" bestFit="1" customWidth="1"/>
    <col min="12538" max="12538" width="8.81640625" style="113" bestFit="1" customWidth="1"/>
    <col min="12539" max="12539" width="8.81640625" style="113" customWidth="1"/>
    <col min="12540" max="12540" width="8.54296875" style="113" bestFit="1" customWidth="1"/>
    <col min="12541" max="12541" width="8.81640625" style="113" bestFit="1" customWidth="1"/>
    <col min="12542" max="12542" width="9.81640625" style="113" customWidth="1"/>
    <col min="12543" max="12543" width="2.453125" style="113" customWidth="1"/>
    <col min="12544" max="12544" width="9.54296875" style="113" customWidth="1"/>
    <col min="12545" max="12545" width="9.453125" style="113" customWidth="1"/>
    <col min="12546" max="12546" width="1.54296875" style="113" customWidth="1"/>
    <col min="12547" max="12547" width="8.81640625" style="113" bestFit="1" customWidth="1"/>
    <col min="12548" max="12548" width="8.453125" style="113" bestFit="1" customWidth="1"/>
    <col min="12549" max="12549" width="9.54296875" style="113" customWidth="1"/>
    <col min="12550" max="12550" width="9" style="113" customWidth="1"/>
    <col min="12551" max="12551" width="8.81640625" style="113" bestFit="1" customWidth="1"/>
    <col min="12552" max="12552" width="8.453125" style="113" bestFit="1" customWidth="1"/>
    <col min="12553" max="12553" width="8.81640625" style="113" bestFit="1" customWidth="1"/>
    <col min="12554" max="12554" width="8.453125" style="113" bestFit="1" customWidth="1"/>
    <col min="12555" max="12555" width="4.81640625" style="113" customWidth="1"/>
    <col min="12556" max="12556" width="9.54296875" style="113" customWidth="1"/>
    <col min="12557" max="12557" width="2.453125" style="113" customWidth="1"/>
    <col min="12558" max="12559" width="9.54296875" style="113" customWidth="1"/>
    <col min="12560" max="12560" width="1.54296875" style="113" customWidth="1"/>
    <col min="12561" max="12568" width="9.54296875" style="113" customWidth="1"/>
    <col min="12569" max="12570" width="11.453125" style="113"/>
    <col min="12571" max="12571" width="1.54296875" style="113" customWidth="1"/>
    <col min="12572" max="12573" width="11.453125" style="113"/>
    <col min="12574" max="12574" width="1.54296875" style="113" customWidth="1"/>
    <col min="12575" max="12790" width="11.453125" style="113"/>
    <col min="12791" max="12791" width="1.453125" style="113" customWidth="1"/>
    <col min="12792" max="12792" width="15.81640625" style="113" customWidth="1"/>
    <col min="12793" max="12793" width="49.81640625" style="113" bestFit="1" customWidth="1"/>
    <col min="12794" max="12794" width="8.81640625" style="113" bestFit="1" customWidth="1"/>
    <col min="12795" max="12795" width="8.81640625" style="113" customWidth="1"/>
    <col min="12796" max="12796" width="8.54296875" style="113" bestFit="1" customWidth="1"/>
    <col min="12797" max="12797" width="8.81640625" style="113" bestFit="1" customWidth="1"/>
    <col min="12798" max="12798" width="9.81640625" style="113" customWidth="1"/>
    <col min="12799" max="12799" width="2.453125" style="113" customWidth="1"/>
    <col min="12800" max="12800" width="9.54296875" style="113" customWidth="1"/>
    <col min="12801" max="12801" width="9.453125" style="113" customWidth="1"/>
    <col min="12802" max="12802" width="1.54296875" style="113" customWidth="1"/>
    <col min="12803" max="12803" width="8.81640625" style="113" bestFit="1" customWidth="1"/>
    <col min="12804" max="12804" width="8.453125" style="113" bestFit="1" customWidth="1"/>
    <col min="12805" max="12805" width="9.54296875" style="113" customWidth="1"/>
    <col min="12806" max="12806" width="9" style="113" customWidth="1"/>
    <col min="12807" max="12807" width="8.81640625" style="113" bestFit="1" customWidth="1"/>
    <col min="12808" max="12808" width="8.453125" style="113" bestFit="1" customWidth="1"/>
    <col min="12809" max="12809" width="8.81640625" style="113" bestFit="1" customWidth="1"/>
    <col min="12810" max="12810" width="8.453125" style="113" bestFit="1" customWidth="1"/>
    <col min="12811" max="12811" width="4.81640625" style="113" customWidth="1"/>
    <col min="12812" max="12812" width="9.54296875" style="113" customWidth="1"/>
    <col min="12813" max="12813" width="2.453125" style="113" customWidth="1"/>
    <col min="12814" max="12815" width="9.54296875" style="113" customWidth="1"/>
    <col min="12816" max="12816" width="1.54296875" style="113" customWidth="1"/>
    <col min="12817" max="12824" width="9.54296875" style="113" customWidth="1"/>
    <col min="12825" max="12826" width="11.453125" style="113"/>
    <col min="12827" max="12827" width="1.54296875" style="113" customWidth="1"/>
    <col min="12828" max="12829" width="11.453125" style="113"/>
    <col min="12830" max="12830" width="1.54296875" style="113" customWidth="1"/>
    <col min="12831" max="13046" width="11.453125" style="113"/>
    <col min="13047" max="13047" width="1.453125" style="113" customWidth="1"/>
    <col min="13048" max="13048" width="15.81640625" style="113" customWidth="1"/>
    <col min="13049" max="13049" width="49.81640625" style="113" bestFit="1" customWidth="1"/>
    <col min="13050" max="13050" width="8.81640625" style="113" bestFit="1" customWidth="1"/>
    <col min="13051" max="13051" width="8.81640625" style="113" customWidth="1"/>
    <col min="13052" max="13052" width="8.54296875" style="113" bestFit="1" customWidth="1"/>
    <col min="13053" max="13053" width="8.81640625" style="113" bestFit="1" customWidth="1"/>
    <col min="13054" max="13054" width="9.81640625" style="113" customWidth="1"/>
    <col min="13055" max="13055" width="2.453125" style="113" customWidth="1"/>
    <col min="13056" max="13056" width="9.54296875" style="113" customWidth="1"/>
    <col min="13057" max="13057" width="9.453125" style="113" customWidth="1"/>
    <col min="13058" max="13058" width="1.54296875" style="113" customWidth="1"/>
    <col min="13059" max="13059" width="8.81640625" style="113" bestFit="1" customWidth="1"/>
    <col min="13060" max="13060" width="8.453125" style="113" bestFit="1" customWidth="1"/>
    <col min="13061" max="13061" width="9.54296875" style="113" customWidth="1"/>
    <col min="13062" max="13062" width="9" style="113" customWidth="1"/>
    <col min="13063" max="13063" width="8.81640625" style="113" bestFit="1" customWidth="1"/>
    <col min="13064" max="13064" width="8.453125" style="113" bestFit="1" customWidth="1"/>
    <col min="13065" max="13065" width="8.81640625" style="113" bestFit="1" customWidth="1"/>
    <col min="13066" max="13066" width="8.453125" style="113" bestFit="1" customWidth="1"/>
    <col min="13067" max="13067" width="4.81640625" style="113" customWidth="1"/>
    <col min="13068" max="13068" width="9.54296875" style="113" customWidth="1"/>
    <col min="13069" max="13069" width="2.453125" style="113" customWidth="1"/>
    <col min="13070" max="13071" width="9.54296875" style="113" customWidth="1"/>
    <col min="13072" max="13072" width="1.54296875" style="113" customWidth="1"/>
    <col min="13073" max="13080" width="9.54296875" style="113" customWidth="1"/>
    <col min="13081" max="13082" width="11.453125" style="113"/>
    <col min="13083" max="13083" width="1.54296875" style="113" customWidth="1"/>
    <col min="13084" max="13085" width="11.453125" style="113"/>
    <col min="13086" max="13086" width="1.54296875" style="113" customWidth="1"/>
    <col min="13087" max="13302" width="11.453125" style="113"/>
    <col min="13303" max="13303" width="1.453125" style="113" customWidth="1"/>
    <col min="13304" max="13304" width="15.81640625" style="113" customWidth="1"/>
    <col min="13305" max="13305" width="49.81640625" style="113" bestFit="1" customWidth="1"/>
    <col min="13306" max="13306" width="8.81640625" style="113" bestFit="1" customWidth="1"/>
    <col min="13307" max="13307" width="8.81640625" style="113" customWidth="1"/>
    <col min="13308" max="13308" width="8.54296875" style="113" bestFit="1" customWidth="1"/>
    <col min="13309" max="13309" width="8.81640625" style="113" bestFit="1" customWidth="1"/>
    <col min="13310" max="13310" width="9.81640625" style="113" customWidth="1"/>
    <col min="13311" max="13311" width="2.453125" style="113" customWidth="1"/>
    <col min="13312" max="13312" width="9.54296875" style="113" customWidth="1"/>
    <col min="13313" max="13313" width="9.453125" style="113" customWidth="1"/>
    <col min="13314" max="13314" width="1.54296875" style="113" customWidth="1"/>
    <col min="13315" max="13315" width="8.81640625" style="113" bestFit="1" customWidth="1"/>
    <col min="13316" max="13316" width="8.453125" style="113" bestFit="1" customWidth="1"/>
    <col min="13317" max="13317" width="9.54296875" style="113" customWidth="1"/>
    <col min="13318" max="13318" width="9" style="113" customWidth="1"/>
    <col min="13319" max="13319" width="8.81640625" style="113" bestFit="1" customWidth="1"/>
    <col min="13320" max="13320" width="8.453125" style="113" bestFit="1" customWidth="1"/>
    <col min="13321" max="13321" width="8.81640625" style="113" bestFit="1" customWidth="1"/>
    <col min="13322" max="13322" width="8.453125" style="113" bestFit="1" customWidth="1"/>
    <col min="13323" max="13323" width="4.81640625" style="113" customWidth="1"/>
    <col min="13324" max="13324" width="9.54296875" style="113" customWidth="1"/>
    <col min="13325" max="13325" width="2.453125" style="113" customWidth="1"/>
    <col min="13326" max="13327" width="9.54296875" style="113" customWidth="1"/>
    <col min="13328" max="13328" width="1.54296875" style="113" customWidth="1"/>
    <col min="13329" max="13336" width="9.54296875" style="113" customWidth="1"/>
    <col min="13337" max="13338" width="11.453125" style="113"/>
    <col min="13339" max="13339" width="1.54296875" style="113" customWidth="1"/>
    <col min="13340" max="13341" width="11.453125" style="113"/>
    <col min="13342" max="13342" width="1.54296875" style="113" customWidth="1"/>
    <col min="13343" max="13558" width="11.453125" style="113"/>
    <col min="13559" max="13559" width="1.453125" style="113" customWidth="1"/>
    <col min="13560" max="13560" width="15.81640625" style="113" customWidth="1"/>
    <col min="13561" max="13561" width="49.81640625" style="113" bestFit="1" customWidth="1"/>
    <col min="13562" max="13562" width="8.81640625" style="113" bestFit="1" customWidth="1"/>
    <col min="13563" max="13563" width="8.81640625" style="113" customWidth="1"/>
    <col min="13564" max="13564" width="8.54296875" style="113" bestFit="1" customWidth="1"/>
    <col min="13565" max="13565" width="8.81640625" style="113" bestFit="1" customWidth="1"/>
    <col min="13566" max="13566" width="9.81640625" style="113" customWidth="1"/>
    <col min="13567" max="13567" width="2.453125" style="113" customWidth="1"/>
    <col min="13568" max="13568" width="9.54296875" style="113" customWidth="1"/>
    <col min="13569" max="13569" width="9.453125" style="113" customWidth="1"/>
    <col min="13570" max="13570" width="1.54296875" style="113" customWidth="1"/>
    <col min="13571" max="13571" width="8.81640625" style="113" bestFit="1" customWidth="1"/>
    <col min="13572" max="13572" width="8.453125" style="113" bestFit="1" customWidth="1"/>
    <col min="13573" max="13573" width="9.54296875" style="113" customWidth="1"/>
    <col min="13574" max="13574" width="9" style="113" customWidth="1"/>
    <col min="13575" max="13575" width="8.81640625" style="113" bestFit="1" customWidth="1"/>
    <col min="13576" max="13576" width="8.453125" style="113" bestFit="1" customWidth="1"/>
    <col min="13577" max="13577" width="8.81640625" style="113" bestFit="1" customWidth="1"/>
    <col min="13578" max="13578" width="8.453125" style="113" bestFit="1" customWidth="1"/>
    <col min="13579" max="13579" width="4.81640625" style="113" customWidth="1"/>
    <col min="13580" max="13580" width="9.54296875" style="113" customWidth="1"/>
    <col min="13581" max="13581" width="2.453125" style="113" customWidth="1"/>
    <col min="13582" max="13583" width="9.54296875" style="113" customWidth="1"/>
    <col min="13584" max="13584" width="1.54296875" style="113" customWidth="1"/>
    <col min="13585" max="13592" width="9.54296875" style="113" customWidth="1"/>
    <col min="13593" max="13594" width="11.453125" style="113"/>
    <col min="13595" max="13595" width="1.54296875" style="113" customWidth="1"/>
    <col min="13596" max="13597" width="11.453125" style="113"/>
    <col min="13598" max="13598" width="1.54296875" style="113" customWidth="1"/>
    <col min="13599" max="13814" width="11.453125" style="113"/>
    <col min="13815" max="13815" width="1.453125" style="113" customWidth="1"/>
    <col min="13816" max="13816" width="15.81640625" style="113" customWidth="1"/>
    <col min="13817" max="13817" width="49.81640625" style="113" bestFit="1" customWidth="1"/>
    <col min="13818" max="13818" width="8.81640625" style="113" bestFit="1" customWidth="1"/>
    <col min="13819" max="13819" width="8.81640625" style="113" customWidth="1"/>
    <col min="13820" max="13820" width="8.54296875" style="113" bestFit="1" customWidth="1"/>
    <col min="13821" max="13821" width="8.81640625" style="113" bestFit="1" customWidth="1"/>
    <col min="13822" max="13822" width="9.81640625" style="113" customWidth="1"/>
    <col min="13823" max="13823" width="2.453125" style="113" customWidth="1"/>
    <col min="13824" max="13824" width="9.54296875" style="113" customWidth="1"/>
    <col min="13825" max="13825" width="9.453125" style="113" customWidth="1"/>
    <col min="13826" max="13826" width="1.54296875" style="113" customWidth="1"/>
    <col min="13827" max="13827" width="8.81640625" style="113" bestFit="1" customWidth="1"/>
    <col min="13828" max="13828" width="8.453125" style="113" bestFit="1" customWidth="1"/>
    <col min="13829" max="13829" width="9.54296875" style="113" customWidth="1"/>
    <col min="13830" max="13830" width="9" style="113" customWidth="1"/>
    <col min="13831" max="13831" width="8.81640625" style="113" bestFit="1" customWidth="1"/>
    <col min="13832" max="13832" width="8.453125" style="113" bestFit="1" customWidth="1"/>
    <col min="13833" max="13833" width="8.81640625" style="113" bestFit="1" customWidth="1"/>
    <col min="13834" max="13834" width="8.453125" style="113" bestFit="1" customWidth="1"/>
    <col min="13835" max="13835" width="4.81640625" style="113" customWidth="1"/>
    <col min="13836" max="13836" width="9.54296875" style="113" customWidth="1"/>
    <col min="13837" max="13837" width="2.453125" style="113" customWidth="1"/>
    <col min="13838" max="13839" width="9.54296875" style="113" customWidth="1"/>
    <col min="13840" max="13840" width="1.54296875" style="113" customWidth="1"/>
    <col min="13841" max="13848" width="9.54296875" style="113" customWidth="1"/>
    <col min="13849" max="13850" width="11.453125" style="113"/>
    <col min="13851" max="13851" width="1.54296875" style="113" customWidth="1"/>
    <col min="13852" max="13853" width="11.453125" style="113"/>
    <col min="13854" max="13854" width="1.54296875" style="113" customWidth="1"/>
    <col min="13855" max="14070" width="11.453125" style="113"/>
    <col min="14071" max="14071" width="1.453125" style="113" customWidth="1"/>
    <col min="14072" max="14072" width="15.81640625" style="113" customWidth="1"/>
    <col min="14073" max="14073" width="49.81640625" style="113" bestFit="1" customWidth="1"/>
    <col min="14074" max="14074" width="8.81640625" style="113" bestFit="1" customWidth="1"/>
    <col min="14075" max="14075" width="8.81640625" style="113" customWidth="1"/>
    <col min="14076" max="14076" width="8.54296875" style="113" bestFit="1" customWidth="1"/>
    <col min="14077" max="14077" width="8.81640625" style="113" bestFit="1" customWidth="1"/>
    <col min="14078" max="14078" width="9.81640625" style="113" customWidth="1"/>
    <col min="14079" max="14079" width="2.453125" style="113" customWidth="1"/>
    <col min="14080" max="14080" width="9.54296875" style="113" customWidth="1"/>
    <col min="14081" max="14081" width="9.453125" style="113" customWidth="1"/>
    <col min="14082" max="14082" width="1.54296875" style="113" customWidth="1"/>
    <col min="14083" max="14083" width="8.81640625" style="113" bestFit="1" customWidth="1"/>
    <col min="14084" max="14084" width="8.453125" style="113" bestFit="1" customWidth="1"/>
    <col min="14085" max="14085" width="9.54296875" style="113" customWidth="1"/>
    <col min="14086" max="14086" width="9" style="113" customWidth="1"/>
    <col min="14087" max="14087" width="8.81640625" style="113" bestFit="1" customWidth="1"/>
    <col min="14088" max="14088" width="8.453125" style="113" bestFit="1" customWidth="1"/>
    <col min="14089" max="14089" width="8.81640625" style="113" bestFit="1" customWidth="1"/>
    <col min="14090" max="14090" width="8.453125" style="113" bestFit="1" customWidth="1"/>
    <col min="14091" max="14091" width="4.81640625" style="113" customWidth="1"/>
    <col min="14092" max="14092" width="9.54296875" style="113" customWidth="1"/>
    <col min="14093" max="14093" width="2.453125" style="113" customWidth="1"/>
    <col min="14094" max="14095" width="9.54296875" style="113" customWidth="1"/>
    <col min="14096" max="14096" width="1.54296875" style="113" customWidth="1"/>
    <col min="14097" max="14104" width="9.54296875" style="113" customWidth="1"/>
    <col min="14105" max="14106" width="11.453125" style="113"/>
    <col min="14107" max="14107" width="1.54296875" style="113" customWidth="1"/>
    <col min="14108" max="14109" width="11.453125" style="113"/>
    <col min="14110" max="14110" width="1.54296875" style="113" customWidth="1"/>
    <col min="14111" max="14326" width="11.453125" style="113"/>
    <col min="14327" max="14327" width="1.453125" style="113" customWidth="1"/>
    <col min="14328" max="14328" width="15.81640625" style="113" customWidth="1"/>
    <col min="14329" max="14329" width="49.81640625" style="113" bestFit="1" customWidth="1"/>
    <col min="14330" max="14330" width="8.81640625" style="113" bestFit="1" customWidth="1"/>
    <col min="14331" max="14331" width="8.81640625" style="113" customWidth="1"/>
    <col min="14332" max="14332" width="8.54296875" style="113" bestFit="1" customWidth="1"/>
    <col min="14333" max="14333" width="8.81640625" style="113" bestFit="1" customWidth="1"/>
    <col min="14334" max="14334" width="9.81640625" style="113" customWidth="1"/>
    <col min="14335" max="14335" width="2.453125" style="113" customWidth="1"/>
    <col min="14336" max="14336" width="9.54296875" style="113" customWidth="1"/>
    <col min="14337" max="14337" width="9.453125" style="113" customWidth="1"/>
    <col min="14338" max="14338" width="1.54296875" style="113" customWidth="1"/>
    <col min="14339" max="14339" width="8.81640625" style="113" bestFit="1" customWidth="1"/>
    <col min="14340" max="14340" width="8.453125" style="113" bestFit="1" customWidth="1"/>
    <col min="14341" max="14341" width="9.54296875" style="113" customWidth="1"/>
    <col min="14342" max="14342" width="9" style="113" customWidth="1"/>
    <col min="14343" max="14343" width="8.81640625" style="113" bestFit="1" customWidth="1"/>
    <col min="14344" max="14344" width="8.453125" style="113" bestFit="1" customWidth="1"/>
    <col min="14345" max="14345" width="8.81640625" style="113" bestFit="1" customWidth="1"/>
    <col min="14346" max="14346" width="8.453125" style="113" bestFit="1" customWidth="1"/>
    <col min="14347" max="14347" width="4.81640625" style="113" customWidth="1"/>
    <col min="14348" max="14348" width="9.54296875" style="113" customWidth="1"/>
    <col min="14349" max="14349" width="2.453125" style="113" customWidth="1"/>
    <col min="14350" max="14351" width="9.54296875" style="113" customWidth="1"/>
    <col min="14352" max="14352" width="1.54296875" style="113" customWidth="1"/>
    <col min="14353" max="14360" width="9.54296875" style="113" customWidth="1"/>
    <col min="14361" max="14362" width="11.453125" style="113"/>
    <col min="14363" max="14363" width="1.54296875" style="113" customWidth="1"/>
    <col min="14364" max="14365" width="11.453125" style="113"/>
    <col min="14366" max="14366" width="1.54296875" style="113" customWidth="1"/>
    <col min="14367" max="14582" width="11.453125" style="113"/>
    <col min="14583" max="14583" width="1.453125" style="113" customWidth="1"/>
    <col min="14584" max="14584" width="15.81640625" style="113" customWidth="1"/>
    <col min="14585" max="14585" width="49.81640625" style="113" bestFit="1" customWidth="1"/>
    <col min="14586" max="14586" width="8.81640625" style="113" bestFit="1" customWidth="1"/>
    <col min="14587" max="14587" width="8.81640625" style="113" customWidth="1"/>
    <col min="14588" max="14588" width="8.54296875" style="113" bestFit="1" customWidth="1"/>
    <col min="14589" max="14589" width="8.81640625" style="113" bestFit="1" customWidth="1"/>
    <col min="14590" max="14590" width="9.81640625" style="113" customWidth="1"/>
    <col min="14591" max="14591" width="2.453125" style="113" customWidth="1"/>
    <col min="14592" max="14592" width="9.54296875" style="113" customWidth="1"/>
    <col min="14593" max="14593" width="9.453125" style="113" customWidth="1"/>
    <col min="14594" max="14594" width="1.54296875" style="113" customWidth="1"/>
    <col min="14595" max="14595" width="8.81640625" style="113" bestFit="1" customWidth="1"/>
    <col min="14596" max="14596" width="8.453125" style="113" bestFit="1" customWidth="1"/>
    <col min="14597" max="14597" width="9.54296875" style="113" customWidth="1"/>
    <col min="14598" max="14598" width="9" style="113" customWidth="1"/>
    <col min="14599" max="14599" width="8.81640625" style="113" bestFit="1" customWidth="1"/>
    <col min="14600" max="14600" width="8.453125" style="113" bestFit="1" customWidth="1"/>
    <col min="14601" max="14601" width="8.81640625" style="113" bestFit="1" customWidth="1"/>
    <col min="14602" max="14602" width="8.453125" style="113" bestFit="1" customWidth="1"/>
    <col min="14603" max="14603" width="4.81640625" style="113" customWidth="1"/>
    <col min="14604" max="14604" width="9.54296875" style="113" customWidth="1"/>
    <col min="14605" max="14605" width="2.453125" style="113" customWidth="1"/>
    <col min="14606" max="14607" width="9.54296875" style="113" customWidth="1"/>
    <col min="14608" max="14608" width="1.54296875" style="113" customWidth="1"/>
    <col min="14609" max="14616" width="9.54296875" style="113" customWidth="1"/>
    <col min="14617" max="14618" width="11.453125" style="113"/>
    <col min="14619" max="14619" width="1.54296875" style="113" customWidth="1"/>
    <col min="14620" max="14621" width="11.453125" style="113"/>
    <col min="14622" max="14622" width="1.54296875" style="113" customWidth="1"/>
    <col min="14623" max="14838" width="11.453125" style="113"/>
    <col min="14839" max="14839" width="1.453125" style="113" customWidth="1"/>
    <col min="14840" max="14840" width="15.81640625" style="113" customWidth="1"/>
    <col min="14841" max="14841" width="49.81640625" style="113" bestFit="1" customWidth="1"/>
    <col min="14842" max="14842" width="8.81640625" style="113" bestFit="1" customWidth="1"/>
    <col min="14843" max="14843" width="8.81640625" style="113" customWidth="1"/>
    <col min="14844" max="14844" width="8.54296875" style="113" bestFit="1" customWidth="1"/>
    <col min="14845" max="14845" width="8.81640625" style="113" bestFit="1" customWidth="1"/>
    <col min="14846" max="14846" width="9.81640625" style="113" customWidth="1"/>
    <col min="14847" max="14847" width="2.453125" style="113" customWidth="1"/>
    <col min="14848" max="14848" width="9.54296875" style="113" customWidth="1"/>
    <col min="14849" max="14849" width="9.453125" style="113" customWidth="1"/>
    <col min="14850" max="14850" width="1.54296875" style="113" customWidth="1"/>
    <col min="14851" max="14851" width="8.81640625" style="113" bestFit="1" customWidth="1"/>
    <col min="14852" max="14852" width="8.453125" style="113" bestFit="1" customWidth="1"/>
    <col min="14853" max="14853" width="9.54296875" style="113" customWidth="1"/>
    <col min="14854" max="14854" width="9" style="113" customWidth="1"/>
    <col min="14855" max="14855" width="8.81640625" style="113" bestFit="1" customWidth="1"/>
    <col min="14856" max="14856" width="8.453125" style="113" bestFit="1" customWidth="1"/>
    <col min="14857" max="14857" width="8.81640625" style="113" bestFit="1" customWidth="1"/>
    <col min="14858" max="14858" width="8.453125" style="113" bestFit="1" customWidth="1"/>
    <col min="14859" max="14859" width="4.81640625" style="113" customWidth="1"/>
    <col min="14860" max="14860" width="9.54296875" style="113" customWidth="1"/>
    <col min="14861" max="14861" width="2.453125" style="113" customWidth="1"/>
    <col min="14862" max="14863" width="9.54296875" style="113" customWidth="1"/>
    <col min="14864" max="14864" width="1.54296875" style="113" customWidth="1"/>
    <col min="14865" max="14872" width="9.54296875" style="113" customWidth="1"/>
    <col min="14873" max="14874" width="11.453125" style="113"/>
    <col min="14875" max="14875" width="1.54296875" style="113" customWidth="1"/>
    <col min="14876" max="14877" width="11.453125" style="113"/>
    <col min="14878" max="14878" width="1.54296875" style="113" customWidth="1"/>
    <col min="14879" max="15094" width="11.453125" style="113"/>
    <col min="15095" max="15095" width="1.453125" style="113" customWidth="1"/>
    <col min="15096" max="15096" width="15.81640625" style="113" customWidth="1"/>
    <col min="15097" max="15097" width="49.81640625" style="113" bestFit="1" customWidth="1"/>
    <col min="15098" max="15098" width="8.81640625" style="113" bestFit="1" customWidth="1"/>
    <col min="15099" max="15099" width="8.81640625" style="113" customWidth="1"/>
    <col min="15100" max="15100" width="8.54296875" style="113" bestFit="1" customWidth="1"/>
    <col min="15101" max="15101" width="8.81640625" style="113" bestFit="1" customWidth="1"/>
    <col min="15102" max="15102" width="9.81640625" style="113" customWidth="1"/>
    <col min="15103" max="15103" width="2.453125" style="113" customWidth="1"/>
    <col min="15104" max="15104" width="9.54296875" style="113" customWidth="1"/>
    <col min="15105" max="15105" width="9.453125" style="113" customWidth="1"/>
    <col min="15106" max="15106" width="1.54296875" style="113" customWidth="1"/>
    <col min="15107" max="15107" width="8.81640625" style="113" bestFit="1" customWidth="1"/>
    <col min="15108" max="15108" width="8.453125" style="113" bestFit="1" customWidth="1"/>
    <col min="15109" max="15109" width="9.54296875" style="113" customWidth="1"/>
    <col min="15110" max="15110" width="9" style="113" customWidth="1"/>
    <col min="15111" max="15111" width="8.81640625" style="113" bestFit="1" customWidth="1"/>
    <col min="15112" max="15112" width="8.453125" style="113" bestFit="1" customWidth="1"/>
    <col min="15113" max="15113" width="8.81640625" style="113" bestFit="1" customWidth="1"/>
    <col min="15114" max="15114" width="8.453125" style="113" bestFit="1" customWidth="1"/>
    <col min="15115" max="15115" width="4.81640625" style="113" customWidth="1"/>
    <col min="15116" max="15116" width="9.54296875" style="113" customWidth="1"/>
    <col min="15117" max="15117" width="2.453125" style="113" customWidth="1"/>
    <col min="15118" max="15119" width="9.54296875" style="113" customWidth="1"/>
    <col min="15120" max="15120" width="1.54296875" style="113" customWidth="1"/>
    <col min="15121" max="15128" width="9.54296875" style="113" customWidth="1"/>
    <col min="15129" max="15130" width="11.453125" style="113"/>
    <col min="15131" max="15131" width="1.54296875" style="113" customWidth="1"/>
    <col min="15132" max="15133" width="11.453125" style="113"/>
    <col min="15134" max="15134" width="1.54296875" style="113" customWidth="1"/>
    <col min="15135" max="15350" width="11.453125" style="113"/>
    <col min="15351" max="15351" width="1.453125" style="113" customWidth="1"/>
    <col min="15352" max="15352" width="15.81640625" style="113" customWidth="1"/>
    <col min="15353" max="15353" width="49.81640625" style="113" bestFit="1" customWidth="1"/>
    <col min="15354" max="15354" width="8.81640625" style="113" bestFit="1" customWidth="1"/>
    <col min="15355" max="15355" width="8.81640625" style="113" customWidth="1"/>
    <col min="15356" max="15356" width="8.54296875" style="113" bestFit="1" customWidth="1"/>
    <col min="15357" max="15357" width="8.81640625" style="113" bestFit="1" customWidth="1"/>
    <col min="15358" max="15358" width="9.81640625" style="113" customWidth="1"/>
    <col min="15359" max="15359" width="2.453125" style="113" customWidth="1"/>
    <col min="15360" max="15360" width="9.54296875" style="113" customWidth="1"/>
    <col min="15361" max="15361" width="9.453125" style="113" customWidth="1"/>
    <col min="15362" max="15362" width="1.54296875" style="113" customWidth="1"/>
    <col min="15363" max="15363" width="8.81640625" style="113" bestFit="1" customWidth="1"/>
    <col min="15364" max="15364" width="8.453125" style="113" bestFit="1" customWidth="1"/>
    <col min="15365" max="15365" width="9.54296875" style="113" customWidth="1"/>
    <col min="15366" max="15366" width="9" style="113" customWidth="1"/>
    <col min="15367" max="15367" width="8.81640625" style="113" bestFit="1" customWidth="1"/>
    <col min="15368" max="15368" width="8.453125" style="113" bestFit="1" customWidth="1"/>
    <col min="15369" max="15369" width="8.81640625" style="113" bestFit="1" customWidth="1"/>
    <col min="15370" max="15370" width="8.453125" style="113" bestFit="1" customWidth="1"/>
    <col min="15371" max="15371" width="4.81640625" style="113" customWidth="1"/>
    <col min="15372" max="15372" width="9.54296875" style="113" customWidth="1"/>
    <col min="15373" max="15373" width="2.453125" style="113" customWidth="1"/>
    <col min="15374" max="15375" width="9.54296875" style="113" customWidth="1"/>
    <col min="15376" max="15376" width="1.54296875" style="113" customWidth="1"/>
    <col min="15377" max="15384" width="9.54296875" style="113" customWidth="1"/>
    <col min="15385" max="15386" width="11.453125" style="113"/>
    <col min="15387" max="15387" width="1.54296875" style="113" customWidth="1"/>
    <col min="15388" max="15389" width="11.453125" style="113"/>
    <col min="15390" max="15390" width="1.54296875" style="113" customWidth="1"/>
    <col min="15391" max="15606" width="11.453125" style="113"/>
    <col min="15607" max="15607" width="1.453125" style="113" customWidth="1"/>
    <col min="15608" max="15608" width="15.81640625" style="113" customWidth="1"/>
    <col min="15609" max="15609" width="49.81640625" style="113" bestFit="1" customWidth="1"/>
    <col min="15610" max="15610" width="8.81640625" style="113" bestFit="1" customWidth="1"/>
    <col min="15611" max="15611" width="8.81640625" style="113" customWidth="1"/>
    <col min="15612" max="15612" width="8.54296875" style="113" bestFit="1" customWidth="1"/>
    <col min="15613" max="15613" width="8.81640625" style="113" bestFit="1" customWidth="1"/>
    <col min="15614" max="15614" width="9.81640625" style="113" customWidth="1"/>
    <col min="15615" max="15615" width="2.453125" style="113" customWidth="1"/>
    <col min="15616" max="15616" width="9.54296875" style="113" customWidth="1"/>
    <col min="15617" max="15617" width="9.453125" style="113" customWidth="1"/>
    <col min="15618" max="15618" width="1.54296875" style="113" customWidth="1"/>
    <col min="15619" max="15619" width="8.81640625" style="113" bestFit="1" customWidth="1"/>
    <col min="15620" max="15620" width="8.453125" style="113" bestFit="1" customWidth="1"/>
    <col min="15621" max="15621" width="9.54296875" style="113" customWidth="1"/>
    <col min="15622" max="15622" width="9" style="113" customWidth="1"/>
    <col min="15623" max="15623" width="8.81640625" style="113" bestFit="1" customWidth="1"/>
    <col min="15624" max="15624" width="8.453125" style="113" bestFit="1" customWidth="1"/>
    <col min="15625" max="15625" width="8.81640625" style="113" bestFit="1" customWidth="1"/>
    <col min="15626" max="15626" width="8.453125" style="113" bestFit="1" customWidth="1"/>
    <col min="15627" max="15627" width="4.81640625" style="113" customWidth="1"/>
    <col min="15628" max="15628" width="9.54296875" style="113" customWidth="1"/>
    <col min="15629" max="15629" width="2.453125" style="113" customWidth="1"/>
    <col min="15630" max="15631" width="9.54296875" style="113" customWidth="1"/>
    <col min="15632" max="15632" width="1.54296875" style="113" customWidth="1"/>
    <col min="15633" max="15640" width="9.54296875" style="113" customWidth="1"/>
    <col min="15641" max="15642" width="11.453125" style="113"/>
    <col min="15643" max="15643" width="1.54296875" style="113" customWidth="1"/>
    <col min="15644" max="15645" width="11.453125" style="113"/>
    <col min="15646" max="15646" width="1.54296875" style="113" customWidth="1"/>
    <col min="15647" max="15862" width="11.453125" style="113"/>
    <col min="15863" max="15863" width="1.453125" style="113" customWidth="1"/>
    <col min="15864" max="15864" width="15.81640625" style="113" customWidth="1"/>
    <col min="15865" max="15865" width="49.81640625" style="113" bestFit="1" customWidth="1"/>
    <col min="15866" max="15866" width="8.81640625" style="113" bestFit="1" customWidth="1"/>
    <col min="15867" max="15867" width="8.81640625" style="113" customWidth="1"/>
    <col min="15868" max="15868" width="8.54296875" style="113" bestFit="1" customWidth="1"/>
    <col min="15869" max="15869" width="8.81640625" style="113" bestFit="1" customWidth="1"/>
    <col min="15870" max="15870" width="9.81640625" style="113" customWidth="1"/>
    <col min="15871" max="15871" width="2.453125" style="113" customWidth="1"/>
    <col min="15872" max="15872" width="9.54296875" style="113" customWidth="1"/>
    <col min="15873" max="15873" width="9.453125" style="113" customWidth="1"/>
    <col min="15874" max="15874" width="1.54296875" style="113" customWidth="1"/>
    <col min="15875" max="15875" width="8.81640625" style="113" bestFit="1" customWidth="1"/>
    <col min="15876" max="15876" width="8.453125" style="113" bestFit="1" customWidth="1"/>
    <col min="15877" max="15877" width="9.54296875" style="113" customWidth="1"/>
    <col min="15878" max="15878" width="9" style="113" customWidth="1"/>
    <col min="15879" max="15879" width="8.81640625" style="113" bestFit="1" customWidth="1"/>
    <col min="15880" max="15880" width="8.453125" style="113" bestFit="1" customWidth="1"/>
    <col min="15881" max="15881" width="8.81640625" style="113" bestFit="1" customWidth="1"/>
    <col min="15882" max="15882" width="8.453125" style="113" bestFit="1" customWidth="1"/>
    <col min="15883" max="15883" width="4.81640625" style="113" customWidth="1"/>
    <col min="15884" max="15884" width="9.54296875" style="113" customWidth="1"/>
    <col min="15885" max="15885" width="2.453125" style="113" customWidth="1"/>
    <col min="15886" max="15887" width="9.54296875" style="113" customWidth="1"/>
    <col min="15888" max="15888" width="1.54296875" style="113" customWidth="1"/>
    <col min="15889" max="15896" width="9.54296875" style="113" customWidth="1"/>
    <col min="15897" max="15898" width="11.453125" style="113"/>
    <col min="15899" max="15899" width="1.54296875" style="113" customWidth="1"/>
    <col min="15900" max="15901" width="11.453125" style="113"/>
    <col min="15902" max="15902" width="1.54296875" style="113" customWidth="1"/>
    <col min="15903" max="16118" width="11.453125" style="113"/>
    <col min="16119" max="16119" width="1.453125" style="113" customWidth="1"/>
    <col min="16120" max="16120" width="15.81640625" style="113" customWidth="1"/>
    <col min="16121" max="16121" width="49.81640625" style="113" bestFit="1" customWidth="1"/>
    <col min="16122" max="16122" width="8.81640625" style="113" bestFit="1" customWidth="1"/>
    <col min="16123" max="16123" width="8.81640625" style="113" customWidth="1"/>
    <col min="16124" max="16124" width="8.54296875" style="113" bestFit="1" customWidth="1"/>
    <col min="16125" max="16125" width="8.81640625" style="113" bestFit="1" customWidth="1"/>
    <col min="16126" max="16126" width="9.81640625" style="113" customWidth="1"/>
    <col min="16127" max="16127" width="2.453125" style="113" customWidth="1"/>
    <col min="16128" max="16128" width="9.54296875" style="113" customWidth="1"/>
    <col min="16129" max="16129" width="9.453125" style="113" customWidth="1"/>
    <col min="16130" max="16130" width="1.54296875" style="113" customWidth="1"/>
    <col min="16131" max="16131" width="8.81640625" style="113" bestFit="1" customWidth="1"/>
    <col min="16132" max="16132" width="8.453125" style="113" bestFit="1" customWidth="1"/>
    <col min="16133" max="16133" width="9.54296875" style="113" customWidth="1"/>
    <col min="16134" max="16134" width="9" style="113" customWidth="1"/>
    <col min="16135" max="16135" width="8.81640625" style="113" bestFit="1" customWidth="1"/>
    <col min="16136" max="16136" width="8.453125" style="113" bestFit="1" customWidth="1"/>
    <col min="16137" max="16137" width="8.81640625" style="113" bestFit="1" customWidth="1"/>
    <col min="16138" max="16138" width="8.453125" style="113" bestFit="1" customWidth="1"/>
    <col min="16139" max="16139" width="4.81640625" style="113" customWidth="1"/>
    <col min="16140" max="16140" width="9.54296875" style="113" customWidth="1"/>
    <col min="16141" max="16141" width="2.453125" style="113" customWidth="1"/>
    <col min="16142" max="16143" width="9.54296875" style="113" customWidth="1"/>
    <col min="16144" max="16144" width="1.54296875" style="113" customWidth="1"/>
    <col min="16145" max="16152" width="9.54296875" style="113" customWidth="1"/>
    <col min="16153" max="16154" width="11.453125" style="113"/>
    <col min="16155" max="16155" width="1.54296875" style="113" customWidth="1"/>
    <col min="16156" max="16157" width="11.453125" style="113"/>
    <col min="16158" max="16158" width="1.54296875" style="113" customWidth="1"/>
    <col min="16159" max="16384" width="11.453125" style="113"/>
  </cols>
  <sheetData>
    <row r="1" spans="2:54" ht="13.5" customHeight="1" thickBot="1"/>
    <row r="2" spans="2:54" ht="23.25" customHeight="1">
      <c r="B2" s="665" t="s">
        <v>34</v>
      </c>
      <c r="C2" s="665"/>
      <c r="D2" s="665"/>
      <c r="E2" s="665"/>
      <c r="F2" s="665"/>
      <c r="G2" s="665"/>
      <c r="H2" s="666" t="s">
        <v>125</v>
      </c>
      <c r="J2" s="668" t="s">
        <v>35</v>
      </c>
      <c r="K2" s="669"/>
      <c r="L2" s="260"/>
      <c r="M2" s="678" t="s">
        <v>3</v>
      </c>
      <c r="N2" s="679"/>
      <c r="O2" s="679"/>
      <c r="P2" s="679"/>
      <c r="Q2" s="679"/>
      <c r="R2" s="679"/>
      <c r="S2" s="679"/>
      <c r="T2" s="679"/>
      <c r="U2" s="679"/>
      <c r="V2" s="669"/>
      <c r="AB2" s="260"/>
    </row>
    <row r="3" spans="2:54" s="104" customFormat="1" ht="3.75" customHeight="1">
      <c r="H3" s="667"/>
      <c r="M3" s="105"/>
      <c r="V3" s="106"/>
    </row>
    <row r="4" spans="2:54" s="244" customFormat="1" ht="30" customHeight="1" thickBot="1">
      <c r="B4" s="121">
        <v>45658</v>
      </c>
      <c r="C4" s="121" t="s">
        <v>629</v>
      </c>
      <c r="D4" s="680"/>
      <c r="E4" s="680"/>
      <c r="F4" s="680"/>
      <c r="G4" s="681"/>
      <c r="H4" s="667"/>
      <c r="I4" s="243"/>
      <c r="J4" s="644" t="s">
        <v>15</v>
      </c>
      <c r="K4" s="645"/>
      <c r="L4" s="243"/>
      <c r="M4" s="682" t="s">
        <v>108</v>
      </c>
      <c r="N4" s="683"/>
      <c r="O4" s="682" t="s">
        <v>109</v>
      </c>
      <c r="P4" s="683"/>
      <c r="Q4" s="682" t="s">
        <v>110</v>
      </c>
      <c r="R4" s="683"/>
      <c r="S4" s="682" t="s">
        <v>111</v>
      </c>
      <c r="T4" s="683"/>
      <c r="U4" s="682" t="s">
        <v>146</v>
      </c>
      <c r="V4" s="683"/>
      <c r="Y4" s="243"/>
      <c r="AB4" s="243"/>
    </row>
    <row r="5" spans="2:54" ht="15.75" customHeight="1">
      <c r="B5" s="646" t="s">
        <v>126</v>
      </c>
      <c r="C5" s="647"/>
      <c r="D5" s="652" t="s">
        <v>41</v>
      </c>
      <c r="E5" s="652"/>
      <c r="F5" s="652"/>
      <c r="G5" s="653"/>
      <c r="H5" s="658" t="s">
        <v>127</v>
      </c>
      <c r="I5" s="245"/>
      <c r="J5" s="660" t="s">
        <v>15</v>
      </c>
      <c r="K5" s="661"/>
      <c r="L5" s="246"/>
      <c r="M5" s="698" t="s">
        <v>302</v>
      </c>
      <c r="N5" s="699"/>
      <c r="O5" s="698" t="s">
        <v>303</v>
      </c>
      <c r="P5" s="699"/>
      <c r="Q5" s="698" t="s">
        <v>304</v>
      </c>
      <c r="R5" s="699"/>
      <c r="S5" s="698" t="s">
        <v>305</v>
      </c>
      <c r="T5" s="699"/>
      <c r="U5" s="684" t="s">
        <v>306</v>
      </c>
      <c r="V5" s="685"/>
      <c r="Y5" s="245"/>
      <c r="AB5" s="246"/>
    </row>
    <row r="6" spans="2:54" ht="15.75" customHeight="1">
      <c r="B6" s="648"/>
      <c r="C6" s="649"/>
      <c r="D6" s="654"/>
      <c r="E6" s="654"/>
      <c r="F6" s="654"/>
      <c r="G6" s="655"/>
      <c r="H6" s="659"/>
      <c r="I6" s="246"/>
      <c r="J6" s="662"/>
      <c r="K6" s="659"/>
      <c r="L6" s="246"/>
      <c r="M6" s="700"/>
      <c r="N6" s="701"/>
      <c r="O6" s="700"/>
      <c r="P6" s="701"/>
      <c r="Q6" s="700"/>
      <c r="R6" s="701"/>
      <c r="S6" s="700"/>
      <c r="T6" s="701"/>
      <c r="U6" s="686"/>
      <c r="V6" s="687"/>
      <c r="Y6" s="246"/>
      <c r="AB6" s="246"/>
    </row>
    <row r="7" spans="2:54" ht="15.75" customHeight="1">
      <c r="B7" s="648"/>
      <c r="C7" s="649"/>
      <c r="D7" s="654"/>
      <c r="E7" s="654"/>
      <c r="F7" s="654"/>
      <c r="G7" s="655"/>
      <c r="H7" s="659"/>
      <c r="I7" s="246"/>
      <c r="J7" s="662"/>
      <c r="K7" s="659"/>
      <c r="L7" s="246"/>
      <c r="M7" s="700"/>
      <c r="N7" s="701"/>
      <c r="O7" s="700"/>
      <c r="P7" s="701"/>
      <c r="Q7" s="700"/>
      <c r="R7" s="701"/>
      <c r="S7" s="700"/>
      <c r="T7" s="701"/>
      <c r="U7" s="686"/>
      <c r="V7" s="687"/>
      <c r="Y7" s="246"/>
      <c r="AB7" s="246"/>
    </row>
    <row r="8" spans="2:54" ht="15.75" customHeight="1">
      <c r="B8" s="648"/>
      <c r="C8" s="649"/>
      <c r="D8" s="654"/>
      <c r="E8" s="654"/>
      <c r="F8" s="654"/>
      <c r="G8" s="655"/>
      <c r="H8" s="659"/>
      <c r="I8" s="246"/>
      <c r="J8" s="662"/>
      <c r="K8" s="659"/>
      <c r="L8" s="246"/>
      <c r="M8" s="700"/>
      <c r="N8" s="701"/>
      <c r="O8" s="700"/>
      <c r="P8" s="701"/>
      <c r="Q8" s="700"/>
      <c r="R8" s="701"/>
      <c r="S8" s="700"/>
      <c r="T8" s="701"/>
      <c r="U8" s="686"/>
      <c r="V8" s="687"/>
      <c r="Y8" s="246"/>
      <c r="AB8" s="246"/>
    </row>
    <row r="9" spans="2:54" ht="15.75" customHeight="1">
      <c r="B9" s="648"/>
      <c r="C9" s="649"/>
      <c r="D9" s="654"/>
      <c r="E9" s="654"/>
      <c r="F9" s="654"/>
      <c r="G9" s="655"/>
      <c r="H9" s="659"/>
      <c r="I9" s="246"/>
      <c r="J9" s="662"/>
      <c r="K9" s="659"/>
      <c r="L9" s="246"/>
      <c r="M9" s="700"/>
      <c r="N9" s="701"/>
      <c r="O9" s="700"/>
      <c r="P9" s="701"/>
      <c r="Q9" s="700"/>
      <c r="R9" s="701"/>
      <c r="S9" s="700"/>
      <c r="T9" s="701"/>
      <c r="U9" s="686"/>
      <c r="V9" s="687"/>
      <c r="Y9" s="246"/>
      <c r="AB9" s="246"/>
    </row>
    <row r="10" spans="2:54" ht="15.75" customHeight="1">
      <c r="B10" s="648"/>
      <c r="C10" s="649"/>
      <c r="D10" s="654"/>
      <c r="E10" s="654"/>
      <c r="F10" s="654"/>
      <c r="G10" s="655"/>
      <c r="H10" s="659"/>
      <c r="I10" s="246"/>
      <c r="J10" s="662"/>
      <c r="K10" s="659"/>
      <c r="L10" s="246"/>
      <c r="M10" s="700"/>
      <c r="N10" s="701"/>
      <c r="O10" s="700"/>
      <c r="P10" s="701"/>
      <c r="Q10" s="700"/>
      <c r="R10" s="701"/>
      <c r="S10" s="700"/>
      <c r="T10" s="701"/>
      <c r="U10" s="686"/>
      <c r="V10" s="687"/>
      <c r="Y10" s="246"/>
      <c r="AB10" s="246"/>
    </row>
    <row r="11" spans="2:54" ht="15.75" customHeight="1">
      <c r="B11" s="648"/>
      <c r="C11" s="649"/>
      <c r="D11" s="654"/>
      <c r="E11" s="654"/>
      <c r="F11" s="654"/>
      <c r="G11" s="655"/>
      <c r="H11" s="659"/>
      <c r="I11" s="246"/>
      <c r="J11" s="662"/>
      <c r="K11" s="659"/>
      <c r="L11" s="246"/>
      <c r="M11" s="700"/>
      <c r="N11" s="701"/>
      <c r="O11" s="700"/>
      <c r="P11" s="701"/>
      <c r="Q11" s="700"/>
      <c r="R11" s="701"/>
      <c r="S11" s="700"/>
      <c r="T11" s="701"/>
      <c r="U11" s="686"/>
      <c r="V11" s="687"/>
      <c r="Y11" s="246"/>
      <c r="AB11" s="246"/>
    </row>
    <row r="12" spans="2:54" ht="15.75" customHeight="1" thickBot="1">
      <c r="B12" s="648"/>
      <c r="C12" s="649"/>
      <c r="D12" s="656"/>
      <c r="E12" s="656"/>
      <c r="F12" s="656"/>
      <c r="G12" s="657"/>
      <c r="H12" s="659"/>
      <c r="I12" s="246"/>
      <c r="J12" s="663"/>
      <c r="K12" s="664"/>
      <c r="L12" s="246"/>
      <c r="M12" s="702"/>
      <c r="N12" s="703"/>
      <c r="O12" s="702"/>
      <c r="P12" s="703"/>
      <c r="Q12" s="702"/>
      <c r="R12" s="703"/>
      <c r="S12" s="702"/>
      <c r="T12" s="703"/>
      <c r="U12" s="688"/>
      <c r="V12" s="689"/>
      <c r="Y12" s="246"/>
      <c r="AB12" s="246"/>
    </row>
    <row r="13" spans="2:54" ht="30.75" customHeight="1" thickBot="1">
      <c r="B13" s="648"/>
      <c r="C13" s="649"/>
      <c r="D13" s="670" t="s">
        <v>42</v>
      </c>
      <c r="E13" s="670"/>
      <c r="F13" s="671"/>
      <c r="G13" s="672"/>
      <c r="H13" s="107" t="s">
        <v>43</v>
      </c>
      <c r="I13" s="247"/>
      <c r="J13" s="690" t="s">
        <v>159</v>
      </c>
      <c r="K13" s="677"/>
      <c r="L13" s="246"/>
      <c r="M13" s="691" t="s">
        <v>158</v>
      </c>
      <c r="N13" s="692"/>
      <c r="O13" s="693" t="s">
        <v>158</v>
      </c>
      <c r="P13" s="694"/>
      <c r="Q13" s="695" t="s">
        <v>158</v>
      </c>
      <c r="R13" s="696"/>
      <c r="S13" s="695" t="s">
        <v>158</v>
      </c>
      <c r="T13" s="704"/>
      <c r="U13" s="695" t="s">
        <v>158</v>
      </c>
      <c r="V13" s="697"/>
      <c r="Y13" s="246"/>
      <c r="AB13" s="246"/>
    </row>
    <row r="14" spans="2:54" ht="65.25" customHeight="1" thickBot="1">
      <c r="B14" s="648"/>
      <c r="C14" s="649"/>
      <c r="D14" s="670" t="s">
        <v>44</v>
      </c>
      <c r="E14" s="670"/>
      <c r="F14" s="671"/>
      <c r="G14" s="672"/>
      <c r="H14" s="107" t="s">
        <v>128</v>
      </c>
      <c r="I14" s="247"/>
      <c r="J14" s="673" t="s">
        <v>160</v>
      </c>
      <c r="K14" s="661"/>
      <c r="L14" s="246"/>
      <c r="M14" s="705" t="s">
        <v>45</v>
      </c>
      <c r="N14" s="706"/>
      <c r="O14" s="709" t="s">
        <v>45</v>
      </c>
      <c r="P14" s="696"/>
      <c r="Q14" s="707" t="s">
        <v>45</v>
      </c>
      <c r="R14" s="708"/>
      <c r="S14" s="711" t="s">
        <v>45</v>
      </c>
      <c r="T14" s="711"/>
      <c r="U14" s="709" t="s">
        <v>45</v>
      </c>
      <c r="V14" s="712"/>
      <c r="Y14" s="246"/>
      <c r="AB14" s="246"/>
    </row>
    <row r="15" spans="2:54" ht="21" customHeight="1" thickBot="1">
      <c r="B15" s="648"/>
      <c r="C15" s="649"/>
      <c r="D15" s="674" t="s">
        <v>46</v>
      </c>
      <c r="E15" s="675"/>
      <c r="F15" s="675"/>
      <c r="G15" s="675"/>
      <c r="H15" s="108" t="s">
        <v>47</v>
      </c>
      <c r="I15" s="251"/>
      <c r="J15" s="676" t="s">
        <v>15</v>
      </c>
      <c r="K15" s="677"/>
      <c r="L15" s="246"/>
      <c r="M15" s="676" t="s">
        <v>49</v>
      </c>
      <c r="N15" s="696"/>
      <c r="O15" s="704" t="s">
        <v>49</v>
      </c>
      <c r="P15" s="696"/>
      <c r="Q15" s="704" t="s">
        <v>49</v>
      </c>
      <c r="R15" s="696"/>
      <c r="S15" s="710" t="s">
        <v>49</v>
      </c>
      <c r="T15" s="704"/>
      <c r="U15" s="710" t="s">
        <v>49</v>
      </c>
      <c r="V15" s="677"/>
      <c r="Y15" s="246"/>
      <c r="AB15" s="246"/>
    </row>
    <row r="16" spans="2:54" ht="21" customHeight="1" thickBot="1">
      <c r="B16" s="650"/>
      <c r="C16" s="651"/>
      <c r="D16" s="713" t="s">
        <v>48</v>
      </c>
      <c r="E16" s="714"/>
      <c r="F16" s="714"/>
      <c r="G16" s="715"/>
      <c r="H16" s="108" t="s">
        <v>15</v>
      </c>
      <c r="J16" s="676" t="s">
        <v>15</v>
      </c>
      <c r="K16" s="677"/>
      <c r="M16" s="676" t="s">
        <v>49</v>
      </c>
      <c r="N16" s="696"/>
      <c r="O16" s="704" t="s">
        <v>50</v>
      </c>
      <c r="P16" s="696"/>
      <c r="Q16" s="704" t="s">
        <v>50</v>
      </c>
      <c r="R16" s="696"/>
      <c r="S16" s="710" t="s">
        <v>50</v>
      </c>
      <c r="T16" s="704"/>
      <c r="U16" s="710" t="s">
        <v>50</v>
      </c>
      <c r="V16" s="677"/>
      <c r="AN16" s="629" t="s">
        <v>174</v>
      </c>
      <c r="AO16" s="630"/>
      <c r="AP16" s="630"/>
      <c r="AQ16" s="630"/>
      <c r="AR16" s="630"/>
      <c r="AS16" s="630"/>
      <c r="AT16" s="630"/>
      <c r="AU16" s="630"/>
      <c r="AV16" s="630"/>
      <c r="AW16" s="630"/>
      <c r="AX16" s="630"/>
      <c r="AY16" s="630"/>
      <c r="AZ16" s="630"/>
      <c r="BA16" s="630"/>
      <c r="BB16" s="631"/>
    </row>
    <row r="17" spans="2:55" ht="23.25" customHeight="1" thickBot="1">
      <c r="AN17" s="124">
        <v>6</v>
      </c>
      <c r="AO17" s="124">
        <v>7</v>
      </c>
      <c r="AP17" s="124">
        <v>8</v>
      </c>
      <c r="AQ17" s="124">
        <v>9</v>
      </c>
      <c r="AR17" s="124">
        <v>10</v>
      </c>
      <c r="AS17" s="124">
        <v>11</v>
      </c>
      <c r="AT17" s="124">
        <v>12</v>
      </c>
      <c r="AU17" s="124">
        <v>13</v>
      </c>
      <c r="AV17" s="124">
        <v>14</v>
      </c>
      <c r="AW17" s="124">
        <v>15</v>
      </c>
      <c r="AX17" s="124">
        <v>16</v>
      </c>
      <c r="AY17" s="124">
        <v>17</v>
      </c>
      <c r="AZ17" s="124">
        <v>18</v>
      </c>
      <c r="BA17" s="124">
        <v>19</v>
      </c>
      <c r="BB17" s="124">
        <v>20</v>
      </c>
    </row>
    <row r="18" spans="2:55" ht="23.25" customHeight="1">
      <c r="B18" s="716" t="s">
        <v>52</v>
      </c>
      <c r="C18" s="717"/>
      <c r="D18" s="717"/>
      <c r="E18" s="717"/>
      <c r="F18" s="717"/>
      <c r="G18" s="718"/>
      <c r="H18" s="632" t="s">
        <v>125</v>
      </c>
      <c r="J18" s="634" t="s">
        <v>129</v>
      </c>
      <c r="K18" s="635"/>
      <c r="L18" s="260"/>
      <c r="M18" s="634" t="s">
        <v>106</v>
      </c>
      <c r="N18" s="722"/>
      <c r="O18" s="722"/>
      <c r="P18" s="722"/>
      <c r="Q18" s="722"/>
      <c r="R18" s="722"/>
      <c r="S18" s="722"/>
      <c r="T18" s="722"/>
      <c r="U18" s="722"/>
      <c r="V18" s="723"/>
      <c r="X18" s="632" t="s">
        <v>130</v>
      </c>
      <c r="Z18" s="634" t="s">
        <v>131</v>
      </c>
      <c r="AA18" s="635"/>
      <c r="AB18" s="260"/>
      <c r="AC18" s="634" t="s">
        <v>54</v>
      </c>
      <c r="AD18" s="722"/>
      <c r="AE18" s="722"/>
      <c r="AF18" s="722"/>
      <c r="AG18" s="722"/>
      <c r="AH18" s="722"/>
      <c r="AI18" s="722"/>
      <c r="AJ18" s="722"/>
      <c r="AK18" s="722"/>
      <c r="AL18" s="723"/>
      <c r="AN18" s="632" t="s">
        <v>125</v>
      </c>
      <c r="AO18" s="260"/>
      <c r="AP18" s="634" t="s">
        <v>129</v>
      </c>
      <c r="AQ18" s="635"/>
      <c r="AR18" s="260"/>
      <c r="AS18" s="638" t="s">
        <v>106</v>
      </c>
      <c r="AT18" s="639"/>
      <c r="AU18" s="639"/>
      <c r="AV18" s="639"/>
      <c r="AW18" s="639"/>
      <c r="AX18" s="639"/>
      <c r="AY18" s="639"/>
      <c r="AZ18" s="639"/>
      <c r="BA18" s="639"/>
      <c r="BB18" s="640"/>
    </row>
    <row r="19" spans="2:55" ht="3.75" customHeight="1">
      <c r="B19" s="719"/>
      <c r="C19" s="720"/>
      <c r="D19" s="720"/>
      <c r="E19" s="720"/>
      <c r="F19" s="720"/>
      <c r="G19" s="721"/>
      <c r="H19" s="633"/>
      <c r="J19" s="636"/>
      <c r="K19" s="637"/>
      <c r="L19" s="260"/>
      <c r="M19" s="259"/>
      <c r="N19" s="260"/>
      <c r="O19" s="260"/>
      <c r="P19" s="260"/>
      <c r="Q19" s="260"/>
      <c r="R19" s="260"/>
      <c r="S19" s="260"/>
      <c r="T19" s="260"/>
      <c r="U19" s="260"/>
      <c r="V19" s="260"/>
      <c r="X19" s="633"/>
      <c r="Z19" s="636"/>
      <c r="AA19" s="637"/>
      <c r="AB19" s="260"/>
      <c r="AC19" s="259"/>
      <c r="AD19" s="260"/>
      <c r="AE19" s="260"/>
      <c r="AF19" s="260"/>
      <c r="AG19" s="260"/>
      <c r="AH19" s="260"/>
      <c r="AI19" s="260"/>
      <c r="AJ19" s="260"/>
      <c r="AK19" s="260"/>
      <c r="AL19" s="260"/>
      <c r="AN19" s="633"/>
      <c r="AO19" s="260"/>
      <c r="AP19" s="636"/>
      <c r="AQ19" s="637"/>
      <c r="AR19" s="260"/>
      <c r="AS19" s="259"/>
      <c r="AT19" s="260"/>
      <c r="AU19" s="260"/>
      <c r="AV19" s="260"/>
      <c r="AW19" s="260"/>
      <c r="AX19" s="260"/>
      <c r="AY19" s="260"/>
      <c r="AZ19" s="260"/>
    </row>
    <row r="20" spans="2:55" ht="33.75" customHeight="1">
      <c r="B20" s="719"/>
      <c r="C20" s="720"/>
      <c r="D20" s="720"/>
      <c r="E20" s="720"/>
      <c r="F20" s="720"/>
      <c r="G20" s="721"/>
      <c r="H20" s="633"/>
      <c r="J20" s="636"/>
      <c r="K20" s="637"/>
      <c r="L20" s="243"/>
      <c r="M20" s="641" t="s">
        <v>132</v>
      </c>
      <c r="N20" s="642"/>
      <c r="O20" s="642"/>
      <c r="P20" s="642"/>
      <c r="Q20" s="642"/>
      <c r="R20" s="642"/>
      <c r="S20" s="642"/>
      <c r="T20" s="642"/>
      <c r="U20" s="642"/>
      <c r="V20" s="643"/>
      <c r="X20" s="633"/>
      <c r="Z20" s="636"/>
      <c r="AA20" s="637"/>
      <c r="AB20" s="243"/>
      <c r="AC20" s="641" t="s">
        <v>132</v>
      </c>
      <c r="AD20" s="642"/>
      <c r="AE20" s="642"/>
      <c r="AF20" s="642"/>
      <c r="AG20" s="642"/>
      <c r="AH20" s="642"/>
      <c r="AI20" s="642"/>
      <c r="AJ20" s="642"/>
      <c r="AK20" s="642"/>
      <c r="AL20" s="643"/>
      <c r="AN20" s="633"/>
      <c r="AO20" s="243"/>
      <c r="AP20" s="636"/>
      <c r="AQ20" s="637"/>
      <c r="AR20" s="243"/>
      <c r="AS20" s="641" t="s">
        <v>132</v>
      </c>
      <c r="AT20" s="642"/>
      <c r="AU20" s="642"/>
      <c r="AV20" s="642"/>
      <c r="AW20" s="642"/>
      <c r="AX20" s="642"/>
      <c r="AY20" s="642"/>
      <c r="AZ20" s="642"/>
      <c r="BA20" s="642"/>
      <c r="BB20" s="643"/>
    </row>
    <row r="21" spans="2:55" s="150" customFormat="1" ht="3.75" customHeight="1">
      <c r="B21" s="719"/>
      <c r="C21" s="720"/>
      <c r="D21" s="720"/>
      <c r="E21" s="720"/>
      <c r="F21" s="720"/>
      <c r="G21" s="721"/>
      <c r="H21" s="633"/>
      <c r="J21" s="260"/>
      <c r="K21" s="260"/>
      <c r="L21" s="243"/>
      <c r="M21" s="261"/>
      <c r="N21" s="262"/>
      <c r="O21" s="262"/>
      <c r="P21" s="262"/>
      <c r="Q21" s="262"/>
      <c r="R21" s="262"/>
      <c r="S21" s="262"/>
      <c r="T21" s="271"/>
      <c r="U21" s="261"/>
      <c r="V21" s="271"/>
      <c r="X21" s="633"/>
      <c r="Z21" s="260"/>
      <c r="AA21" s="260"/>
      <c r="AB21" s="243"/>
      <c r="AC21" s="261"/>
      <c r="AD21" s="262"/>
      <c r="AE21" s="262"/>
      <c r="AF21" s="262"/>
      <c r="AG21" s="262"/>
      <c r="AH21" s="262"/>
      <c r="AI21" s="262"/>
      <c r="AJ21" s="271"/>
      <c r="AK21" s="262"/>
      <c r="AL21" s="262"/>
      <c r="AN21" s="633"/>
      <c r="AO21" s="243"/>
      <c r="AP21" s="260"/>
      <c r="AQ21" s="260"/>
      <c r="AR21" s="243"/>
      <c r="AS21" s="261"/>
      <c r="AT21" s="262"/>
      <c r="AU21" s="262"/>
      <c r="AV21" s="262"/>
      <c r="AW21" s="262"/>
      <c r="AX21" s="262"/>
      <c r="AY21" s="262"/>
      <c r="AZ21" s="271"/>
    </row>
    <row r="22" spans="2:55" ht="30" customHeight="1">
      <c r="B22" s="719"/>
      <c r="C22" s="720"/>
      <c r="D22" s="720"/>
      <c r="E22" s="720"/>
      <c r="F22" s="720"/>
      <c r="G22" s="721"/>
      <c r="H22" s="633"/>
      <c r="I22" s="263"/>
      <c r="J22" s="644" t="s">
        <v>15</v>
      </c>
      <c r="K22" s="645"/>
      <c r="L22" s="243"/>
      <c r="M22" s="644" t="s">
        <v>108</v>
      </c>
      <c r="N22" s="645"/>
      <c r="O22" s="644" t="s">
        <v>109</v>
      </c>
      <c r="P22" s="645"/>
      <c r="Q22" s="644" t="s">
        <v>110</v>
      </c>
      <c r="R22" s="645"/>
      <c r="S22" s="644" t="s">
        <v>111</v>
      </c>
      <c r="T22" s="645"/>
      <c r="U22" s="644" t="s">
        <v>146</v>
      </c>
      <c r="V22" s="645"/>
      <c r="X22" s="633"/>
      <c r="Y22" s="263"/>
      <c r="Z22" s="644" t="s">
        <v>15</v>
      </c>
      <c r="AA22" s="645"/>
      <c r="AB22" s="243"/>
      <c r="AC22" s="644" t="s">
        <v>108</v>
      </c>
      <c r="AD22" s="645"/>
      <c r="AE22" s="644" t="s">
        <v>109</v>
      </c>
      <c r="AF22" s="645"/>
      <c r="AG22" s="644" t="s">
        <v>110</v>
      </c>
      <c r="AH22" s="645"/>
      <c r="AI22" s="644" t="s">
        <v>111</v>
      </c>
      <c r="AJ22" s="645"/>
      <c r="AK22" s="644" t="s">
        <v>146</v>
      </c>
      <c r="AL22" s="645"/>
      <c r="AN22" s="633"/>
      <c r="AO22" s="243"/>
      <c r="AP22" s="644" t="s">
        <v>36</v>
      </c>
      <c r="AQ22" s="645"/>
      <c r="AR22" s="243"/>
      <c r="AS22" s="644" t="s">
        <v>36</v>
      </c>
      <c r="AT22" s="645"/>
      <c r="AU22" s="644" t="s">
        <v>37</v>
      </c>
      <c r="AV22" s="645"/>
      <c r="AW22" s="644" t="s">
        <v>38</v>
      </c>
      <c r="AX22" s="645"/>
      <c r="AY22" s="644" t="s">
        <v>39</v>
      </c>
      <c r="AZ22" s="645"/>
      <c r="BA22" s="644" t="s">
        <v>175</v>
      </c>
      <c r="BB22" s="645"/>
    </row>
    <row r="23" spans="2:55" s="104" customFormat="1" ht="3.75" customHeight="1">
      <c r="B23" s="15"/>
      <c r="C23" s="6"/>
      <c r="D23" s="6"/>
      <c r="E23" s="6"/>
      <c r="F23" s="6"/>
      <c r="G23" s="6"/>
      <c r="H23" s="122"/>
      <c r="I23" s="17"/>
      <c r="J23" s="15"/>
      <c r="K23" s="16"/>
      <c r="L23" s="17"/>
      <c r="M23" s="15"/>
      <c r="N23" s="6"/>
      <c r="O23" s="6"/>
      <c r="P23" s="6"/>
      <c r="Q23" s="6"/>
      <c r="R23" s="6"/>
      <c r="S23" s="6"/>
      <c r="T23" s="16"/>
      <c r="U23" s="15"/>
      <c r="V23" s="16"/>
      <c r="W23"/>
      <c r="X23" s="122"/>
      <c r="Y23" s="17"/>
      <c r="Z23" s="15"/>
      <c r="AA23" s="16"/>
      <c r="AB23" s="17"/>
      <c r="AC23" s="15"/>
      <c r="AD23" s="6"/>
      <c r="AE23" s="6"/>
      <c r="AF23" s="6"/>
      <c r="AG23" s="6"/>
      <c r="AH23" s="6"/>
      <c r="AI23" s="6"/>
      <c r="AJ23" s="16"/>
      <c r="AK23" s="15"/>
      <c r="AL23" s="16"/>
      <c r="AN23" s="122"/>
      <c r="AO23" s="17"/>
      <c r="AP23" s="15"/>
      <c r="AQ23" s="16"/>
      <c r="AR23" s="17"/>
      <c r="AS23" s="15"/>
      <c r="AT23" s="6"/>
      <c r="AU23" s="6"/>
      <c r="AV23" s="6"/>
      <c r="AW23" s="6"/>
      <c r="AX23" s="6"/>
      <c r="AY23" s="6"/>
      <c r="AZ23" s="16"/>
      <c r="BA23" s="6"/>
      <c r="BB23" s="16"/>
    </row>
    <row r="24" spans="2:55" ht="48.75" customHeight="1">
      <c r="B24" s="226" t="s">
        <v>56</v>
      </c>
      <c r="C24" s="8" t="s">
        <v>57</v>
      </c>
      <c r="D24" s="9" t="s">
        <v>58</v>
      </c>
      <c r="E24" s="9" t="s">
        <v>123</v>
      </c>
      <c r="F24" s="8" t="s">
        <v>59</v>
      </c>
      <c r="G24" s="8" t="s">
        <v>133</v>
      </c>
      <c r="H24" s="8" t="s">
        <v>169</v>
      </c>
      <c r="I24" s="243"/>
      <c r="J24" s="10" t="s">
        <v>170</v>
      </c>
      <c r="K24" s="316" t="s">
        <v>171</v>
      </c>
      <c r="L24" s="243"/>
      <c r="M24" s="10" t="s">
        <v>170</v>
      </c>
      <c r="N24" s="316" t="s">
        <v>172</v>
      </c>
      <c r="O24" s="10" t="s">
        <v>170</v>
      </c>
      <c r="P24" s="316" t="s">
        <v>172</v>
      </c>
      <c r="Q24" s="10" t="s">
        <v>170</v>
      </c>
      <c r="R24" s="316" t="s">
        <v>172</v>
      </c>
      <c r="S24" s="10" t="s">
        <v>170</v>
      </c>
      <c r="T24" s="316" t="s">
        <v>172</v>
      </c>
      <c r="U24" s="10" t="s">
        <v>170</v>
      </c>
      <c r="V24" s="316" t="s">
        <v>172</v>
      </c>
      <c r="X24" s="8" t="s">
        <v>134</v>
      </c>
      <c r="Y24" s="243"/>
      <c r="Z24" s="10" t="s">
        <v>135</v>
      </c>
      <c r="AA24" s="316" t="s">
        <v>136</v>
      </c>
      <c r="AB24" s="243"/>
      <c r="AC24" s="10" t="s">
        <v>135</v>
      </c>
      <c r="AD24" s="316" t="s">
        <v>136</v>
      </c>
      <c r="AE24" s="10" t="s">
        <v>135</v>
      </c>
      <c r="AF24" s="316" t="s">
        <v>136</v>
      </c>
      <c r="AG24" s="10" t="s">
        <v>135</v>
      </c>
      <c r="AH24" s="316" t="s">
        <v>136</v>
      </c>
      <c r="AI24" s="10" t="s">
        <v>135</v>
      </c>
      <c r="AJ24" s="316" t="s">
        <v>136</v>
      </c>
      <c r="AK24" s="10" t="s">
        <v>135</v>
      </c>
      <c r="AL24" s="316" t="s">
        <v>136</v>
      </c>
      <c r="AN24" s="8" t="s">
        <v>169</v>
      </c>
      <c r="AO24" s="243"/>
      <c r="AP24" s="10" t="s">
        <v>170</v>
      </c>
      <c r="AQ24" s="316" t="s">
        <v>171</v>
      </c>
      <c r="AR24" s="243"/>
      <c r="AS24" s="10" t="s">
        <v>170</v>
      </c>
      <c r="AT24" s="316" t="s">
        <v>172</v>
      </c>
      <c r="AU24" s="10" t="s">
        <v>170</v>
      </c>
      <c r="AV24" s="316" t="s">
        <v>172</v>
      </c>
      <c r="AW24" s="10" t="s">
        <v>170</v>
      </c>
      <c r="AX24" s="316" t="s">
        <v>172</v>
      </c>
      <c r="AY24" s="10" t="s">
        <v>170</v>
      </c>
      <c r="AZ24" s="316" t="s">
        <v>172</v>
      </c>
      <c r="BA24" s="10" t="s">
        <v>170</v>
      </c>
      <c r="BB24" s="316" t="s">
        <v>172</v>
      </c>
    </row>
    <row r="25" spans="2:55" ht="12.75" customHeight="1">
      <c r="B25" s="280" t="s">
        <v>64</v>
      </c>
      <c r="C25" s="281" t="s">
        <v>189</v>
      </c>
      <c r="D25" s="188">
        <v>0</v>
      </c>
      <c r="E25" s="519">
        <v>1.1000000000000001</v>
      </c>
      <c r="F25" s="232" t="s">
        <v>284</v>
      </c>
      <c r="G25" s="233" t="s">
        <v>15</v>
      </c>
      <c r="H25" s="232" t="s">
        <v>15</v>
      </c>
      <c r="I25" s="264"/>
      <c r="J25" s="282" t="s">
        <v>15</v>
      </c>
      <c r="K25" s="293" t="s">
        <v>15</v>
      </c>
      <c r="L25" s="298"/>
      <c r="M25" s="517" t="s">
        <v>15</v>
      </c>
      <c r="N25" s="518" t="s">
        <v>15</v>
      </c>
      <c r="O25" s="517" t="s">
        <v>15</v>
      </c>
      <c r="P25" s="518" t="s">
        <v>15</v>
      </c>
      <c r="Q25" s="517" t="s">
        <v>15</v>
      </c>
      <c r="R25" s="518" t="s">
        <v>15</v>
      </c>
      <c r="S25" s="329" t="s">
        <v>15</v>
      </c>
      <c r="T25" s="518" t="s">
        <v>15</v>
      </c>
      <c r="U25" s="517" t="s">
        <v>15</v>
      </c>
      <c r="V25" s="518" t="s">
        <v>15</v>
      </c>
      <c r="X25" s="283">
        <v>0</v>
      </c>
      <c r="Y25" s="264"/>
      <c r="Z25" s="282">
        <v>0</v>
      </c>
      <c r="AA25" s="293">
        <v>0</v>
      </c>
      <c r="AB25" s="284"/>
      <c r="AC25" s="265">
        <v>0</v>
      </c>
      <c r="AD25" s="294">
        <v>0</v>
      </c>
      <c r="AE25" s="265">
        <v>0</v>
      </c>
      <c r="AF25" s="294">
        <v>0</v>
      </c>
      <c r="AG25" s="265">
        <v>0</v>
      </c>
      <c r="AH25" s="294">
        <v>0</v>
      </c>
      <c r="AI25" s="292">
        <v>0</v>
      </c>
      <c r="AJ25" s="294">
        <v>0</v>
      </c>
      <c r="AK25" s="265">
        <v>0</v>
      </c>
      <c r="AL25" s="294">
        <v>0</v>
      </c>
      <c r="AM25" s="109"/>
      <c r="AN25" s="283">
        <v>0</v>
      </c>
      <c r="AO25" s="284"/>
      <c r="AP25" s="282">
        <v>0</v>
      </c>
      <c r="AQ25" s="293">
        <v>0</v>
      </c>
      <c r="AR25" s="284"/>
      <c r="AS25" s="282">
        <v>0</v>
      </c>
      <c r="AT25" s="315">
        <v>0</v>
      </c>
      <c r="AU25" s="282">
        <v>0</v>
      </c>
      <c r="AV25" s="315">
        <v>0</v>
      </c>
      <c r="AW25" s="282">
        <v>0</v>
      </c>
      <c r="AX25" s="315">
        <v>0</v>
      </c>
      <c r="AY25" s="282">
        <v>0</v>
      </c>
      <c r="AZ25" s="315">
        <v>0</v>
      </c>
      <c r="BA25" s="282">
        <v>0</v>
      </c>
      <c r="BB25" s="315">
        <v>0</v>
      </c>
      <c r="BC25" s="109"/>
    </row>
    <row r="26" spans="2:55" ht="12.75" customHeight="1">
      <c r="B26" s="273" t="s">
        <v>64</v>
      </c>
      <c r="C26" s="286" t="s">
        <v>385</v>
      </c>
      <c r="D26" s="189">
        <v>239</v>
      </c>
      <c r="E26" s="520">
        <v>3.75</v>
      </c>
      <c r="F26" s="236" t="s">
        <v>284</v>
      </c>
      <c r="G26" s="236" t="s">
        <v>178</v>
      </c>
      <c r="H26" s="295">
        <v>280</v>
      </c>
      <c r="I26" s="264"/>
      <c r="J26" s="267" t="s">
        <v>15</v>
      </c>
      <c r="K26" s="297" t="s">
        <v>15</v>
      </c>
      <c r="L26" s="298"/>
      <c r="M26" s="237">
        <v>0</v>
      </c>
      <c r="N26" s="314">
        <v>7.3</v>
      </c>
      <c r="O26" s="237">
        <v>0</v>
      </c>
      <c r="P26" s="314">
        <v>5.9</v>
      </c>
      <c r="Q26" s="237">
        <v>0</v>
      </c>
      <c r="R26" s="314">
        <v>2.5</v>
      </c>
      <c r="S26" s="509">
        <v>0</v>
      </c>
      <c r="T26" s="314">
        <v>0</v>
      </c>
      <c r="U26" s="237">
        <v>0</v>
      </c>
      <c r="V26" s="314">
        <v>0</v>
      </c>
      <c r="W26" s="109"/>
      <c r="X26" s="268">
        <v>-41</v>
      </c>
      <c r="Y26" s="264"/>
      <c r="Z26" s="267">
        <v>0</v>
      </c>
      <c r="AA26" s="297">
        <v>0</v>
      </c>
      <c r="AB26" s="284"/>
      <c r="AC26" s="267">
        <v>64</v>
      </c>
      <c r="AD26" s="297">
        <v>175</v>
      </c>
      <c r="AE26" s="267">
        <v>97</v>
      </c>
      <c r="AF26" s="297">
        <v>142</v>
      </c>
      <c r="AG26" s="267">
        <v>179</v>
      </c>
      <c r="AH26" s="297">
        <v>60</v>
      </c>
      <c r="AI26" s="296">
        <v>239</v>
      </c>
      <c r="AJ26" s="297">
        <v>0</v>
      </c>
      <c r="AK26" s="267">
        <v>239</v>
      </c>
      <c r="AL26" s="297">
        <v>0</v>
      </c>
      <c r="AN26" s="283">
        <v>0</v>
      </c>
      <c r="AO26" s="284"/>
      <c r="AP26" s="282">
        <v>0</v>
      </c>
      <c r="AQ26" s="293">
        <v>0</v>
      </c>
      <c r="AR26" s="284"/>
      <c r="AS26" s="282">
        <v>0</v>
      </c>
      <c r="AT26" s="315">
        <v>0</v>
      </c>
      <c r="AU26" s="282">
        <v>0</v>
      </c>
      <c r="AV26" s="315">
        <v>0</v>
      </c>
      <c r="AW26" s="282">
        <v>0</v>
      </c>
      <c r="AX26" s="315">
        <v>0</v>
      </c>
      <c r="AY26" s="282">
        <v>0</v>
      </c>
      <c r="AZ26" s="315">
        <v>0</v>
      </c>
      <c r="BA26" s="282">
        <v>0</v>
      </c>
      <c r="BB26" s="315">
        <v>0</v>
      </c>
    </row>
    <row r="27" spans="2:55" s="109" customFormat="1" ht="13.5" customHeight="1">
      <c r="B27" s="280" t="s">
        <v>64</v>
      </c>
      <c r="C27" s="281" t="s">
        <v>386</v>
      </c>
      <c r="D27" s="188">
        <v>0</v>
      </c>
      <c r="E27" s="519">
        <v>3.75</v>
      </c>
      <c r="F27" s="233" t="s">
        <v>284</v>
      </c>
      <c r="G27" s="233" t="s">
        <v>15</v>
      </c>
      <c r="H27" s="232" t="s">
        <v>15</v>
      </c>
      <c r="I27" s="264"/>
      <c r="J27" s="282" t="s">
        <v>15</v>
      </c>
      <c r="K27" s="293" t="s">
        <v>15</v>
      </c>
      <c r="L27" s="298"/>
      <c r="M27" s="517" t="s">
        <v>15</v>
      </c>
      <c r="N27" s="518" t="s">
        <v>15</v>
      </c>
      <c r="O27" s="517" t="s">
        <v>15</v>
      </c>
      <c r="P27" s="518" t="s">
        <v>15</v>
      </c>
      <c r="Q27" s="517" t="s">
        <v>15</v>
      </c>
      <c r="R27" s="518" t="s">
        <v>15</v>
      </c>
      <c r="S27" s="329" t="s">
        <v>15</v>
      </c>
      <c r="T27" s="518" t="s">
        <v>15</v>
      </c>
      <c r="U27" s="517" t="s">
        <v>15</v>
      </c>
      <c r="V27" s="518" t="s">
        <v>15</v>
      </c>
      <c r="W27" s="113"/>
      <c r="X27" s="283">
        <v>0</v>
      </c>
      <c r="Y27" s="264"/>
      <c r="Z27" s="282">
        <v>0</v>
      </c>
      <c r="AA27" s="293">
        <v>0</v>
      </c>
      <c r="AB27" s="284"/>
      <c r="AC27" s="265">
        <v>0</v>
      </c>
      <c r="AD27" s="294">
        <v>0</v>
      </c>
      <c r="AE27" s="265">
        <v>0</v>
      </c>
      <c r="AF27" s="294">
        <v>0</v>
      </c>
      <c r="AG27" s="265">
        <v>0</v>
      </c>
      <c r="AH27" s="294">
        <v>0</v>
      </c>
      <c r="AI27" s="292">
        <v>0</v>
      </c>
      <c r="AJ27" s="294">
        <v>0</v>
      </c>
      <c r="AK27" s="265">
        <v>0</v>
      </c>
      <c r="AL27" s="294">
        <v>0</v>
      </c>
      <c r="AN27" s="283">
        <v>0</v>
      </c>
      <c r="AO27" s="284"/>
      <c r="AP27" s="282">
        <v>0</v>
      </c>
      <c r="AQ27" s="293">
        <v>0</v>
      </c>
      <c r="AR27" s="284"/>
      <c r="AS27" s="282">
        <v>0</v>
      </c>
      <c r="AT27" s="315">
        <v>0</v>
      </c>
      <c r="AU27" s="282">
        <v>0</v>
      </c>
      <c r="AV27" s="315">
        <v>0</v>
      </c>
      <c r="AW27" s="282">
        <v>0</v>
      </c>
      <c r="AX27" s="315">
        <v>0</v>
      </c>
      <c r="AY27" s="282">
        <v>0</v>
      </c>
      <c r="AZ27" s="315">
        <v>0</v>
      </c>
      <c r="BA27" s="282">
        <v>0</v>
      </c>
      <c r="BB27" s="315">
        <v>0</v>
      </c>
    </row>
    <row r="28" spans="2:55">
      <c r="B28" s="273" t="s">
        <v>346</v>
      </c>
      <c r="C28" s="286" t="s">
        <v>347</v>
      </c>
      <c r="D28" s="189">
        <v>64</v>
      </c>
      <c r="E28" s="520">
        <v>1.1000000000000001</v>
      </c>
      <c r="F28" s="236" t="s">
        <v>4</v>
      </c>
      <c r="G28" s="236" t="s">
        <v>15</v>
      </c>
      <c r="H28" s="295" t="s">
        <v>15</v>
      </c>
      <c r="I28" s="264"/>
      <c r="J28" s="267" t="s">
        <v>15</v>
      </c>
      <c r="K28" s="297" t="s">
        <v>15</v>
      </c>
      <c r="L28" s="298"/>
      <c r="M28" s="237" t="s">
        <v>15</v>
      </c>
      <c r="N28" s="314" t="s">
        <v>15</v>
      </c>
      <c r="O28" s="237" t="s">
        <v>15</v>
      </c>
      <c r="P28" s="314" t="s">
        <v>15</v>
      </c>
      <c r="Q28" s="237" t="s">
        <v>15</v>
      </c>
      <c r="R28" s="314" t="s">
        <v>15</v>
      </c>
      <c r="S28" s="509" t="s">
        <v>15</v>
      </c>
      <c r="T28" s="314" t="s">
        <v>15</v>
      </c>
      <c r="U28" s="237" t="s">
        <v>15</v>
      </c>
      <c r="V28" s="314" t="s">
        <v>15</v>
      </c>
      <c r="W28" s="109"/>
      <c r="X28" s="268">
        <v>0</v>
      </c>
      <c r="Y28" s="264"/>
      <c r="Z28" s="267">
        <v>0</v>
      </c>
      <c r="AA28" s="297">
        <v>0</v>
      </c>
      <c r="AB28" s="284"/>
      <c r="AC28" s="267">
        <v>0</v>
      </c>
      <c r="AD28" s="297">
        <v>0</v>
      </c>
      <c r="AE28" s="267">
        <v>0</v>
      </c>
      <c r="AF28" s="297">
        <v>0</v>
      </c>
      <c r="AG28" s="267">
        <v>0</v>
      </c>
      <c r="AH28" s="297">
        <v>0</v>
      </c>
      <c r="AI28" s="296">
        <v>0</v>
      </c>
      <c r="AJ28" s="297">
        <v>0</v>
      </c>
      <c r="AK28" s="267">
        <v>0</v>
      </c>
      <c r="AL28" s="297">
        <v>0</v>
      </c>
      <c r="AN28" s="283">
        <v>0</v>
      </c>
      <c r="AO28" s="284"/>
      <c r="AP28" s="282">
        <v>0</v>
      </c>
      <c r="AQ28" s="293">
        <v>0</v>
      </c>
      <c r="AR28" s="284"/>
      <c r="AS28" s="282">
        <v>0</v>
      </c>
      <c r="AT28" s="315">
        <v>0</v>
      </c>
      <c r="AU28" s="282">
        <v>0</v>
      </c>
      <c r="AV28" s="315">
        <v>0</v>
      </c>
      <c r="AW28" s="282">
        <v>0</v>
      </c>
      <c r="AX28" s="315">
        <v>0</v>
      </c>
      <c r="AY28" s="282">
        <v>0</v>
      </c>
      <c r="AZ28" s="315">
        <v>0</v>
      </c>
      <c r="BA28" s="282">
        <v>0</v>
      </c>
      <c r="BB28" s="315">
        <v>0</v>
      </c>
    </row>
    <row r="29" spans="2:55" s="109" customFormat="1" ht="13.5" customHeight="1">
      <c r="B29" s="280" t="s">
        <v>533</v>
      </c>
      <c r="C29" s="281" t="s">
        <v>534</v>
      </c>
      <c r="D29" s="188">
        <v>77</v>
      </c>
      <c r="E29" s="519">
        <v>1.1000000000000001</v>
      </c>
      <c r="F29" s="233" t="s">
        <v>4</v>
      </c>
      <c r="G29" s="233" t="s">
        <v>178</v>
      </c>
      <c r="H29" s="232">
        <v>93</v>
      </c>
      <c r="I29" s="264"/>
      <c r="J29" s="282" t="s">
        <v>15</v>
      </c>
      <c r="K29" s="293" t="s">
        <v>15</v>
      </c>
      <c r="L29" s="298"/>
      <c r="M29" s="517">
        <v>0</v>
      </c>
      <c r="N29" s="518">
        <v>0</v>
      </c>
      <c r="O29" s="517">
        <v>0</v>
      </c>
      <c r="P29" s="518">
        <v>0</v>
      </c>
      <c r="Q29" s="517">
        <v>0</v>
      </c>
      <c r="R29" s="518">
        <v>0</v>
      </c>
      <c r="S29" s="329">
        <v>0</v>
      </c>
      <c r="T29" s="518">
        <v>0</v>
      </c>
      <c r="U29" s="517">
        <v>0</v>
      </c>
      <c r="V29" s="518">
        <v>0</v>
      </c>
      <c r="W29" s="113"/>
      <c r="X29" s="283">
        <v>-16</v>
      </c>
      <c r="Y29" s="264"/>
      <c r="Z29" s="282">
        <v>0</v>
      </c>
      <c r="AA29" s="293">
        <v>0</v>
      </c>
      <c r="AB29" s="284"/>
      <c r="AC29" s="265">
        <v>77</v>
      </c>
      <c r="AD29" s="294">
        <v>0</v>
      </c>
      <c r="AE29" s="265">
        <v>77</v>
      </c>
      <c r="AF29" s="294">
        <v>0</v>
      </c>
      <c r="AG29" s="265">
        <v>77</v>
      </c>
      <c r="AH29" s="294">
        <v>0</v>
      </c>
      <c r="AI29" s="292">
        <v>77</v>
      </c>
      <c r="AJ29" s="294">
        <v>0</v>
      </c>
      <c r="AK29" s="265">
        <v>77</v>
      </c>
      <c r="AL29" s="294">
        <v>0</v>
      </c>
      <c r="AN29" s="283">
        <v>0</v>
      </c>
      <c r="AO29" s="284"/>
      <c r="AP29" s="282">
        <v>0</v>
      </c>
      <c r="AQ29" s="293">
        <v>0</v>
      </c>
      <c r="AR29" s="284"/>
      <c r="AS29" s="282">
        <v>0</v>
      </c>
      <c r="AT29" s="315">
        <v>0</v>
      </c>
      <c r="AU29" s="282">
        <v>0</v>
      </c>
      <c r="AV29" s="315">
        <v>0</v>
      </c>
      <c r="AW29" s="282">
        <v>0</v>
      </c>
      <c r="AX29" s="315">
        <v>0</v>
      </c>
      <c r="AY29" s="282">
        <v>0</v>
      </c>
      <c r="AZ29" s="315">
        <v>0</v>
      </c>
      <c r="BA29" s="282">
        <v>0</v>
      </c>
      <c r="BB29" s="315">
        <v>0</v>
      </c>
    </row>
    <row r="30" spans="2:55">
      <c r="B30" s="273" t="s">
        <v>62</v>
      </c>
      <c r="C30" s="286" t="s">
        <v>584</v>
      </c>
      <c r="D30" s="189">
        <v>137</v>
      </c>
      <c r="E30" s="520">
        <v>0</v>
      </c>
      <c r="F30" s="236" t="s">
        <v>458</v>
      </c>
      <c r="G30" s="236" t="s">
        <v>178</v>
      </c>
      <c r="H30" s="295">
        <v>165</v>
      </c>
      <c r="I30" s="264"/>
      <c r="J30" s="267" t="s">
        <v>15</v>
      </c>
      <c r="K30" s="297" t="s">
        <v>15</v>
      </c>
      <c r="L30" s="298"/>
      <c r="M30" s="237">
        <v>0</v>
      </c>
      <c r="N30" s="314">
        <v>4</v>
      </c>
      <c r="O30" s="237">
        <v>0</v>
      </c>
      <c r="P30" s="314">
        <v>2.6</v>
      </c>
      <c r="Q30" s="237">
        <v>0</v>
      </c>
      <c r="R30" s="314">
        <v>0</v>
      </c>
      <c r="S30" s="509">
        <v>0</v>
      </c>
      <c r="T30" s="314">
        <v>0</v>
      </c>
      <c r="U30" s="237">
        <v>0</v>
      </c>
      <c r="V30" s="314">
        <v>0</v>
      </c>
      <c r="W30" s="109"/>
      <c r="X30" s="268">
        <v>-28</v>
      </c>
      <c r="Y30" s="264"/>
      <c r="Z30" s="267">
        <v>0</v>
      </c>
      <c r="AA30" s="297">
        <v>0</v>
      </c>
      <c r="AB30" s="284"/>
      <c r="AC30" s="267">
        <v>41</v>
      </c>
      <c r="AD30" s="297">
        <v>96</v>
      </c>
      <c r="AE30" s="267">
        <v>75</v>
      </c>
      <c r="AF30" s="297">
        <v>62</v>
      </c>
      <c r="AG30" s="267">
        <v>137</v>
      </c>
      <c r="AH30" s="297">
        <v>0</v>
      </c>
      <c r="AI30" s="296">
        <v>137</v>
      </c>
      <c r="AJ30" s="297">
        <v>0</v>
      </c>
      <c r="AK30" s="267">
        <v>137</v>
      </c>
      <c r="AL30" s="297">
        <v>0</v>
      </c>
      <c r="AN30" s="283">
        <v>0</v>
      </c>
      <c r="AO30" s="284"/>
      <c r="AP30" s="282">
        <v>0</v>
      </c>
      <c r="AQ30" s="293">
        <v>0</v>
      </c>
      <c r="AR30" s="284"/>
      <c r="AS30" s="282">
        <v>0</v>
      </c>
      <c r="AT30" s="315">
        <v>0</v>
      </c>
      <c r="AU30" s="282">
        <v>0</v>
      </c>
      <c r="AV30" s="315">
        <v>0</v>
      </c>
      <c r="AW30" s="282">
        <v>0</v>
      </c>
      <c r="AX30" s="315">
        <v>0</v>
      </c>
      <c r="AY30" s="282">
        <v>0</v>
      </c>
      <c r="AZ30" s="315">
        <v>0</v>
      </c>
      <c r="BA30" s="282">
        <v>0</v>
      </c>
      <c r="BB30" s="315">
        <v>0</v>
      </c>
    </row>
    <row r="31" spans="2:55" s="109" customFormat="1" ht="13.5" customHeight="1">
      <c r="B31" s="280" t="s">
        <v>62</v>
      </c>
      <c r="C31" s="281" t="s">
        <v>585</v>
      </c>
      <c r="D31" s="188">
        <v>184</v>
      </c>
      <c r="E31" s="519">
        <v>0</v>
      </c>
      <c r="F31" s="233" t="s">
        <v>458</v>
      </c>
      <c r="G31" s="233" t="s">
        <v>178</v>
      </c>
      <c r="H31" s="232">
        <v>222</v>
      </c>
      <c r="I31" s="264"/>
      <c r="J31" s="282" t="s">
        <v>15</v>
      </c>
      <c r="K31" s="293" t="s">
        <v>15</v>
      </c>
      <c r="L31" s="298"/>
      <c r="M31" s="517">
        <v>0</v>
      </c>
      <c r="N31" s="518">
        <v>5.6</v>
      </c>
      <c r="O31" s="517">
        <v>0</v>
      </c>
      <c r="P31" s="518">
        <v>4.2</v>
      </c>
      <c r="Q31" s="517">
        <v>0</v>
      </c>
      <c r="R31" s="518">
        <v>0</v>
      </c>
      <c r="S31" s="329">
        <v>0</v>
      </c>
      <c r="T31" s="518">
        <v>0</v>
      </c>
      <c r="U31" s="517">
        <v>0</v>
      </c>
      <c r="V31" s="518">
        <v>0</v>
      </c>
      <c r="W31" s="113"/>
      <c r="X31" s="283">
        <v>-38</v>
      </c>
      <c r="Y31" s="264"/>
      <c r="Z31" s="282">
        <v>0</v>
      </c>
      <c r="AA31" s="293">
        <v>0</v>
      </c>
      <c r="AB31" s="284"/>
      <c r="AC31" s="265">
        <v>50</v>
      </c>
      <c r="AD31" s="294">
        <v>134</v>
      </c>
      <c r="AE31" s="265">
        <v>83</v>
      </c>
      <c r="AF31" s="294">
        <v>101</v>
      </c>
      <c r="AG31" s="265">
        <v>184</v>
      </c>
      <c r="AH31" s="294">
        <v>0</v>
      </c>
      <c r="AI31" s="292">
        <v>184</v>
      </c>
      <c r="AJ31" s="294">
        <v>0</v>
      </c>
      <c r="AK31" s="265">
        <v>184</v>
      </c>
      <c r="AL31" s="294">
        <v>0</v>
      </c>
      <c r="AN31" s="283">
        <v>0</v>
      </c>
      <c r="AO31" s="284"/>
      <c r="AP31" s="282">
        <v>0</v>
      </c>
      <c r="AQ31" s="293">
        <v>0</v>
      </c>
      <c r="AR31" s="284"/>
      <c r="AS31" s="282">
        <v>0</v>
      </c>
      <c r="AT31" s="315">
        <v>0</v>
      </c>
      <c r="AU31" s="282">
        <v>0</v>
      </c>
      <c r="AV31" s="315">
        <v>0</v>
      </c>
      <c r="AW31" s="282">
        <v>0</v>
      </c>
      <c r="AX31" s="315">
        <v>0</v>
      </c>
      <c r="AY31" s="282">
        <v>0</v>
      </c>
      <c r="AZ31" s="315">
        <v>0</v>
      </c>
      <c r="BA31" s="282">
        <v>0</v>
      </c>
      <c r="BB31" s="315">
        <v>0</v>
      </c>
    </row>
    <row r="32" spans="2:55">
      <c r="B32" s="273" t="s">
        <v>62</v>
      </c>
      <c r="C32" s="286" t="s">
        <v>420</v>
      </c>
      <c r="D32" s="189">
        <v>279</v>
      </c>
      <c r="E32" s="520">
        <v>0</v>
      </c>
      <c r="F32" s="236" t="s">
        <v>458</v>
      </c>
      <c r="G32" s="236" t="s">
        <v>178</v>
      </c>
      <c r="H32" s="295">
        <v>336</v>
      </c>
      <c r="I32" s="264"/>
      <c r="J32" s="267" t="s">
        <v>15</v>
      </c>
      <c r="K32" s="297" t="s">
        <v>15</v>
      </c>
      <c r="L32" s="298"/>
      <c r="M32" s="237">
        <v>0</v>
      </c>
      <c r="N32" s="314">
        <v>8.1</v>
      </c>
      <c r="O32" s="237">
        <v>0</v>
      </c>
      <c r="P32" s="314">
        <v>6.7</v>
      </c>
      <c r="Q32" s="237">
        <v>0</v>
      </c>
      <c r="R32" s="314">
        <v>3.4</v>
      </c>
      <c r="S32" s="509">
        <v>0</v>
      </c>
      <c r="T32" s="314">
        <v>1.8</v>
      </c>
      <c r="U32" s="237">
        <v>0</v>
      </c>
      <c r="V32" s="314">
        <v>0</v>
      </c>
      <c r="W32" s="109"/>
      <c r="X32" s="268">
        <v>-57</v>
      </c>
      <c r="Y32" s="264"/>
      <c r="Z32" s="267">
        <v>0</v>
      </c>
      <c r="AA32" s="297">
        <v>0</v>
      </c>
      <c r="AB32" s="284"/>
      <c r="AC32" s="267">
        <v>85</v>
      </c>
      <c r="AD32" s="297">
        <v>194</v>
      </c>
      <c r="AE32" s="267">
        <v>118</v>
      </c>
      <c r="AF32" s="297">
        <v>161</v>
      </c>
      <c r="AG32" s="267">
        <v>197</v>
      </c>
      <c r="AH32" s="297">
        <v>82</v>
      </c>
      <c r="AI32" s="296">
        <v>236</v>
      </c>
      <c r="AJ32" s="297">
        <v>43</v>
      </c>
      <c r="AK32" s="267">
        <v>279</v>
      </c>
      <c r="AL32" s="297">
        <v>0</v>
      </c>
      <c r="AN32" s="283">
        <v>0</v>
      </c>
      <c r="AO32" s="284"/>
      <c r="AP32" s="282">
        <v>0</v>
      </c>
      <c r="AQ32" s="293">
        <v>0</v>
      </c>
      <c r="AR32" s="284"/>
      <c r="AS32" s="282">
        <v>0</v>
      </c>
      <c r="AT32" s="315">
        <v>0</v>
      </c>
      <c r="AU32" s="282">
        <v>0</v>
      </c>
      <c r="AV32" s="315">
        <v>0</v>
      </c>
      <c r="AW32" s="282">
        <v>0</v>
      </c>
      <c r="AX32" s="315">
        <v>0</v>
      </c>
      <c r="AY32" s="282">
        <v>0</v>
      </c>
      <c r="AZ32" s="315">
        <v>0</v>
      </c>
      <c r="BA32" s="282">
        <v>0</v>
      </c>
      <c r="BB32" s="315">
        <v>0</v>
      </c>
    </row>
    <row r="33" spans="2:55">
      <c r="B33" s="280" t="s">
        <v>62</v>
      </c>
      <c r="C33" s="281" t="s">
        <v>586</v>
      </c>
      <c r="D33" s="188">
        <v>532</v>
      </c>
      <c r="E33" s="519">
        <v>2.5</v>
      </c>
      <c r="F33" s="233" t="s">
        <v>459</v>
      </c>
      <c r="G33" s="233" t="s">
        <v>178</v>
      </c>
      <c r="H33" s="232">
        <v>643</v>
      </c>
      <c r="I33" s="264"/>
      <c r="J33" s="282" t="s">
        <v>15</v>
      </c>
      <c r="K33" s="293" t="s">
        <v>15</v>
      </c>
      <c r="L33" s="298"/>
      <c r="M33" s="517">
        <v>39</v>
      </c>
      <c r="N33" s="518">
        <v>16.399999999999999</v>
      </c>
      <c r="O33" s="517">
        <v>19</v>
      </c>
      <c r="P33" s="518">
        <v>15.6</v>
      </c>
      <c r="Q33" s="517">
        <v>0</v>
      </c>
      <c r="R33" s="518">
        <v>13.1</v>
      </c>
      <c r="S33" s="329">
        <v>0</v>
      </c>
      <c r="T33" s="518">
        <v>11.5</v>
      </c>
      <c r="U33" s="517">
        <v>0</v>
      </c>
      <c r="V33" s="518">
        <v>6.8</v>
      </c>
      <c r="X33" s="283">
        <v>-111</v>
      </c>
      <c r="Y33" s="264"/>
      <c r="Z33" s="282">
        <v>0</v>
      </c>
      <c r="AA33" s="293">
        <v>0</v>
      </c>
      <c r="AB33" s="284"/>
      <c r="AC33" s="265">
        <v>99</v>
      </c>
      <c r="AD33" s="294">
        <v>394</v>
      </c>
      <c r="AE33" s="265">
        <v>139</v>
      </c>
      <c r="AF33" s="294">
        <v>374</v>
      </c>
      <c r="AG33" s="265">
        <v>218</v>
      </c>
      <c r="AH33" s="294">
        <v>314</v>
      </c>
      <c r="AI33" s="292">
        <v>256</v>
      </c>
      <c r="AJ33" s="294">
        <v>276</v>
      </c>
      <c r="AK33" s="265">
        <v>369</v>
      </c>
      <c r="AL33" s="294">
        <v>163</v>
      </c>
      <c r="AM33" s="109"/>
      <c r="AN33" s="283">
        <v>0</v>
      </c>
      <c r="AO33" s="284"/>
      <c r="AP33" s="282">
        <v>0</v>
      </c>
      <c r="AQ33" s="293">
        <v>0</v>
      </c>
      <c r="AR33" s="284"/>
      <c r="AS33" s="282">
        <v>0</v>
      </c>
      <c r="AT33" s="315">
        <v>0</v>
      </c>
      <c r="AU33" s="282">
        <v>0</v>
      </c>
      <c r="AV33" s="315">
        <v>0</v>
      </c>
      <c r="AW33" s="282">
        <v>0</v>
      </c>
      <c r="AX33" s="315">
        <v>0</v>
      </c>
      <c r="AY33" s="282">
        <v>0</v>
      </c>
      <c r="AZ33" s="315">
        <v>0</v>
      </c>
      <c r="BA33" s="282">
        <v>0</v>
      </c>
      <c r="BB33" s="315">
        <v>0</v>
      </c>
      <c r="BC33" s="109"/>
    </row>
    <row r="34" spans="2:55">
      <c r="B34" s="273" t="s">
        <v>62</v>
      </c>
      <c r="C34" s="286" t="s">
        <v>587</v>
      </c>
      <c r="D34" s="189">
        <v>555</v>
      </c>
      <c r="E34" s="520">
        <v>2.5</v>
      </c>
      <c r="F34" s="236" t="s">
        <v>459</v>
      </c>
      <c r="G34" s="236" t="s">
        <v>178</v>
      </c>
      <c r="H34" s="295">
        <v>671</v>
      </c>
      <c r="I34" s="264"/>
      <c r="J34" s="267" t="s">
        <v>15</v>
      </c>
      <c r="K34" s="297" t="s">
        <v>15</v>
      </c>
      <c r="L34" s="298"/>
      <c r="M34" s="237">
        <v>39</v>
      </c>
      <c r="N34" s="314">
        <v>17.399999999999999</v>
      </c>
      <c r="O34" s="237">
        <v>19</v>
      </c>
      <c r="P34" s="314">
        <v>16.600000000000001</v>
      </c>
      <c r="Q34" s="237">
        <v>0</v>
      </c>
      <c r="R34" s="314">
        <v>14.1</v>
      </c>
      <c r="S34" s="509">
        <v>0</v>
      </c>
      <c r="T34" s="314">
        <v>12.4</v>
      </c>
      <c r="U34" s="237">
        <v>0</v>
      </c>
      <c r="V34" s="314">
        <v>7.8</v>
      </c>
      <c r="W34" s="109"/>
      <c r="X34" s="268">
        <v>-116</v>
      </c>
      <c r="Y34" s="264"/>
      <c r="Z34" s="267">
        <v>0</v>
      </c>
      <c r="AA34" s="297">
        <v>0</v>
      </c>
      <c r="AB34" s="284"/>
      <c r="AC34" s="267">
        <v>98</v>
      </c>
      <c r="AD34" s="297">
        <v>418</v>
      </c>
      <c r="AE34" s="267">
        <v>138</v>
      </c>
      <c r="AF34" s="297">
        <v>398</v>
      </c>
      <c r="AG34" s="267">
        <v>217</v>
      </c>
      <c r="AH34" s="297">
        <v>338</v>
      </c>
      <c r="AI34" s="296">
        <v>257</v>
      </c>
      <c r="AJ34" s="297">
        <v>298</v>
      </c>
      <c r="AK34" s="267">
        <v>368</v>
      </c>
      <c r="AL34" s="297">
        <v>187</v>
      </c>
      <c r="AN34" s="283">
        <v>0</v>
      </c>
      <c r="AO34" s="284"/>
      <c r="AP34" s="282">
        <v>0</v>
      </c>
      <c r="AQ34" s="293">
        <v>0</v>
      </c>
      <c r="AR34" s="284"/>
      <c r="AS34" s="282">
        <v>0</v>
      </c>
      <c r="AT34" s="315">
        <v>0</v>
      </c>
      <c r="AU34" s="282">
        <v>0</v>
      </c>
      <c r="AV34" s="315">
        <v>0</v>
      </c>
      <c r="AW34" s="282">
        <v>0</v>
      </c>
      <c r="AX34" s="315">
        <v>0</v>
      </c>
      <c r="AY34" s="282">
        <v>0</v>
      </c>
      <c r="AZ34" s="315">
        <v>0</v>
      </c>
      <c r="BA34" s="282">
        <v>0</v>
      </c>
      <c r="BB34" s="315">
        <v>0</v>
      </c>
    </row>
    <row r="35" spans="2:55">
      <c r="B35" s="280" t="s">
        <v>346</v>
      </c>
      <c r="C35" s="281" t="s">
        <v>387</v>
      </c>
      <c r="D35" s="188">
        <v>71</v>
      </c>
      <c r="E35" s="519">
        <v>0</v>
      </c>
      <c r="F35" s="233" t="s">
        <v>458</v>
      </c>
      <c r="G35" s="233" t="s">
        <v>178</v>
      </c>
      <c r="H35" s="232">
        <v>57.024793388429757</v>
      </c>
      <c r="I35" s="264"/>
      <c r="J35" s="282" t="s">
        <v>15</v>
      </c>
      <c r="K35" s="293" t="s">
        <v>15</v>
      </c>
      <c r="L35" s="298"/>
      <c r="M35" s="517">
        <v>0</v>
      </c>
      <c r="N35" s="518">
        <v>0</v>
      </c>
      <c r="O35" s="517">
        <v>0</v>
      </c>
      <c r="P35" s="518">
        <v>0</v>
      </c>
      <c r="Q35" s="517">
        <v>0</v>
      </c>
      <c r="R35" s="518">
        <v>0</v>
      </c>
      <c r="S35" s="329">
        <v>0</v>
      </c>
      <c r="T35" s="518">
        <v>0</v>
      </c>
      <c r="U35" s="517">
        <v>0</v>
      </c>
      <c r="V35" s="518">
        <v>0</v>
      </c>
      <c r="X35" s="283">
        <v>14</v>
      </c>
      <c r="Y35" s="264"/>
      <c r="Z35" s="282">
        <v>0</v>
      </c>
      <c r="AA35" s="293">
        <v>0</v>
      </c>
      <c r="AB35" s="284"/>
      <c r="AC35" s="265">
        <v>71</v>
      </c>
      <c r="AD35" s="294">
        <v>0</v>
      </c>
      <c r="AE35" s="265">
        <v>71</v>
      </c>
      <c r="AF35" s="294">
        <v>0</v>
      </c>
      <c r="AG35" s="265">
        <v>71</v>
      </c>
      <c r="AH35" s="294">
        <v>0</v>
      </c>
      <c r="AI35" s="292">
        <v>71</v>
      </c>
      <c r="AJ35" s="294">
        <v>0</v>
      </c>
      <c r="AK35" s="265">
        <v>71</v>
      </c>
      <c r="AL35" s="294">
        <v>0</v>
      </c>
      <c r="AM35" s="109"/>
      <c r="AN35" s="283">
        <v>0</v>
      </c>
      <c r="AO35" s="284"/>
      <c r="AP35" s="282">
        <v>0</v>
      </c>
      <c r="AQ35" s="293">
        <v>0</v>
      </c>
      <c r="AR35" s="284"/>
      <c r="AS35" s="282">
        <v>0</v>
      </c>
      <c r="AT35" s="315">
        <v>0</v>
      </c>
      <c r="AU35" s="282">
        <v>0</v>
      </c>
      <c r="AV35" s="315">
        <v>0</v>
      </c>
      <c r="AW35" s="282">
        <v>0</v>
      </c>
      <c r="AX35" s="315">
        <v>0</v>
      </c>
      <c r="AY35" s="282">
        <v>0</v>
      </c>
      <c r="AZ35" s="315">
        <v>0</v>
      </c>
      <c r="BA35" s="282">
        <v>0</v>
      </c>
      <c r="BB35" s="315">
        <v>0</v>
      </c>
      <c r="BC35" s="109"/>
    </row>
    <row r="36" spans="2:55">
      <c r="B36" s="273" t="s">
        <v>346</v>
      </c>
      <c r="C36" s="286" t="s">
        <v>388</v>
      </c>
      <c r="D36" s="189">
        <v>49</v>
      </c>
      <c r="E36" s="520">
        <v>0</v>
      </c>
      <c r="F36" s="236" t="s">
        <v>458</v>
      </c>
      <c r="G36" s="236" t="s">
        <v>178</v>
      </c>
      <c r="H36" s="295">
        <v>35.537190082644628</v>
      </c>
      <c r="I36" s="264"/>
      <c r="J36" s="267" t="s">
        <v>15</v>
      </c>
      <c r="K36" s="297" t="s">
        <v>15</v>
      </c>
      <c r="L36" s="298"/>
      <c r="M36" s="237">
        <v>0</v>
      </c>
      <c r="N36" s="314">
        <v>0</v>
      </c>
      <c r="O36" s="237">
        <v>0</v>
      </c>
      <c r="P36" s="314">
        <v>0</v>
      </c>
      <c r="Q36" s="237">
        <v>0</v>
      </c>
      <c r="R36" s="314">
        <v>0</v>
      </c>
      <c r="S36" s="509">
        <v>0</v>
      </c>
      <c r="T36" s="314">
        <v>0</v>
      </c>
      <c r="U36" s="237">
        <v>0</v>
      </c>
      <c r="V36" s="314">
        <v>0</v>
      </c>
      <c r="W36" s="109"/>
      <c r="X36" s="268">
        <v>13</v>
      </c>
      <c r="Y36" s="264"/>
      <c r="Z36" s="267">
        <v>0</v>
      </c>
      <c r="AA36" s="297">
        <v>0</v>
      </c>
      <c r="AB36" s="284"/>
      <c r="AC36" s="267">
        <v>49</v>
      </c>
      <c r="AD36" s="297">
        <v>0</v>
      </c>
      <c r="AE36" s="267">
        <v>49</v>
      </c>
      <c r="AF36" s="297">
        <v>0</v>
      </c>
      <c r="AG36" s="267">
        <v>49</v>
      </c>
      <c r="AH36" s="297">
        <v>0</v>
      </c>
      <c r="AI36" s="296">
        <v>49</v>
      </c>
      <c r="AJ36" s="297">
        <v>0</v>
      </c>
      <c r="AK36" s="267">
        <v>49</v>
      </c>
      <c r="AL36" s="297">
        <v>0</v>
      </c>
      <c r="AN36" s="283">
        <v>0</v>
      </c>
      <c r="AO36" s="284"/>
      <c r="AP36" s="282">
        <v>0</v>
      </c>
      <c r="AQ36" s="293">
        <v>0</v>
      </c>
      <c r="AR36" s="284"/>
      <c r="AS36" s="282">
        <v>0</v>
      </c>
      <c r="AT36" s="315">
        <v>0</v>
      </c>
      <c r="AU36" s="282">
        <v>0</v>
      </c>
      <c r="AV36" s="315">
        <v>0</v>
      </c>
      <c r="AW36" s="282">
        <v>0</v>
      </c>
      <c r="AX36" s="315">
        <v>0</v>
      </c>
      <c r="AY36" s="282">
        <v>0</v>
      </c>
      <c r="AZ36" s="315">
        <v>0</v>
      </c>
      <c r="BA36" s="282">
        <v>0</v>
      </c>
      <c r="BB36" s="315">
        <v>0</v>
      </c>
    </row>
    <row r="37" spans="2:55">
      <c r="B37" s="280" t="s">
        <v>65</v>
      </c>
      <c r="C37" s="281" t="s">
        <v>564</v>
      </c>
      <c r="D37" s="188">
        <v>172</v>
      </c>
      <c r="E37" s="519">
        <v>0</v>
      </c>
      <c r="F37" s="233" t="s">
        <v>458</v>
      </c>
      <c r="G37" s="233" t="s">
        <v>178</v>
      </c>
      <c r="H37" s="232">
        <v>158</v>
      </c>
      <c r="I37" s="264"/>
      <c r="J37" s="282" t="s">
        <v>15</v>
      </c>
      <c r="K37" s="293" t="s">
        <v>15</v>
      </c>
      <c r="L37" s="298"/>
      <c r="M37" s="517">
        <v>0</v>
      </c>
      <c r="N37" s="518">
        <v>3.7</v>
      </c>
      <c r="O37" s="517">
        <v>0</v>
      </c>
      <c r="P37" s="518">
        <v>2.2999999999999998</v>
      </c>
      <c r="Q37" s="517">
        <v>0</v>
      </c>
      <c r="R37" s="518">
        <v>0</v>
      </c>
      <c r="S37" s="329">
        <v>0</v>
      </c>
      <c r="T37" s="518">
        <v>0</v>
      </c>
      <c r="U37" s="517">
        <v>0</v>
      </c>
      <c r="V37" s="518">
        <v>0</v>
      </c>
      <c r="X37" s="283">
        <v>14</v>
      </c>
      <c r="Y37" s="264"/>
      <c r="Z37" s="282">
        <v>0</v>
      </c>
      <c r="AA37" s="293">
        <v>0</v>
      </c>
      <c r="AB37" s="284"/>
      <c r="AC37" s="265">
        <v>83</v>
      </c>
      <c r="AD37" s="294">
        <v>89</v>
      </c>
      <c r="AE37" s="265">
        <v>117</v>
      </c>
      <c r="AF37" s="294">
        <v>55</v>
      </c>
      <c r="AG37" s="265">
        <v>172</v>
      </c>
      <c r="AH37" s="294">
        <v>0</v>
      </c>
      <c r="AI37" s="292">
        <v>172</v>
      </c>
      <c r="AJ37" s="294">
        <v>0</v>
      </c>
      <c r="AK37" s="265">
        <v>172</v>
      </c>
      <c r="AL37" s="294">
        <v>0</v>
      </c>
      <c r="AM37" s="109"/>
      <c r="AN37" s="283">
        <v>0</v>
      </c>
      <c r="AO37" s="284"/>
      <c r="AP37" s="282">
        <v>0</v>
      </c>
      <c r="AQ37" s="293">
        <v>0</v>
      </c>
      <c r="AR37" s="284"/>
      <c r="AS37" s="282">
        <v>0</v>
      </c>
      <c r="AT37" s="315">
        <v>0</v>
      </c>
      <c r="AU37" s="282">
        <v>0</v>
      </c>
      <c r="AV37" s="315">
        <v>0</v>
      </c>
      <c r="AW37" s="282">
        <v>0</v>
      </c>
      <c r="AX37" s="315">
        <v>0</v>
      </c>
      <c r="AY37" s="282">
        <v>0</v>
      </c>
      <c r="AZ37" s="315">
        <v>0</v>
      </c>
      <c r="BA37" s="282">
        <v>0</v>
      </c>
      <c r="BB37" s="315">
        <v>0</v>
      </c>
      <c r="BC37" s="109"/>
    </row>
    <row r="38" spans="2:55">
      <c r="B38" s="273" t="s">
        <v>65</v>
      </c>
      <c r="C38" s="286" t="s">
        <v>565</v>
      </c>
      <c r="D38" s="189">
        <v>240</v>
      </c>
      <c r="E38" s="520">
        <v>0</v>
      </c>
      <c r="F38" s="236" t="s">
        <v>458</v>
      </c>
      <c r="G38" s="236" t="s">
        <v>178</v>
      </c>
      <c r="H38" s="295">
        <v>227</v>
      </c>
      <c r="I38" s="264"/>
      <c r="J38" s="267" t="s">
        <v>15</v>
      </c>
      <c r="K38" s="297" t="s">
        <v>15</v>
      </c>
      <c r="L38" s="298"/>
      <c r="M38" s="237">
        <v>0</v>
      </c>
      <c r="N38" s="314">
        <v>5.8</v>
      </c>
      <c r="O38" s="237">
        <v>0</v>
      </c>
      <c r="P38" s="314">
        <v>4.4000000000000004</v>
      </c>
      <c r="Q38" s="237">
        <v>0</v>
      </c>
      <c r="R38" s="314">
        <v>1</v>
      </c>
      <c r="S38" s="509">
        <v>0</v>
      </c>
      <c r="T38" s="314">
        <v>0</v>
      </c>
      <c r="U38" s="237">
        <v>0</v>
      </c>
      <c r="V38" s="314">
        <v>0</v>
      </c>
      <c r="W38" s="109"/>
      <c r="X38" s="268">
        <v>13</v>
      </c>
      <c r="Y38" s="264"/>
      <c r="Z38" s="267">
        <v>0</v>
      </c>
      <c r="AA38" s="297">
        <v>0</v>
      </c>
      <c r="AB38" s="284"/>
      <c r="AC38" s="267">
        <v>101</v>
      </c>
      <c r="AD38" s="297">
        <v>139</v>
      </c>
      <c r="AE38" s="267">
        <v>134</v>
      </c>
      <c r="AF38" s="297">
        <v>106</v>
      </c>
      <c r="AG38" s="267">
        <v>216</v>
      </c>
      <c r="AH38" s="297">
        <v>24</v>
      </c>
      <c r="AI38" s="296">
        <v>240</v>
      </c>
      <c r="AJ38" s="297">
        <v>0</v>
      </c>
      <c r="AK38" s="267">
        <v>240</v>
      </c>
      <c r="AL38" s="297">
        <v>0</v>
      </c>
      <c r="AN38" s="283">
        <v>0</v>
      </c>
      <c r="AO38" s="284"/>
      <c r="AP38" s="282">
        <v>0</v>
      </c>
      <c r="AQ38" s="293">
        <v>0</v>
      </c>
      <c r="AR38" s="284"/>
      <c r="AS38" s="282">
        <v>0</v>
      </c>
      <c r="AT38" s="315">
        <v>0</v>
      </c>
      <c r="AU38" s="282">
        <v>0</v>
      </c>
      <c r="AV38" s="315">
        <v>0</v>
      </c>
      <c r="AW38" s="282">
        <v>0</v>
      </c>
      <c r="AX38" s="315">
        <v>0</v>
      </c>
      <c r="AY38" s="282">
        <v>0</v>
      </c>
      <c r="AZ38" s="315">
        <v>0</v>
      </c>
      <c r="BA38" s="282">
        <v>0</v>
      </c>
      <c r="BB38" s="315">
        <v>0</v>
      </c>
    </row>
    <row r="39" spans="2:55">
      <c r="B39" s="280" t="s">
        <v>115</v>
      </c>
      <c r="C39" s="281" t="s">
        <v>407</v>
      </c>
      <c r="D39" s="188">
        <v>44</v>
      </c>
      <c r="E39" s="519">
        <v>0</v>
      </c>
      <c r="F39" s="233" t="s">
        <v>458</v>
      </c>
      <c r="G39" s="233" t="s">
        <v>178</v>
      </c>
      <c r="H39" s="232">
        <v>47.933884297520663</v>
      </c>
      <c r="I39" s="264"/>
      <c r="J39" s="282" t="s">
        <v>15</v>
      </c>
      <c r="K39" s="293" t="s">
        <v>15</v>
      </c>
      <c r="L39" s="298"/>
      <c r="M39" s="517">
        <v>0</v>
      </c>
      <c r="N39" s="518">
        <v>0</v>
      </c>
      <c r="O39" s="517">
        <v>0</v>
      </c>
      <c r="P39" s="518">
        <v>0</v>
      </c>
      <c r="Q39" s="517">
        <v>0</v>
      </c>
      <c r="R39" s="518">
        <v>0</v>
      </c>
      <c r="S39" s="329">
        <v>0</v>
      </c>
      <c r="T39" s="518">
        <v>0</v>
      </c>
      <c r="U39" s="517">
        <v>0</v>
      </c>
      <c r="V39" s="518">
        <v>0</v>
      </c>
      <c r="X39" s="283">
        <v>-4</v>
      </c>
      <c r="Y39" s="264"/>
      <c r="Z39" s="282">
        <v>0</v>
      </c>
      <c r="AA39" s="293">
        <v>0</v>
      </c>
      <c r="AB39" s="284"/>
      <c r="AC39" s="265">
        <v>44</v>
      </c>
      <c r="AD39" s="294">
        <v>0</v>
      </c>
      <c r="AE39" s="265">
        <v>44</v>
      </c>
      <c r="AF39" s="294">
        <v>0</v>
      </c>
      <c r="AG39" s="265">
        <v>44</v>
      </c>
      <c r="AH39" s="294">
        <v>0</v>
      </c>
      <c r="AI39" s="292">
        <v>44</v>
      </c>
      <c r="AJ39" s="294">
        <v>0</v>
      </c>
      <c r="AK39" s="265">
        <v>44</v>
      </c>
      <c r="AL39" s="294">
        <v>0</v>
      </c>
      <c r="AM39" s="109"/>
      <c r="AN39" s="283">
        <v>0</v>
      </c>
      <c r="AO39" s="284"/>
      <c r="AP39" s="282">
        <v>0</v>
      </c>
      <c r="AQ39" s="293">
        <v>0</v>
      </c>
      <c r="AR39" s="284"/>
      <c r="AS39" s="282">
        <v>0</v>
      </c>
      <c r="AT39" s="315">
        <v>0</v>
      </c>
      <c r="AU39" s="282">
        <v>0</v>
      </c>
      <c r="AV39" s="315">
        <v>0</v>
      </c>
      <c r="AW39" s="282">
        <v>0</v>
      </c>
      <c r="AX39" s="315">
        <v>0</v>
      </c>
      <c r="AY39" s="282">
        <v>0</v>
      </c>
      <c r="AZ39" s="315">
        <v>0</v>
      </c>
      <c r="BA39" s="282">
        <v>0</v>
      </c>
      <c r="BB39" s="315">
        <v>0</v>
      </c>
      <c r="BC39" s="109"/>
    </row>
    <row r="40" spans="2:55">
      <c r="B40" s="273" t="s">
        <v>115</v>
      </c>
      <c r="C40" s="286" t="s">
        <v>408</v>
      </c>
      <c r="D40" s="189">
        <v>77</v>
      </c>
      <c r="E40" s="520">
        <v>0</v>
      </c>
      <c r="F40" s="236" t="s">
        <v>458</v>
      </c>
      <c r="G40" s="236" t="s">
        <v>178</v>
      </c>
      <c r="H40" s="295">
        <v>59.504132231404959</v>
      </c>
      <c r="I40" s="264"/>
      <c r="J40" s="267" t="s">
        <v>15</v>
      </c>
      <c r="K40" s="297" t="s">
        <v>15</v>
      </c>
      <c r="L40" s="298"/>
      <c r="M40" s="237">
        <v>0</v>
      </c>
      <c r="N40" s="314">
        <v>0</v>
      </c>
      <c r="O40" s="237">
        <v>0</v>
      </c>
      <c r="P40" s="314">
        <v>0</v>
      </c>
      <c r="Q40" s="237">
        <v>0</v>
      </c>
      <c r="R40" s="314">
        <v>0</v>
      </c>
      <c r="S40" s="509">
        <v>0</v>
      </c>
      <c r="T40" s="314">
        <v>0</v>
      </c>
      <c r="U40" s="237">
        <v>0</v>
      </c>
      <c r="V40" s="314">
        <v>0</v>
      </c>
      <c r="W40" s="109"/>
      <c r="X40" s="268">
        <v>17</v>
      </c>
      <c r="Y40" s="264"/>
      <c r="Z40" s="267">
        <v>0</v>
      </c>
      <c r="AA40" s="297">
        <v>0</v>
      </c>
      <c r="AB40" s="284"/>
      <c r="AC40" s="267">
        <v>77</v>
      </c>
      <c r="AD40" s="297">
        <v>0</v>
      </c>
      <c r="AE40" s="267">
        <v>77</v>
      </c>
      <c r="AF40" s="297">
        <v>0</v>
      </c>
      <c r="AG40" s="267">
        <v>77</v>
      </c>
      <c r="AH40" s="297">
        <v>0</v>
      </c>
      <c r="AI40" s="296">
        <v>77</v>
      </c>
      <c r="AJ40" s="297">
        <v>0</v>
      </c>
      <c r="AK40" s="267">
        <v>77</v>
      </c>
      <c r="AL40" s="297">
        <v>0</v>
      </c>
      <c r="AN40" s="283">
        <v>0</v>
      </c>
      <c r="AO40" s="284"/>
      <c r="AP40" s="282">
        <v>0</v>
      </c>
      <c r="AQ40" s="293">
        <v>0</v>
      </c>
      <c r="AR40" s="284"/>
      <c r="AS40" s="282">
        <v>0</v>
      </c>
      <c r="AT40" s="315">
        <v>0</v>
      </c>
      <c r="AU40" s="282">
        <v>0</v>
      </c>
      <c r="AV40" s="315">
        <v>0</v>
      </c>
      <c r="AW40" s="282">
        <v>0</v>
      </c>
      <c r="AX40" s="315">
        <v>0</v>
      </c>
      <c r="AY40" s="282">
        <v>0</v>
      </c>
      <c r="AZ40" s="315">
        <v>0</v>
      </c>
      <c r="BA40" s="282">
        <v>0</v>
      </c>
      <c r="BB40" s="315">
        <v>0</v>
      </c>
    </row>
    <row r="41" spans="2:55">
      <c r="B41" s="280" t="s">
        <v>181</v>
      </c>
      <c r="C41" s="281" t="s">
        <v>544</v>
      </c>
      <c r="D41" s="188">
        <v>93</v>
      </c>
      <c r="E41" s="519">
        <v>0</v>
      </c>
      <c r="F41" s="233" t="s">
        <v>458</v>
      </c>
      <c r="G41" s="233" t="s">
        <v>178</v>
      </c>
      <c r="H41" s="232">
        <v>112</v>
      </c>
      <c r="I41" s="264"/>
      <c r="J41" s="282" t="s">
        <v>15</v>
      </c>
      <c r="K41" s="293" t="s">
        <v>15</v>
      </c>
      <c r="L41" s="298"/>
      <c r="M41" s="517">
        <v>0</v>
      </c>
      <c r="N41" s="518">
        <v>2.5</v>
      </c>
      <c r="O41" s="517">
        <v>0</v>
      </c>
      <c r="P41" s="518">
        <v>1.2</v>
      </c>
      <c r="Q41" s="517">
        <v>0</v>
      </c>
      <c r="R41" s="518">
        <v>0</v>
      </c>
      <c r="S41" s="329">
        <v>0</v>
      </c>
      <c r="T41" s="518">
        <v>0</v>
      </c>
      <c r="U41" s="517">
        <v>0</v>
      </c>
      <c r="V41" s="518">
        <v>0</v>
      </c>
      <c r="X41" s="283">
        <v>-19</v>
      </c>
      <c r="Y41" s="264"/>
      <c r="Z41" s="282">
        <v>0</v>
      </c>
      <c r="AA41" s="293">
        <v>0</v>
      </c>
      <c r="AB41" s="284"/>
      <c r="AC41" s="265">
        <v>33</v>
      </c>
      <c r="AD41" s="294">
        <v>60</v>
      </c>
      <c r="AE41" s="265">
        <v>64</v>
      </c>
      <c r="AF41" s="294">
        <v>29</v>
      </c>
      <c r="AG41" s="265">
        <v>93</v>
      </c>
      <c r="AH41" s="294">
        <v>0</v>
      </c>
      <c r="AI41" s="292">
        <v>93</v>
      </c>
      <c r="AJ41" s="294">
        <v>0</v>
      </c>
      <c r="AK41" s="265">
        <v>93</v>
      </c>
      <c r="AL41" s="294">
        <v>0</v>
      </c>
      <c r="AM41" s="109"/>
      <c r="AN41" s="283">
        <v>0</v>
      </c>
      <c r="AO41" s="284"/>
      <c r="AP41" s="282">
        <v>0</v>
      </c>
      <c r="AQ41" s="293">
        <v>0</v>
      </c>
      <c r="AR41" s="284"/>
      <c r="AS41" s="282">
        <v>0</v>
      </c>
      <c r="AT41" s="315">
        <v>0</v>
      </c>
      <c r="AU41" s="282">
        <v>0</v>
      </c>
      <c r="AV41" s="315">
        <v>0</v>
      </c>
      <c r="AW41" s="282">
        <v>0</v>
      </c>
      <c r="AX41" s="315">
        <v>0</v>
      </c>
      <c r="AY41" s="282">
        <v>0</v>
      </c>
      <c r="AZ41" s="315">
        <v>0</v>
      </c>
      <c r="BA41" s="282">
        <v>0</v>
      </c>
      <c r="BB41" s="315">
        <v>0</v>
      </c>
      <c r="BC41" s="109"/>
    </row>
    <row r="42" spans="2:55">
      <c r="B42" s="273" t="s">
        <v>421</v>
      </c>
      <c r="C42" s="286" t="s">
        <v>422</v>
      </c>
      <c r="D42" s="189">
        <v>48</v>
      </c>
      <c r="E42" s="520">
        <v>0</v>
      </c>
      <c r="F42" s="236" t="s">
        <v>460</v>
      </c>
      <c r="G42" s="236" t="s">
        <v>178</v>
      </c>
      <c r="H42" s="295">
        <v>56</v>
      </c>
      <c r="I42" s="264"/>
      <c r="J42" s="267" t="s">
        <v>15</v>
      </c>
      <c r="K42" s="297" t="s">
        <v>15</v>
      </c>
      <c r="L42" s="298"/>
      <c r="M42" s="237">
        <v>0</v>
      </c>
      <c r="N42" s="314">
        <v>0</v>
      </c>
      <c r="O42" s="237">
        <v>0</v>
      </c>
      <c r="P42" s="314">
        <v>0</v>
      </c>
      <c r="Q42" s="237">
        <v>0</v>
      </c>
      <c r="R42" s="314">
        <v>0</v>
      </c>
      <c r="S42" s="509">
        <v>0</v>
      </c>
      <c r="T42" s="314">
        <v>0</v>
      </c>
      <c r="U42" s="237">
        <v>0</v>
      </c>
      <c r="V42" s="314">
        <v>0</v>
      </c>
      <c r="W42" s="109"/>
      <c r="X42" s="268">
        <v>-8</v>
      </c>
      <c r="Y42" s="264"/>
      <c r="Z42" s="267">
        <v>0</v>
      </c>
      <c r="AA42" s="297">
        <v>0</v>
      </c>
      <c r="AB42" s="284"/>
      <c r="AC42" s="267">
        <v>48</v>
      </c>
      <c r="AD42" s="297">
        <v>0</v>
      </c>
      <c r="AE42" s="267">
        <v>48</v>
      </c>
      <c r="AF42" s="297">
        <v>0</v>
      </c>
      <c r="AG42" s="267">
        <v>48</v>
      </c>
      <c r="AH42" s="297">
        <v>0</v>
      </c>
      <c r="AI42" s="296">
        <v>48</v>
      </c>
      <c r="AJ42" s="297">
        <v>0</v>
      </c>
      <c r="AK42" s="267">
        <v>48</v>
      </c>
      <c r="AL42" s="297">
        <v>0</v>
      </c>
      <c r="AN42" s="283">
        <v>0</v>
      </c>
      <c r="AO42" s="284"/>
      <c r="AP42" s="282">
        <v>0</v>
      </c>
      <c r="AQ42" s="293">
        <v>0</v>
      </c>
      <c r="AR42" s="284"/>
      <c r="AS42" s="282">
        <v>0</v>
      </c>
      <c r="AT42" s="315">
        <v>0</v>
      </c>
      <c r="AU42" s="282">
        <v>0</v>
      </c>
      <c r="AV42" s="315">
        <v>0</v>
      </c>
      <c r="AW42" s="282">
        <v>0</v>
      </c>
      <c r="AX42" s="315">
        <v>0</v>
      </c>
      <c r="AY42" s="282">
        <v>0</v>
      </c>
      <c r="AZ42" s="315">
        <v>0</v>
      </c>
      <c r="BA42" s="282">
        <v>0</v>
      </c>
      <c r="BB42" s="315">
        <v>0</v>
      </c>
    </row>
    <row r="43" spans="2:55">
      <c r="B43" s="280" t="s">
        <v>423</v>
      </c>
      <c r="C43" s="281" t="s">
        <v>535</v>
      </c>
      <c r="D43" s="188">
        <v>520</v>
      </c>
      <c r="E43" s="519">
        <v>3.25</v>
      </c>
      <c r="F43" s="233" t="s">
        <v>190</v>
      </c>
      <c r="G43" s="233" t="s">
        <v>178</v>
      </c>
      <c r="H43" s="232">
        <v>458</v>
      </c>
      <c r="I43" s="264"/>
      <c r="J43" s="282" t="s">
        <v>15</v>
      </c>
      <c r="K43" s="293" t="s">
        <v>15</v>
      </c>
      <c r="L43" s="298"/>
      <c r="M43" s="517">
        <v>0</v>
      </c>
      <c r="N43" s="518">
        <v>12.5</v>
      </c>
      <c r="O43" s="517">
        <v>0</v>
      </c>
      <c r="P43" s="518">
        <v>11.1</v>
      </c>
      <c r="Q43" s="517">
        <v>0</v>
      </c>
      <c r="R43" s="518">
        <v>7.7</v>
      </c>
      <c r="S43" s="329">
        <v>0</v>
      </c>
      <c r="T43" s="518">
        <v>6.1</v>
      </c>
      <c r="U43" s="517">
        <v>0</v>
      </c>
      <c r="V43" s="518">
        <v>1.4</v>
      </c>
      <c r="X43" s="283">
        <v>62</v>
      </c>
      <c r="Y43" s="264"/>
      <c r="Z43" s="282">
        <v>0</v>
      </c>
      <c r="AA43" s="293">
        <v>0</v>
      </c>
      <c r="AB43" s="284"/>
      <c r="AC43" s="265">
        <v>220</v>
      </c>
      <c r="AD43" s="294">
        <v>300</v>
      </c>
      <c r="AE43" s="265">
        <v>254</v>
      </c>
      <c r="AF43" s="294">
        <v>266</v>
      </c>
      <c r="AG43" s="265">
        <v>335</v>
      </c>
      <c r="AH43" s="294">
        <v>185</v>
      </c>
      <c r="AI43" s="292">
        <v>374</v>
      </c>
      <c r="AJ43" s="294">
        <v>146</v>
      </c>
      <c r="AK43" s="265">
        <v>486</v>
      </c>
      <c r="AL43" s="294">
        <v>34</v>
      </c>
      <c r="AM43" s="109"/>
      <c r="AN43" s="283">
        <v>0</v>
      </c>
      <c r="AO43" s="284"/>
      <c r="AP43" s="282">
        <v>0</v>
      </c>
      <c r="AQ43" s="293">
        <v>0</v>
      </c>
      <c r="AR43" s="284"/>
      <c r="AS43" s="282">
        <v>0</v>
      </c>
      <c r="AT43" s="315">
        <v>0</v>
      </c>
      <c r="AU43" s="282">
        <v>0</v>
      </c>
      <c r="AV43" s="315">
        <v>0</v>
      </c>
      <c r="AW43" s="282">
        <v>0</v>
      </c>
      <c r="AX43" s="315">
        <v>0</v>
      </c>
      <c r="AY43" s="282">
        <v>0</v>
      </c>
      <c r="AZ43" s="315">
        <v>0</v>
      </c>
      <c r="BA43" s="282">
        <v>0</v>
      </c>
      <c r="BB43" s="315">
        <v>0</v>
      </c>
      <c r="BC43" s="109"/>
    </row>
    <row r="44" spans="2:55">
      <c r="B44" s="273" t="s">
        <v>423</v>
      </c>
      <c r="C44" s="286" t="s">
        <v>536</v>
      </c>
      <c r="D44" s="189">
        <v>564</v>
      </c>
      <c r="E44" s="520">
        <v>3.25</v>
      </c>
      <c r="F44" s="236" t="s">
        <v>190</v>
      </c>
      <c r="G44" s="236" t="s">
        <v>178</v>
      </c>
      <c r="H44" s="295">
        <v>549</v>
      </c>
      <c r="I44" s="264"/>
      <c r="J44" s="267" t="s">
        <v>15</v>
      </c>
      <c r="K44" s="297" t="s">
        <v>15</v>
      </c>
      <c r="L44" s="298"/>
      <c r="M44" s="237">
        <v>39</v>
      </c>
      <c r="N44" s="314">
        <v>13.9</v>
      </c>
      <c r="O44" s="237">
        <v>19</v>
      </c>
      <c r="P44" s="314">
        <v>13.1</v>
      </c>
      <c r="Q44" s="237">
        <v>0</v>
      </c>
      <c r="R44" s="314">
        <v>10.6</v>
      </c>
      <c r="S44" s="509">
        <v>0</v>
      </c>
      <c r="T44" s="314">
        <v>9</v>
      </c>
      <c r="U44" s="237">
        <v>0</v>
      </c>
      <c r="V44" s="314">
        <v>4.3</v>
      </c>
      <c r="W44" s="109"/>
      <c r="X44" s="268">
        <v>15</v>
      </c>
      <c r="Y44" s="264"/>
      <c r="Z44" s="267">
        <v>0</v>
      </c>
      <c r="AA44" s="297">
        <v>0</v>
      </c>
      <c r="AB44" s="284"/>
      <c r="AC44" s="267">
        <v>191</v>
      </c>
      <c r="AD44" s="297">
        <v>334</v>
      </c>
      <c r="AE44" s="267">
        <v>231</v>
      </c>
      <c r="AF44" s="297">
        <v>314</v>
      </c>
      <c r="AG44" s="267">
        <v>310</v>
      </c>
      <c r="AH44" s="297">
        <v>254</v>
      </c>
      <c r="AI44" s="296">
        <v>348</v>
      </c>
      <c r="AJ44" s="297">
        <v>216</v>
      </c>
      <c r="AK44" s="267">
        <v>461</v>
      </c>
      <c r="AL44" s="297">
        <v>103</v>
      </c>
      <c r="AN44" s="283">
        <v>0</v>
      </c>
      <c r="AO44" s="284"/>
      <c r="AP44" s="282">
        <v>0</v>
      </c>
      <c r="AQ44" s="293">
        <v>0</v>
      </c>
      <c r="AR44" s="284"/>
      <c r="AS44" s="282">
        <v>0</v>
      </c>
      <c r="AT44" s="315">
        <v>0</v>
      </c>
      <c r="AU44" s="282">
        <v>0</v>
      </c>
      <c r="AV44" s="315">
        <v>0</v>
      </c>
      <c r="AW44" s="282">
        <v>0</v>
      </c>
      <c r="AX44" s="315">
        <v>0</v>
      </c>
      <c r="AY44" s="282">
        <v>0</v>
      </c>
      <c r="AZ44" s="315">
        <v>0</v>
      </c>
      <c r="BA44" s="282">
        <v>0</v>
      </c>
      <c r="BB44" s="315">
        <v>0</v>
      </c>
    </row>
    <row r="45" spans="2:55">
      <c r="B45" s="280" t="s">
        <v>423</v>
      </c>
      <c r="C45" s="281" t="s">
        <v>578</v>
      </c>
      <c r="D45" s="188">
        <v>823</v>
      </c>
      <c r="E45" s="519">
        <v>3.25</v>
      </c>
      <c r="F45" s="233" t="s">
        <v>190</v>
      </c>
      <c r="G45" s="233" t="s">
        <v>178</v>
      </c>
      <c r="H45" s="232">
        <v>795</v>
      </c>
      <c r="I45" s="264"/>
      <c r="J45" s="282" t="s">
        <v>15</v>
      </c>
      <c r="K45" s="293" t="s">
        <v>15</v>
      </c>
      <c r="L45" s="298"/>
      <c r="M45" s="517" t="s">
        <v>15</v>
      </c>
      <c r="N45" s="518" t="s">
        <v>15</v>
      </c>
      <c r="O45" s="517">
        <v>19</v>
      </c>
      <c r="P45" s="518">
        <v>21</v>
      </c>
      <c r="Q45" s="517">
        <v>0</v>
      </c>
      <c r="R45" s="518">
        <v>18.5</v>
      </c>
      <c r="S45" s="329">
        <v>0</v>
      </c>
      <c r="T45" s="518">
        <v>15.8</v>
      </c>
      <c r="U45" s="517">
        <v>0</v>
      </c>
      <c r="V45" s="518">
        <v>10.9</v>
      </c>
      <c r="X45" s="283">
        <v>28</v>
      </c>
      <c r="Y45" s="264"/>
      <c r="Z45" s="282">
        <v>0</v>
      </c>
      <c r="AA45" s="293">
        <v>0</v>
      </c>
      <c r="AB45" s="284"/>
      <c r="AC45" s="265">
        <v>0</v>
      </c>
      <c r="AD45" s="294">
        <v>0</v>
      </c>
      <c r="AE45" s="265">
        <v>300</v>
      </c>
      <c r="AF45" s="294">
        <v>504</v>
      </c>
      <c r="AG45" s="265">
        <v>379</v>
      </c>
      <c r="AH45" s="294">
        <v>444</v>
      </c>
      <c r="AI45" s="292">
        <v>444</v>
      </c>
      <c r="AJ45" s="294">
        <v>379</v>
      </c>
      <c r="AK45" s="265">
        <v>561</v>
      </c>
      <c r="AL45" s="294">
        <v>262</v>
      </c>
      <c r="AM45" s="109"/>
      <c r="AN45" s="283">
        <v>0</v>
      </c>
      <c r="AO45" s="284"/>
      <c r="AP45" s="282">
        <v>0</v>
      </c>
      <c r="AQ45" s="293">
        <v>0</v>
      </c>
      <c r="AR45" s="284"/>
      <c r="AS45" s="282">
        <v>0</v>
      </c>
      <c r="AT45" s="315">
        <v>0</v>
      </c>
      <c r="AU45" s="282">
        <v>0</v>
      </c>
      <c r="AV45" s="315">
        <v>0</v>
      </c>
      <c r="AW45" s="282">
        <v>0</v>
      </c>
      <c r="AX45" s="315">
        <v>0</v>
      </c>
      <c r="AY45" s="282">
        <v>0</v>
      </c>
      <c r="AZ45" s="315">
        <v>0</v>
      </c>
      <c r="BA45" s="282">
        <v>0</v>
      </c>
      <c r="BB45" s="315">
        <v>0</v>
      </c>
      <c r="BC45" s="109"/>
    </row>
    <row r="46" spans="2:55">
      <c r="B46" s="273" t="s">
        <v>423</v>
      </c>
      <c r="C46" s="286" t="s">
        <v>579</v>
      </c>
      <c r="D46" s="189">
        <v>1062</v>
      </c>
      <c r="E46" s="520">
        <v>3.25</v>
      </c>
      <c r="F46" s="236" t="s">
        <v>190</v>
      </c>
      <c r="G46" s="236" t="s">
        <v>178</v>
      </c>
      <c r="H46" s="295">
        <v>1060</v>
      </c>
      <c r="I46" s="264"/>
      <c r="J46" s="267" t="s">
        <v>15</v>
      </c>
      <c r="K46" s="297" t="s">
        <v>15</v>
      </c>
      <c r="L46" s="298"/>
      <c r="M46" s="237" t="s">
        <v>15</v>
      </c>
      <c r="N46" s="314" t="s">
        <v>15</v>
      </c>
      <c r="O46" s="237">
        <v>49</v>
      </c>
      <c r="P46" s="314">
        <v>26.9</v>
      </c>
      <c r="Q46" s="237">
        <v>39</v>
      </c>
      <c r="R46" s="314">
        <v>24</v>
      </c>
      <c r="S46" s="509">
        <v>0</v>
      </c>
      <c r="T46" s="314">
        <v>23</v>
      </c>
      <c r="U46" s="237">
        <v>0</v>
      </c>
      <c r="V46" s="314">
        <v>18.100000000000001</v>
      </c>
      <c r="W46" s="109"/>
      <c r="X46" s="268">
        <v>2</v>
      </c>
      <c r="Y46" s="264"/>
      <c r="Z46" s="267">
        <v>0</v>
      </c>
      <c r="AA46" s="297">
        <v>0</v>
      </c>
      <c r="AB46" s="284"/>
      <c r="AC46" s="267">
        <v>0</v>
      </c>
      <c r="AD46" s="297">
        <v>0</v>
      </c>
      <c r="AE46" s="267">
        <v>367</v>
      </c>
      <c r="AF46" s="297">
        <v>646</v>
      </c>
      <c r="AG46" s="267">
        <v>447</v>
      </c>
      <c r="AH46" s="297">
        <v>576</v>
      </c>
      <c r="AI46" s="296">
        <v>510</v>
      </c>
      <c r="AJ46" s="297">
        <v>552</v>
      </c>
      <c r="AK46" s="267">
        <v>628</v>
      </c>
      <c r="AL46" s="297">
        <v>434</v>
      </c>
      <c r="AN46" s="283">
        <v>0</v>
      </c>
      <c r="AO46" s="284"/>
      <c r="AP46" s="282">
        <v>0</v>
      </c>
      <c r="AQ46" s="293">
        <v>0</v>
      </c>
      <c r="AR46" s="284"/>
      <c r="AS46" s="282">
        <v>0</v>
      </c>
      <c r="AT46" s="315">
        <v>0</v>
      </c>
      <c r="AU46" s="282">
        <v>0</v>
      </c>
      <c r="AV46" s="315">
        <v>0</v>
      </c>
      <c r="AW46" s="282">
        <v>0</v>
      </c>
      <c r="AX46" s="315">
        <v>0</v>
      </c>
      <c r="AY46" s="282">
        <v>0</v>
      </c>
      <c r="AZ46" s="315">
        <v>0</v>
      </c>
      <c r="BA46" s="282">
        <v>0</v>
      </c>
      <c r="BB46" s="315">
        <v>0</v>
      </c>
    </row>
    <row r="47" spans="2:55">
      <c r="B47" s="280" t="s">
        <v>423</v>
      </c>
      <c r="C47" s="281" t="s">
        <v>580</v>
      </c>
      <c r="D47" s="188">
        <v>1234</v>
      </c>
      <c r="E47" s="519">
        <v>3.25</v>
      </c>
      <c r="F47" s="233" t="s">
        <v>190</v>
      </c>
      <c r="G47" s="233" t="s">
        <v>178</v>
      </c>
      <c r="H47" s="232">
        <v>1233</v>
      </c>
      <c r="I47" s="264"/>
      <c r="J47" s="282" t="s">
        <v>15</v>
      </c>
      <c r="K47" s="293" t="s">
        <v>15</v>
      </c>
      <c r="L47" s="298"/>
      <c r="M47" s="517" t="s">
        <v>15</v>
      </c>
      <c r="N47" s="518" t="s">
        <v>15</v>
      </c>
      <c r="O47" s="517">
        <v>79</v>
      </c>
      <c r="P47" s="518">
        <v>31.9</v>
      </c>
      <c r="Q47" s="517">
        <v>39</v>
      </c>
      <c r="R47" s="518">
        <v>30.2</v>
      </c>
      <c r="S47" s="329">
        <v>0</v>
      </c>
      <c r="T47" s="518">
        <v>29.2</v>
      </c>
      <c r="U47" s="517">
        <v>0</v>
      </c>
      <c r="V47" s="518">
        <v>24.3</v>
      </c>
      <c r="X47" s="283">
        <v>1</v>
      </c>
      <c r="Y47" s="264"/>
      <c r="Z47" s="282">
        <v>0</v>
      </c>
      <c r="AA47" s="293">
        <v>0</v>
      </c>
      <c r="AB47" s="284"/>
      <c r="AC47" s="265">
        <v>0</v>
      </c>
      <c r="AD47" s="294">
        <v>0</v>
      </c>
      <c r="AE47" s="265">
        <v>389</v>
      </c>
      <c r="AF47" s="294">
        <v>766</v>
      </c>
      <c r="AG47" s="265">
        <v>470</v>
      </c>
      <c r="AH47" s="294">
        <v>725</v>
      </c>
      <c r="AI47" s="292">
        <v>533</v>
      </c>
      <c r="AJ47" s="294">
        <v>701</v>
      </c>
      <c r="AK47" s="265">
        <v>651</v>
      </c>
      <c r="AL47" s="294">
        <v>583</v>
      </c>
      <c r="AM47" s="109"/>
      <c r="AN47" s="283">
        <v>0</v>
      </c>
      <c r="AO47" s="284"/>
      <c r="AP47" s="282">
        <v>0</v>
      </c>
      <c r="AQ47" s="293">
        <v>0</v>
      </c>
      <c r="AR47" s="284"/>
      <c r="AS47" s="282">
        <v>0</v>
      </c>
      <c r="AT47" s="315">
        <v>0</v>
      </c>
      <c r="AU47" s="282">
        <v>0</v>
      </c>
      <c r="AV47" s="315">
        <v>0</v>
      </c>
      <c r="AW47" s="282">
        <v>0</v>
      </c>
      <c r="AX47" s="315">
        <v>0</v>
      </c>
      <c r="AY47" s="282">
        <v>0</v>
      </c>
      <c r="AZ47" s="315">
        <v>0</v>
      </c>
      <c r="BA47" s="282">
        <v>0</v>
      </c>
      <c r="BB47" s="315">
        <v>0</v>
      </c>
      <c r="BC47" s="109"/>
    </row>
    <row r="48" spans="2:55">
      <c r="B48" s="273" t="s">
        <v>318</v>
      </c>
      <c r="C48" s="286" t="s">
        <v>545</v>
      </c>
      <c r="D48" s="189">
        <v>539</v>
      </c>
      <c r="E48" s="520">
        <v>3.25</v>
      </c>
      <c r="F48" s="236" t="s">
        <v>190</v>
      </c>
      <c r="G48" s="236" t="s">
        <v>178</v>
      </c>
      <c r="H48" s="295">
        <v>518</v>
      </c>
      <c r="I48" s="264"/>
      <c r="J48" s="267" t="s">
        <v>15</v>
      </c>
      <c r="K48" s="297" t="s">
        <v>15</v>
      </c>
      <c r="L48" s="298"/>
      <c r="M48" s="237">
        <v>0</v>
      </c>
      <c r="N48" s="314">
        <v>9.1999999999999993</v>
      </c>
      <c r="O48" s="237">
        <v>0</v>
      </c>
      <c r="P48" s="314">
        <v>7.8</v>
      </c>
      <c r="Q48" s="237">
        <v>0</v>
      </c>
      <c r="R48" s="314">
        <v>4.4000000000000004</v>
      </c>
      <c r="S48" s="509">
        <v>0</v>
      </c>
      <c r="T48" s="314">
        <v>2.8</v>
      </c>
      <c r="U48" s="237">
        <v>0</v>
      </c>
      <c r="V48" s="314">
        <v>0</v>
      </c>
      <c r="W48" s="109"/>
      <c r="X48" s="268">
        <v>21</v>
      </c>
      <c r="Y48" s="264"/>
      <c r="Z48" s="267">
        <v>0</v>
      </c>
      <c r="AA48" s="297">
        <v>0</v>
      </c>
      <c r="AB48" s="284"/>
      <c r="AC48" s="267">
        <v>318</v>
      </c>
      <c r="AD48" s="297">
        <v>221</v>
      </c>
      <c r="AE48" s="267">
        <v>352</v>
      </c>
      <c r="AF48" s="297">
        <v>187</v>
      </c>
      <c r="AG48" s="267">
        <v>433</v>
      </c>
      <c r="AH48" s="297">
        <v>106</v>
      </c>
      <c r="AI48" s="296">
        <v>472</v>
      </c>
      <c r="AJ48" s="297">
        <v>67</v>
      </c>
      <c r="AK48" s="267">
        <v>539</v>
      </c>
      <c r="AL48" s="297">
        <v>0</v>
      </c>
      <c r="AN48" s="283">
        <v>0</v>
      </c>
      <c r="AO48" s="284"/>
      <c r="AP48" s="282">
        <v>0</v>
      </c>
      <c r="AQ48" s="293">
        <v>0</v>
      </c>
      <c r="AR48" s="284"/>
      <c r="AS48" s="282">
        <v>0</v>
      </c>
      <c r="AT48" s="315">
        <v>0</v>
      </c>
      <c r="AU48" s="282">
        <v>0</v>
      </c>
      <c r="AV48" s="315">
        <v>0</v>
      </c>
      <c r="AW48" s="282">
        <v>0</v>
      </c>
      <c r="AX48" s="315">
        <v>0</v>
      </c>
      <c r="AY48" s="282">
        <v>0</v>
      </c>
      <c r="AZ48" s="315">
        <v>0</v>
      </c>
      <c r="BA48" s="282">
        <v>0</v>
      </c>
      <c r="BB48" s="315">
        <v>0</v>
      </c>
    </row>
    <row r="49" spans="2:55">
      <c r="B49" s="280" t="s">
        <v>318</v>
      </c>
      <c r="C49" s="281" t="s">
        <v>546</v>
      </c>
      <c r="D49" s="188">
        <v>309</v>
      </c>
      <c r="E49" s="519">
        <v>3.25</v>
      </c>
      <c r="F49" s="233" t="s">
        <v>190</v>
      </c>
      <c r="G49" s="233" t="s">
        <v>178</v>
      </c>
      <c r="H49" s="232">
        <v>291</v>
      </c>
      <c r="I49" s="264"/>
      <c r="J49" s="282" t="s">
        <v>15</v>
      </c>
      <c r="K49" s="293" t="s">
        <v>15</v>
      </c>
      <c r="L49" s="298"/>
      <c r="M49" s="517">
        <v>0</v>
      </c>
      <c r="N49" s="518">
        <v>5.8</v>
      </c>
      <c r="O49" s="517">
        <v>0</v>
      </c>
      <c r="P49" s="518">
        <v>4.4000000000000004</v>
      </c>
      <c r="Q49" s="517">
        <v>0</v>
      </c>
      <c r="R49" s="518">
        <v>1.1000000000000001</v>
      </c>
      <c r="S49" s="329">
        <v>0</v>
      </c>
      <c r="T49" s="518">
        <v>0</v>
      </c>
      <c r="U49" s="517">
        <v>0</v>
      </c>
      <c r="V49" s="518">
        <v>0</v>
      </c>
      <c r="X49" s="283">
        <v>18</v>
      </c>
      <c r="Y49" s="264"/>
      <c r="Z49" s="282">
        <v>0</v>
      </c>
      <c r="AA49" s="293">
        <v>0</v>
      </c>
      <c r="AB49" s="284"/>
      <c r="AC49" s="265">
        <v>170</v>
      </c>
      <c r="AD49" s="294">
        <v>139</v>
      </c>
      <c r="AE49" s="265">
        <v>203</v>
      </c>
      <c r="AF49" s="294">
        <v>106</v>
      </c>
      <c r="AG49" s="265">
        <v>283</v>
      </c>
      <c r="AH49" s="294">
        <v>26</v>
      </c>
      <c r="AI49" s="292">
        <v>309</v>
      </c>
      <c r="AJ49" s="294">
        <v>0</v>
      </c>
      <c r="AK49" s="265">
        <v>309</v>
      </c>
      <c r="AL49" s="294">
        <v>0</v>
      </c>
      <c r="AM49" s="109"/>
      <c r="AN49" s="283">
        <v>0</v>
      </c>
      <c r="AO49" s="284"/>
      <c r="AP49" s="282">
        <v>0</v>
      </c>
      <c r="AQ49" s="293">
        <v>0</v>
      </c>
      <c r="AR49" s="284"/>
      <c r="AS49" s="282">
        <v>0</v>
      </c>
      <c r="AT49" s="315">
        <v>0.59999999999999964</v>
      </c>
      <c r="AU49" s="282">
        <v>0</v>
      </c>
      <c r="AV49" s="315">
        <v>0.60000000000000053</v>
      </c>
      <c r="AW49" s="282">
        <v>0</v>
      </c>
      <c r="AX49" s="315">
        <v>1.1000000000000001</v>
      </c>
      <c r="AY49" s="282">
        <v>0</v>
      </c>
      <c r="AZ49" s="315">
        <v>0</v>
      </c>
      <c r="BA49" s="282">
        <v>0</v>
      </c>
      <c r="BB49" s="315">
        <v>0</v>
      </c>
      <c r="BC49" s="109"/>
    </row>
    <row r="50" spans="2:55">
      <c r="B50" s="273" t="s">
        <v>318</v>
      </c>
      <c r="C50" s="286" t="s">
        <v>547</v>
      </c>
      <c r="D50" s="189">
        <v>661</v>
      </c>
      <c r="E50" s="520">
        <v>3.25</v>
      </c>
      <c r="F50" s="236" t="s">
        <v>190</v>
      </c>
      <c r="G50" s="236" t="s">
        <v>178</v>
      </c>
      <c r="H50" s="295">
        <v>663</v>
      </c>
      <c r="I50" s="264"/>
      <c r="J50" s="267" t="s">
        <v>15</v>
      </c>
      <c r="K50" s="297" t="s">
        <v>15</v>
      </c>
      <c r="L50" s="298"/>
      <c r="M50" s="237">
        <v>39</v>
      </c>
      <c r="N50" s="314">
        <v>12.8</v>
      </c>
      <c r="O50" s="237">
        <v>19</v>
      </c>
      <c r="P50" s="314">
        <v>12</v>
      </c>
      <c r="Q50" s="237">
        <v>0</v>
      </c>
      <c r="R50" s="314">
        <v>9.4</v>
      </c>
      <c r="S50" s="509">
        <v>0</v>
      </c>
      <c r="T50" s="314">
        <v>7.8</v>
      </c>
      <c r="U50" s="237">
        <v>0</v>
      </c>
      <c r="V50" s="314">
        <v>3.1</v>
      </c>
      <c r="W50" s="109"/>
      <c r="X50" s="268">
        <v>-2</v>
      </c>
      <c r="Y50" s="264"/>
      <c r="Z50" s="267">
        <v>0</v>
      </c>
      <c r="AA50" s="297">
        <v>0</v>
      </c>
      <c r="AB50" s="284"/>
      <c r="AC50" s="267">
        <v>315</v>
      </c>
      <c r="AD50" s="297">
        <v>307</v>
      </c>
      <c r="AE50" s="267">
        <v>354</v>
      </c>
      <c r="AF50" s="297">
        <v>288</v>
      </c>
      <c r="AG50" s="267">
        <v>435</v>
      </c>
      <c r="AH50" s="297">
        <v>226</v>
      </c>
      <c r="AI50" s="296">
        <v>474</v>
      </c>
      <c r="AJ50" s="297">
        <v>187</v>
      </c>
      <c r="AK50" s="267">
        <v>587</v>
      </c>
      <c r="AL50" s="297">
        <v>74</v>
      </c>
      <c r="AN50" s="283">
        <v>0</v>
      </c>
      <c r="AO50" s="284"/>
      <c r="AP50" s="282">
        <v>0</v>
      </c>
      <c r="AQ50" s="293">
        <v>0</v>
      </c>
      <c r="AR50" s="284"/>
      <c r="AS50" s="282">
        <v>0</v>
      </c>
      <c r="AT50" s="315">
        <v>-2.5999999999999996</v>
      </c>
      <c r="AU50" s="282">
        <v>0</v>
      </c>
      <c r="AV50" s="315">
        <v>-2.5999999999999996</v>
      </c>
      <c r="AW50" s="282">
        <v>0</v>
      </c>
      <c r="AX50" s="315">
        <v>-2.6999999999999993</v>
      </c>
      <c r="AY50" s="282">
        <v>0</v>
      </c>
      <c r="AZ50" s="315">
        <v>-2.6000000000000005</v>
      </c>
      <c r="BA50" s="282">
        <v>0</v>
      </c>
      <c r="BB50" s="315">
        <v>-2.6999999999999997</v>
      </c>
    </row>
    <row r="51" spans="2:55">
      <c r="B51" s="280" t="s">
        <v>318</v>
      </c>
      <c r="C51" s="281" t="s">
        <v>588</v>
      </c>
      <c r="D51" s="188">
        <v>181</v>
      </c>
      <c r="E51" s="519">
        <v>3.25</v>
      </c>
      <c r="F51" s="233" t="s">
        <v>190</v>
      </c>
      <c r="G51" s="233" t="s">
        <v>178</v>
      </c>
      <c r="H51" s="232">
        <v>134</v>
      </c>
      <c r="I51" s="264"/>
      <c r="J51" s="282" t="s">
        <v>15</v>
      </c>
      <c r="K51" s="293" t="s">
        <v>15</v>
      </c>
      <c r="L51" s="298"/>
      <c r="M51" s="517">
        <v>0</v>
      </c>
      <c r="N51" s="518">
        <v>3.3</v>
      </c>
      <c r="O51" s="517">
        <v>0</v>
      </c>
      <c r="P51" s="518">
        <v>1.9</v>
      </c>
      <c r="Q51" s="517">
        <v>0</v>
      </c>
      <c r="R51" s="518">
        <v>0</v>
      </c>
      <c r="S51" s="329">
        <v>0</v>
      </c>
      <c r="T51" s="518">
        <v>0</v>
      </c>
      <c r="U51" s="517">
        <v>0</v>
      </c>
      <c r="V51" s="518">
        <v>0</v>
      </c>
      <c r="X51" s="283">
        <v>47</v>
      </c>
      <c r="Y51" s="264"/>
      <c r="Z51" s="282">
        <v>0</v>
      </c>
      <c r="AA51" s="293">
        <v>0</v>
      </c>
      <c r="AB51" s="284"/>
      <c r="AC51" s="265">
        <v>102</v>
      </c>
      <c r="AD51" s="294">
        <v>79</v>
      </c>
      <c r="AE51" s="265">
        <v>135</v>
      </c>
      <c r="AF51" s="294">
        <v>46</v>
      </c>
      <c r="AG51" s="265">
        <v>181</v>
      </c>
      <c r="AH51" s="294">
        <v>0</v>
      </c>
      <c r="AI51" s="292">
        <v>181</v>
      </c>
      <c r="AJ51" s="294">
        <v>0</v>
      </c>
      <c r="AK51" s="265">
        <v>181</v>
      </c>
      <c r="AL51" s="294">
        <v>0</v>
      </c>
      <c r="AM51" s="109"/>
      <c r="AN51" s="283">
        <v>15</v>
      </c>
      <c r="AO51" s="284"/>
      <c r="AP51" s="282">
        <v>0</v>
      </c>
      <c r="AQ51" s="293">
        <v>0</v>
      </c>
      <c r="AR51" s="284"/>
      <c r="AS51" s="282">
        <v>0</v>
      </c>
      <c r="AT51" s="315">
        <v>0.5</v>
      </c>
      <c r="AU51" s="282">
        <v>0</v>
      </c>
      <c r="AV51" s="315">
        <v>0.5</v>
      </c>
      <c r="AW51" s="282">
        <v>0</v>
      </c>
      <c r="AX51" s="315">
        <v>0</v>
      </c>
      <c r="AY51" s="282">
        <v>0</v>
      </c>
      <c r="AZ51" s="315">
        <v>0</v>
      </c>
      <c r="BA51" s="282">
        <v>0</v>
      </c>
      <c r="BB51" s="315">
        <v>0</v>
      </c>
      <c r="BC51" s="109"/>
    </row>
    <row r="52" spans="2:55">
      <c r="B52" s="273" t="s">
        <v>318</v>
      </c>
      <c r="C52" s="286" t="s">
        <v>581</v>
      </c>
      <c r="D52" s="189">
        <v>1653</v>
      </c>
      <c r="E52" s="520">
        <v>3.25</v>
      </c>
      <c r="F52" s="236" t="s">
        <v>190</v>
      </c>
      <c r="G52" s="236" t="s">
        <v>178</v>
      </c>
      <c r="H52" s="295">
        <v>1552</v>
      </c>
      <c r="I52" s="264"/>
      <c r="J52" s="267" t="s">
        <v>15</v>
      </c>
      <c r="K52" s="297" t="s">
        <v>15</v>
      </c>
      <c r="L52" s="298"/>
      <c r="M52" s="237" t="s">
        <v>15</v>
      </c>
      <c r="N52" s="314" t="s">
        <v>15</v>
      </c>
      <c r="O52" s="237">
        <v>129</v>
      </c>
      <c r="P52" s="314">
        <v>41.1</v>
      </c>
      <c r="Q52" s="237">
        <v>99</v>
      </c>
      <c r="R52" s="314">
        <v>39.1</v>
      </c>
      <c r="S52" s="509">
        <v>49</v>
      </c>
      <c r="T52" s="314">
        <v>38.6</v>
      </c>
      <c r="U52" s="237">
        <v>29</v>
      </c>
      <c r="V52" s="314">
        <v>34.5</v>
      </c>
      <c r="W52" s="109"/>
      <c r="X52" s="268">
        <v>101</v>
      </c>
      <c r="Y52" s="264"/>
      <c r="Z52" s="267">
        <v>0</v>
      </c>
      <c r="AA52" s="297">
        <v>0</v>
      </c>
      <c r="AB52" s="284"/>
      <c r="AC52" s="267">
        <v>0</v>
      </c>
      <c r="AD52" s="297">
        <v>0</v>
      </c>
      <c r="AE52" s="267">
        <v>538</v>
      </c>
      <c r="AF52" s="297">
        <v>986</v>
      </c>
      <c r="AG52" s="267">
        <v>616</v>
      </c>
      <c r="AH52" s="297">
        <v>938</v>
      </c>
      <c r="AI52" s="296">
        <v>678</v>
      </c>
      <c r="AJ52" s="297">
        <v>926</v>
      </c>
      <c r="AK52" s="267">
        <v>796</v>
      </c>
      <c r="AL52" s="297">
        <v>828</v>
      </c>
      <c r="AN52" s="283">
        <v>121</v>
      </c>
      <c r="AO52" s="284"/>
      <c r="AP52" s="282">
        <v>0</v>
      </c>
      <c r="AQ52" s="293">
        <v>0</v>
      </c>
      <c r="AR52" s="284"/>
      <c r="AS52" s="282">
        <v>0</v>
      </c>
      <c r="AT52" s="315">
        <v>0</v>
      </c>
      <c r="AU52" s="282">
        <v>0</v>
      </c>
      <c r="AV52" s="315">
        <v>4.3000000000000043</v>
      </c>
      <c r="AW52" s="282">
        <v>0</v>
      </c>
      <c r="AX52" s="315">
        <v>4.3000000000000043</v>
      </c>
      <c r="AY52" s="282">
        <v>0</v>
      </c>
      <c r="AZ52" s="315">
        <v>4.3999999999999986</v>
      </c>
      <c r="BA52" s="282">
        <v>0</v>
      </c>
      <c r="BB52" s="315">
        <v>4.3000000000000007</v>
      </c>
    </row>
    <row r="53" spans="2:55">
      <c r="B53" s="280" t="s">
        <v>318</v>
      </c>
      <c r="C53" s="281" t="s">
        <v>461</v>
      </c>
      <c r="D53" s="188">
        <v>358</v>
      </c>
      <c r="E53" s="519">
        <v>3.25</v>
      </c>
      <c r="F53" s="233" t="s">
        <v>190</v>
      </c>
      <c r="G53" s="233" t="s">
        <v>178</v>
      </c>
      <c r="H53" s="232">
        <v>360</v>
      </c>
      <c r="I53" s="264"/>
      <c r="J53" s="282" t="s">
        <v>15</v>
      </c>
      <c r="K53" s="293" t="s">
        <v>15</v>
      </c>
      <c r="L53" s="298"/>
      <c r="M53" s="517">
        <v>0</v>
      </c>
      <c r="N53" s="518">
        <v>9</v>
      </c>
      <c r="O53" s="517">
        <v>0</v>
      </c>
      <c r="P53" s="518">
        <v>7.6</v>
      </c>
      <c r="Q53" s="517">
        <v>0</v>
      </c>
      <c r="R53" s="518">
        <v>4.2</v>
      </c>
      <c r="S53" s="329">
        <v>0</v>
      </c>
      <c r="T53" s="518">
        <v>2.6</v>
      </c>
      <c r="U53" s="517">
        <v>0</v>
      </c>
      <c r="V53" s="518">
        <v>0</v>
      </c>
      <c r="X53" s="283">
        <v>-2</v>
      </c>
      <c r="Y53" s="264"/>
      <c r="Z53" s="282">
        <v>0</v>
      </c>
      <c r="AA53" s="293">
        <v>0</v>
      </c>
      <c r="AB53" s="284"/>
      <c r="AC53" s="265">
        <v>142</v>
      </c>
      <c r="AD53" s="294">
        <v>216</v>
      </c>
      <c r="AE53" s="265">
        <v>176</v>
      </c>
      <c r="AF53" s="294">
        <v>182</v>
      </c>
      <c r="AG53" s="265">
        <v>257</v>
      </c>
      <c r="AH53" s="294">
        <v>101</v>
      </c>
      <c r="AI53" s="292">
        <v>296</v>
      </c>
      <c r="AJ53" s="294">
        <v>62</v>
      </c>
      <c r="AK53" s="265">
        <v>358</v>
      </c>
      <c r="AL53" s="294">
        <v>0</v>
      </c>
      <c r="AM53" s="109"/>
      <c r="AN53" s="283">
        <v>0</v>
      </c>
      <c r="AO53" s="284"/>
      <c r="AP53" s="282">
        <v>0</v>
      </c>
      <c r="AQ53" s="293">
        <v>0</v>
      </c>
      <c r="AR53" s="284"/>
      <c r="AS53" s="282">
        <v>0</v>
      </c>
      <c r="AT53" s="315">
        <v>0</v>
      </c>
      <c r="AU53" s="282">
        <v>0</v>
      </c>
      <c r="AV53" s="315">
        <v>0</v>
      </c>
      <c r="AW53" s="282">
        <v>0</v>
      </c>
      <c r="AX53" s="315">
        <v>0</v>
      </c>
      <c r="AY53" s="282">
        <v>0</v>
      </c>
      <c r="AZ53" s="315">
        <v>0</v>
      </c>
      <c r="BA53" s="282">
        <v>0</v>
      </c>
      <c r="BB53" s="315">
        <v>0</v>
      </c>
      <c r="BC53" s="109"/>
    </row>
    <row r="54" spans="2:55">
      <c r="B54" s="273" t="s">
        <v>318</v>
      </c>
      <c r="C54" s="286" t="s">
        <v>508</v>
      </c>
      <c r="D54" s="189">
        <v>1074</v>
      </c>
      <c r="E54" s="520">
        <v>3.25</v>
      </c>
      <c r="F54" s="236" t="s">
        <v>190</v>
      </c>
      <c r="G54" s="236" t="s">
        <v>178</v>
      </c>
      <c r="H54" s="295">
        <v>978</v>
      </c>
      <c r="I54" s="264"/>
      <c r="J54" s="267" t="s">
        <v>15</v>
      </c>
      <c r="K54" s="297" t="s">
        <v>15</v>
      </c>
      <c r="L54" s="298"/>
      <c r="M54" s="237" t="s">
        <v>15</v>
      </c>
      <c r="N54" s="314" t="s">
        <v>15</v>
      </c>
      <c r="O54" s="237">
        <v>39</v>
      </c>
      <c r="P54" s="314">
        <v>25</v>
      </c>
      <c r="Q54" s="237">
        <v>39</v>
      </c>
      <c r="R54" s="314">
        <v>21.7</v>
      </c>
      <c r="S54" s="509">
        <v>0</v>
      </c>
      <c r="T54" s="314">
        <v>20.7</v>
      </c>
      <c r="U54" s="237">
        <v>0</v>
      </c>
      <c r="V54" s="314">
        <v>15.8</v>
      </c>
      <c r="W54" s="109"/>
      <c r="X54" s="268">
        <v>96</v>
      </c>
      <c r="Y54" s="264"/>
      <c r="Z54" s="267">
        <v>0</v>
      </c>
      <c r="AA54" s="297">
        <v>0</v>
      </c>
      <c r="AB54" s="284"/>
      <c r="AC54" s="267">
        <v>0</v>
      </c>
      <c r="AD54" s="297">
        <v>0</v>
      </c>
      <c r="AE54" s="267">
        <v>435</v>
      </c>
      <c r="AF54" s="297">
        <v>600</v>
      </c>
      <c r="AG54" s="267">
        <v>514</v>
      </c>
      <c r="AH54" s="297">
        <v>521</v>
      </c>
      <c r="AI54" s="296">
        <v>577</v>
      </c>
      <c r="AJ54" s="297">
        <v>497</v>
      </c>
      <c r="AK54" s="267">
        <v>695</v>
      </c>
      <c r="AL54" s="297">
        <v>379</v>
      </c>
      <c r="AN54" s="283">
        <v>0</v>
      </c>
      <c r="AO54" s="284"/>
      <c r="AP54" s="282">
        <v>0</v>
      </c>
      <c r="AQ54" s="293">
        <v>0</v>
      </c>
      <c r="AR54" s="284"/>
      <c r="AS54" s="282">
        <v>0</v>
      </c>
      <c r="AT54" s="315">
        <v>0</v>
      </c>
      <c r="AU54" s="282">
        <v>0</v>
      </c>
      <c r="AV54" s="315">
        <v>0</v>
      </c>
      <c r="AW54" s="282">
        <v>0</v>
      </c>
      <c r="AX54" s="315">
        <v>0</v>
      </c>
      <c r="AY54" s="282">
        <v>0</v>
      </c>
      <c r="AZ54" s="315">
        <v>0</v>
      </c>
      <c r="BA54" s="282">
        <v>0</v>
      </c>
      <c r="BB54" s="315">
        <v>0</v>
      </c>
    </row>
    <row r="55" spans="2:55">
      <c r="B55" s="280" t="s">
        <v>318</v>
      </c>
      <c r="C55" s="281" t="s">
        <v>630</v>
      </c>
      <c r="D55" s="188">
        <v>137</v>
      </c>
      <c r="E55" s="519">
        <v>3.75</v>
      </c>
      <c r="F55" s="233" t="s">
        <v>210</v>
      </c>
      <c r="G55" s="233" t="s">
        <v>178</v>
      </c>
      <c r="H55" s="232">
        <v>165</v>
      </c>
      <c r="I55" s="264"/>
      <c r="J55" s="282" t="s">
        <v>15</v>
      </c>
      <c r="K55" s="293" t="s">
        <v>15</v>
      </c>
      <c r="L55" s="298"/>
      <c r="M55" s="517">
        <v>0</v>
      </c>
      <c r="N55" s="518">
        <v>4</v>
      </c>
      <c r="O55" s="517">
        <v>0</v>
      </c>
      <c r="P55" s="518">
        <v>2.6</v>
      </c>
      <c r="Q55" s="517">
        <v>0</v>
      </c>
      <c r="R55" s="518">
        <v>0</v>
      </c>
      <c r="S55" s="329">
        <v>0</v>
      </c>
      <c r="T55" s="518">
        <v>0</v>
      </c>
      <c r="U55" s="517">
        <v>0</v>
      </c>
      <c r="V55" s="518">
        <v>0</v>
      </c>
      <c r="X55" s="283">
        <v>-28</v>
      </c>
      <c r="Y55" s="264"/>
      <c r="Z55" s="282">
        <v>0</v>
      </c>
      <c r="AA55" s="293">
        <v>0</v>
      </c>
      <c r="AB55" s="284"/>
      <c r="AC55" s="265">
        <v>41</v>
      </c>
      <c r="AD55" s="294">
        <v>96</v>
      </c>
      <c r="AE55" s="265">
        <v>75</v>
      </c>
      <c r="AF55" s="294">
        <v>62</v>
      </c>
      <c r="AG55" s="265">
        <v>137</v>
      </c>
      <c r="AH55" s="294">
        <v>0</v>
      </c>
      <c r="AI55" s="292">
        <v>137</v>
      </c>
      <c r="AJ55" s="294">
        <v>0</v>
      </c>
      <c r="AK55" s="265">
        <v>137</v>
      </c>
      <c r="AL55" s="294">
        <v>0</v>
      </c>
      <c r="AM55" s="109"/>
      <c r="AN55" s="283">
        <v>0</v>
      </c>
      <c r="AO55" s="284"/>
      <c r="AP55" s="282">
        <v>0</v>
      </c>
      <c r="AQ55" s="293">
        <v>0</v>
      </c>
      <c r="AR55" s="284"/>
      <c r="AS55" s="282" t="e">
        <v>#N/A</v>
      </c>
      <c r="AT55" s="315" t="e">
        <v>#N/A</v>
      </c>
      <c r="AU55" s="282" t="e">
        <v>#N/A</v>
      </c>
      <c r="AV55" s="315" t="e">
        <v>#N/A</v>
      </c>
      <c r="AW55" s="282" t="e">
        <v>#N/A</v>
      </c>
      <c r="AX55" s="315" t="e">
        <v>#N/A</v>
      </c>
      <c r="AY55" s="282" t="e">
        <v>#N/A</v>
      </c>
      <c r="AZ55" s="315" t="e">
        <v>#N/A</v>
      </c>
      <c r="BA55" s="282" t="e">
        <v>#N/A</v>
      </c>
      <c r="BB55" s="315" t="e">
        <v>#N/A</v>
      </c>
      <c r="BC55" s="109"/>
    </row>
    <row r="56" spans="2:55">
      <c r="B56" s="273" t="s">
        <v>318</v>
      </c>
      <c r="C56" s="286" t="s">
        <v>537</v>
      </c>
      <c r="D56" s="189">
        <v>204</v>
      </c>
      <c r="E56" s="520">
        <v>3.75</v>
      </c>
      <c r="F56" s="236" t="s">
        <v>191</v>
      </c>
      <c r="G56" s="236" t="s">
        <v>178</v>
      </c>
      <c r="H56" s="295">
        <v>210</v>
      </c>
      <c r="I56" s="264"/>
      <c r="J56" s="267" t="s">
        <v>15</v>
      </c>
      <c r="K56" s="297" t="s">
        <v>15</v>
      </c>
      <c r="L56" s="298"/>
      <c r="M56" s="237">
        <v>0</v>
      </c>
      <c r="N56" s="314">
        <v>5.2</v>
      </c>
      <c r="O56" s="237">
        <v>0</v>
      </c>
      <c r="P56" s="314">
        <v>3.8</v>
      </c>
      <c r="Q56" s="237">
        <v>0</v>
      </c>
      <c r="R56" s="314">
        <v>0</v>
      </c>
      <c r="S56" s="509">
        <v>0</v>
      </c>
      <c r="T56" s="314">
        <v>0</v>
      </c>
      <c r="U56" s="237">
        <v>0</v>
      </c>
      <c r="V56" s="314">
        <v>0</v>
      </c>
      <c r="W56" s="109"/>
      <c r="X56" s="268">
        <v>-6</v>
      </c>
      <c r="Y56" s="264"/>
      <c r="Z56" s="267">
        <v>0</v>
      </c>
      <c r="AA56" s="297">
        <v>0</v>
      </c>
      <c r="AB56" s="284"/>
      <c r="AC56" s="267">
        <v>79</v>
      </c>
      <c r="AD56" s="297">
        <v>125</v>
      </c>
      <c r="AE56" s="267">
        <v>113</v>
      </c>
      <c r="AF56" s="297">
        <v>91</v>
      </c>
      <c r="AG56" s="267">
        <v>204</v>
      </c>
      <c r="AH56" s="297">
        <v>0</v>
      </c>
      <c r="AI56" s="296">
        <v>204</v>
      </c>
      <c r="AJ56" s="297">
        <v>0</v>
      </c>
      <c r="AK56" s="267">
        <v>204</v>
      </c>
      <c r="AL56" s="297">
        <v>0</v>
      </c>
      <c r="AN56" s="283">
        <v>0</v>
      </c>
      <c r="AO56" s="284"/>
      <c r="AP56" s="282">
        <v>0</v>
      </c>
      <c r="AQ56" s="293">
        <v>0</v>
      </c>
      <c r="AR56" s="284"/>
      <c r="AS56" s="282">
        <v>0</v>
      </c>
      <c r="AT56" s="315">
        <v>0</v>
      </c>
      <c r="AU56" s="282">
        <v>0</v>
      </c>
      <c r="AV56" s="315">
        <v>0</v>
      </c>
      <c r="AW56" s="282">
        <v>0</v>
      </c>
      <c r="AX56" s="315">
        <v>0</v>
      </c>
      <c r="AY56" s="282">
        <v>0</v>
      </c>
      <c r="AZ56" s="315">
        <v>0</v>
      </c>
      <c r="BA56" s="282">
        <v>0</v>
      </c>
      <c r="BB56" s="315">
        <v>0</v>
      </c>
    </row>
    <row r="57" spans="2:55">
      <c r="B57" s="280" t="s">
        <v>61</v>
      </c>
      <c r="C57" s="281" t="s">
        <v>482</v>
      </c>
      <c r="D57" s="188">
        <v>751</v>
      </c>
      <c r="E57" s="519">
        <v>5.33</v>
      </c>
      <c r="F57" s="233" t="s">
        <v>193</v>
      </c>
      <c r="G57" s="233" t="s">
        <v>178</v>
      </c>
      <c r="H57" s="232">
        <v>752</v>
      </c>
      <c r="I57" s="264"/>
      <c r="J57" s="282" t="s">
        <v>15</v>
      </c>
      <c r="K57" s="293" t="s">
        <v>15</v>
      </c>
      <c r="L57" s="298"/>
      <c r="M57" s="517">
        <v>39</v>
      </c>
      <c r="N57" s="518">
        <v>20.3</v>
      </c>
      <c r="O57" s="517">
        <v>19</v>
      </c>
      <c r="P57" s="518">
        <v>19.5</v>
      </c>
      <c r="Q57" s="517">
        <v>0</v>
      </c>
      <c r="R57" s="518">
        <v>17</v>
      </c>
      <c r="S57" s="329">
        <v>0</v>
      </c>
      <c r="T57" s="518">
        <v>15.4</v>
      </c>
      <c r="U57" s="517">
        <v>0</v>
      </c>
      <c r="V57" s="518">
        <v>10.7</v>
      </c>
      <c r="X57" s="283">
        <v>-1</v>
      </c>
      <c r="Y57" s="264"/>
      <c r="Z57" s="282">
        <v>0</v>
      </c>
      <c r="AA57" s="293">
        <v>0</v>
      </c>
      <c r="AB57" s="284"/>
      <c r="AC57" s="265">
        <v>225</v>
      </c>
      <c r="AD57" s="294">
        <v>487</v>
      </c>
      <c r="AE57" s="265">
        <v>264</v>
      </c>
      <c r="AF57" s="294">
        <v>468</v>
      </c>
      <c r="AG57" s="265">
        <v>343</v>
      </c>
      <c r="AH57" s="294">
        <v>408</v>
      </c>
      <c r="AI57" s="292">
        <v>381</v>
      </c>
      <c r="AJ57" s="294">
        <v>370</v>
      </c>
      <c r="AK57" s="265">
        <v>494</v>
      </c>
      <c r="AL57" s="294">
        <v>257</v>
      </c>
      <c r="AM57" s="109"/>
      <c r="AN57" s="283">
        <v>0</v>
      </c>
      <c r="AO57" s="284"/>
      <c r="AP57" s="282">
        <v>0</v>
      </c>
      <c r="AQ57" s="293">
        <v>0</v>
      </c>
      <c r="AR57" s="284"/>
      <c r="AS57" s="282">
        <v>0</v>
      </c>
      <c r="AT57" s="315">
        <v>0</v>
      </c>
      <c r="AU57" s="282">
        <v>0</v>
      </c>
      <c r="AV57" s="315">
        <v>0</v>
      </c>
      <c r="AW57" s="282">
        <v>0</v>
      </c>
      <c r="AX57" s="315">
        <v>0</v>
      </c>
      <c r="AY57" s="282">
        <v>0</v>
      </c>
      <c r="AZ57" s="315">
        <v>0</v>
      </c>
      <c r="BA57" s="282">
        <v>0</v>
      </c>
      <c r="BB57" s="315">
        <v>0</v>
      </c>
      <c r="BC57" s="109"/>
    </row>
    <row r="58" spans="2:55">
      <c r="B58" s="273" t="s">
        <v>61</v>
      </c>
      <c r="C58" s="286" t="s">
        <v>509</v>
      </c>
      <c r="D58" s="189">
        <v>915</v>
      </c>
      <c r="E58" s="520">
        <v>5.33</v>
      </c>
      <c r="F58" s="236" t="s">
        <v>193</v>
      </c>
      <c r="G58" s="236" t="s">
        <v>178</v>
      </c>
      <c r="H58" s="295">
        <v>824</v>
      </c>
      <c r="I58" s="264"/>
      <c r="J58" s="267" t="s">
        <v>15</v>
      </c>
      <c r="K58" s="297" t="s">
        <v>15</v>
      </c>
      <c r="L58" s="298"/>
      <c r="M58" s="237" t="s">
        <v>15</v>
      </c>
      <c r="N58" s="314" t="s">
        <v>15</v>
      </c>
      <c r="O58" s="237">
        <v>19</v>
      </c>
      <c r="P58" s="314">
        <v>22.1</v>
      </c>
      <c r="Q58" s="237">
        <v>0</v>
      </c>
      <c r="R58" s="314">
        <v>19.600000000000001</v>
      </c>
      <c r="S58" s="509">
        <v>0</v>
      </c>
      <c r="T58" s="314">
        <v>16.899999999999999</v>
      </c>
      <c r="U58" s="237">
        <v>0</v>
      </c>
      <c r="V58" s="314">
        <v>12</v>
      </c>
      <c r="W58" s="109"/>
      <c r="X58" s="268">
        <v>91</v>
      </c>
      <c r="Y58" s="264"/>
      <c r="Z58" s="267">
        <v>0</v>
      </c>
      <c r="AA58" s="297">
        <v>0</v>
      </c>
      <c r="AB58" s="284"/>
      <c r="AC58" s="267">
        <v>0</v>
      </c>
      <c r="AD58" s="297">
        <v>0</v>
      </c>
      <c r="AE58" s="267">
        <v>366</v>
      </c>
      <c r="AF58" s="297">
        <v>530</v>
      </c>
      <c r="AG58" s="267">
        <v>445</v>
      </c>
      <c r="AH58" s="297">
        <v>470</v>
      </c>
      <c r="AI58" s="296">
        <v>509</v>
      </c>
      <c r="AJ58" s="297">
        <v>406</v>
      </c>
      <c r="AK58" s="267">
        <v>627</v>
      </c>
      <c r="AL58" s="297">
        <v>288</v>
      </c>
      <c r="AN58" s="283">
        <v>0</v>
      </c>
      <c r="AO58" s="284"/>
      <c r="AP58" s="282">
        <v>0</v>
      </c>
      <c r="AQ58" s="293">
        <v>0</v>
      </c>
      <c r="AR58" s="284"/>
      <c r="AS58" s="282">
        <v>0</v>
      </c>
      <c r="AT58" s="315">
        <v>0</v>
      </c>
      <c r="AU58" s="282">
        <v>0</v>
      </c>
      <c r="AV58" s="315">
        <v>0</v>
      </c>
      <c r="AW58" s="282">
        <v>0</v>
      </c>
      <c r="AX58" s="315">
        <v>0</v>
      </c>
      <c r="AY58" s="282">
        <v>0</v>
      </c>
      <c r="AZ58" s="315">
        <v>0</v>
      </c>
      <c r="BA58" s="282">
        <v>0</v>
      </c>
      <c r="BB58" s="315">
        <v>0</v>
      </c>
    </row>
    <row r="59" spans="2:55">
      <c r="B59" s="280" t="s">
        <v>62</v>
      </c>
      <c r="C59" s="281" t="s">
        <v>631</v>
      </c>
      <c r="D59" s="188">
        <v>367</v>
      </c>
      <c r="E59" s="519">
        <v>3.75</v>
      </c>
      <c r="F59" s="233" t="s">
        <v>210</v>
      </c>
      <c r="G59" s="233" t="s">
        <v>178</v>
      </c>
      <c r="H59" s="232">
        <v>443</v>
      </c>
      <c r="I59" s="264"/>
      <c r="J59" s="282" t="s">
        <v>15</v>
      </c>
      <c r="K59" s="293" t="s">
        <v>15</v>
      </c>
      <c r="L59" s="298"/>
      <c r="M59" s="517">
        <v>0</v>
      </c>
      <c r="N59" s="518">
        <v>12</v>
      </c>
      <c r="O59" s="517">
        <v>0</v>
      </c>
      <c r="P59" s="518">
        <v>10.6</v>
      </c>
      <c r="Q59" s="517">
        <v>0</v>
      </c>
      <c r="R59" s="518">
        <v>7.2</v>
      </c>
      <c r="S59" s="329">
        <v>0</v>
      </c>
      <c r="T59" s="518">
        <v>5.6</v>
      </c>
      <c r="U59" s="517">
        <v>0</v>
      </c>
      <c r="V59" s="518">
        <v>0</v>
      </c>
      <c r="X59" s="283">
        <v>-76</v>
      </c>
      <c r="Y59" s="264"/>
      <c r="Z59" s="282">
        <v>0</v>
      </c>
      <c r="AA59" s="293">
        <v>0</v>
      </c>
      <c r="AB59" s="284"/>
      <c r="AC59" s="265">
        <v>79</v>
      </c>
      <c r="AD59" s="294">
        <v>288</v>
      </c>
      <c r="AE59" s="265">
        <v>113</v>
      </c>
      <c r="AF59" s="294">
        <v>254</v>
      </c>
      <c r="AG59" s="265">
        <v>194</v>
      </c>
      <c r="AH59" s="294">
        <v>173</v>
      </c>
      <c r="AI59" s="292">
        <v>233</v>
      </c>
      <c r="AJ59" s="294">
        <v>134</v>
      </c>
      <c r="AK59" s="265">
        <v>367</v>
      </c>
      <c r="AL59" s="294">
        <v>0</v>
      </c>
      <c r="AM59" s="109"/>
      <c r="AN59" s="283">
        <v>0</v>
      </c>
      <c r="AO59" s="284"/>
      <c r="AP59" s="282">
        <v>0</v>
      </c>
      <c r="AQ59" s="293">
        <v>0</v>
      </c>
      <c r="AR59" s="284"/>
      <c r="AS59" s="282" t="e">
        <v>#N/A</v>
      </c>
      <c r="AT59" s="315" t="e">
        <v>#N/A</v>
      </c>
      <c r="AU59" s="282" t="e">
        <v>#N/A</v>
      </c>
      <c r="AV59" s="315" t="e">
        <v>#N/A</v>
      </c>
      <c r="AW59" s="282" t="e">
        <v>#N/A</v>
      </c>
      <c r="AX59" s="315" t="e">
        <v>#N/A</v>
      </c>
      <c r="AY59" s="282" t="e">
        <v>#N/A</v>
      </c>
      <c r="AZ59" s="315" t="e">
        <v>#N/A</v>
      </c>
      <c r="BA59" s="282" t="e">
        <v>#N/A</v>
      </c>
      <c r="BB59" s="315" t="e">
        <v>#N/A</v>
      </c>
      <c r="BC59" s="109"/>
    </row>
    <row r="60" spans="2:55">
      <c r="B60" s="273" t="s">
        <v>62</v>
      </c>
      <c r="C60" s="286" t="s">
        <v>538</v>
      </c>
      <c r="D60" s="189">
        <v>623</v>
      </c>
      <c r="E60" s="520">
        <v>3.75</v>
      </c>
      <c r="F60" s="236" t="s">
        <v>191</v>
      </c>
      <c r="G60" s="236" t="s">
        <v>178</v>
      </c>
      <c r="H60" s="295">
        <v>753</v>
      </c>
      <c r="I60" s="264"/>
      <c r="J60" s="267" t="s">
        <v>15</v>
      </c>
      <c r="K60" s="297" t="s">
        <v>15</v>
      </c>
      <c r="L60" s="298"/>
      <c r="M60" s="237">
        <v>39</v>
      </c>
      <c r="N60" s="314">
        <v>20.3</v>
      </c>
      <c r="O60" s="237">
        <v>19</v>
      </c>
      <c r="P60" s="314">
        <v>19.5</v>
      </c>
      <c r="Q60" s="237">
        <v>0</v>
      </c>
      <c r="R60" s="314">
        <v>17</v>
      </c>
      <c r="S60" s="509">
        <v>0</v>
      </c>
      <c r="T60" s="314">
        <v>15.4</v>
      </c>
      <c r="U60" s="237">
        <v>0</v>
      </c>
      <c r="V60" s="314">
        <v>10.7</v>
      </c>
      <c r="W60" s="109"/>
      <c r="X60" s="268">
        <v>-130</v>
      </c>
      <c r="Y60" s="264"/>
      <c r="Z60" s="267">
        <v>0</v>
      </c>
      <c r="AA60" s="297">
        <v>0</v>
      </c>
      <c r="AB60" s="284"/>
      <c r="AC60" s="267">
        <v>97</v>
      </c>
      <c r="AD60" s="297">
        <v>487</v>
      </c>
      <c r="AE60" s="267">
        <v>136</v>
      </c>
      <c r="AF60" s="297">
        <v>468</v>
      </c>
      <c r="AG60" s="267">
        <v>215</v>
      </c>
      <c r="AH60" s="297">
        <v>408</v>
      </c>
      <c r="AI60" s="296">
        <v>253</v>
      </c>
      <c r="AJ60" s="297">
        <v>370</v>
      </c>
      <c r="AK60" s="267">
        <v>366</v>
      </c>
      <c r="AL60" s="297">
        <v>257</v>
      </c>
      <c r="AN60" s="283">
        <v>0</v>
      </c>
      <c r="AO60" s="284"/>
      <c r="AP60" s="282">
        <v>0</v>
      </c>
      <c r="AQ60" s="293">
        <v>0</v>
      </c>
      <c r="AR60" s="284"/>
      <c r="AS60" s="282">
        <v>0</v>
      </c>
      <c r="AT60" s="315">
        <v>0</v>
      </c>
      <c r="AU60" s="282">
        <v>0</v>
      </c>
      <c r="AV60" s="315">
        <v>0</v>
      </c>
      <c r="AW60" s="282">
        <v>0</v>
      </c>
      <c r="AX60" s="315">
        <v>0</v>
      </c>
      <c r="AY60" s="282">
        <v>0</v>
      </c>
      <c r="AZ60" s="315">
        <v>0</v>
      </c>
      <c r="BA60" s="282">
        <v>0</v>
      </c>
      <c r="BB60" s="315">
        <v>0</v>
      </c>
    </row>
    <row r="61" spans="2:55">
      <c r="B61" s="280" t="s">
        <v>62</v>
      </c>
      <c r="C61" s="281" t="s">
        <v>539</v>
      </c>
      <c r="D61" s="188">
        <v>847</v>
      </c>
      <c r="E61" s="519">
        <v>3.75</v>
      </c>
      <c r="F61" s="233" t="s">
        <v>191</v>
      </c>
      <c r="G61" s="233" t="s">
        <v>178</v>
      </c>
      <c r="H61" s="232">
        <v>1024</v>
      </c>
      <c r="I61" s="264"/>
      <c r="J61" s="282" t="s">
        <v>15</v>
      </c>
      <c r="K61" s="293" t="s">
        <v>15</v>
      </c>
      <c r="L61" s="298"/>
      <c r="M61" s="517" t="s">
        <v>15</v>
      </c>
      <c r="N61" s="518" t="s">
        <v>15</v>
      </c>
      <c r="O61" s="517">
        <v>49</v>
      </c>
      <c r="P61" s="518">
        <v>26.2</v>
      </c>
      <c r="Q61" s="517">
        <v>39</v>
      </c>
      <c r="R61" s="518">
        <v>23.3</v>
      </c>
      <c r="S61" s="329">
        <v>0</v>
      </c>
      <c r="T61" s="518">
        <v>22.3</v>
      </c>
      <c r="U61" s="517">
        <v>0</v>
      </c>
      <c r="V61" s="518">
        <v>17.399999999999999</v>
      </c>
      <c r="X61" s="283">
        <v>-177</v>
      </c>
      <c r="Y61" s="264"/>
      <c r="Z61" s="282">
        <v>0</v>
      </c>
      <c r="AA61" s="293">
        <v>0</v>
      </c>
      <c r="AB61" s="284"/>
      <c r="AC61" s="265">
        <v>0</v>
      </c>
      <c r="AD61" s="294">
        <v>0</v>
      </c>
      <c r="AE61" s="265">
        <v>169</v>
      </c>
      <c r="AF61" s="294">
        <v>629</v>
      </c>
      <c r="AG61" s="265">
        <v>249</v>
      </c>
      <c r="AH61" s="294">
        <v>559</v>
      </c>
      <c r="AI61" s="292">
        <v>312</v>
      </c>
      <c r="AJ61" s="294">
        <v>535</v>
      </c>
      <c r="AK61" s="265">
        <v>429</v>
      </c>
      <c r="AL61" s="294">
        <v>418</v>
      </c>
      <c r="AM61" s="109"/>
      <c r="AN61" s="283">
        <v>0</v>
      </c>
      <c r="AO61" s="284"/>
      <c r="AP61" s="282">
        <v>0</v>
      </c>
      <c r="AQ61" s="293">
        <v>0</v>
      </c>
      <c r="AR61" s="284"/>
      <c r="AS61" s="282">
        <v>0</v>
      </c>
      <c r="AT61" s="315">
        <v>0</v>
      </c>
      <c r="AU61" s="282">
        <v>0</v>
      </c>
      <c r="AV61" s="315">
        <v>0</v>
      </c>
      <c r="AW61" s="282">
        <v>0</v>
      </c>
      <c r="AX61" s="315">
        <v>0</v>
      </c>
      <c r="AY61" s="282">
        <v>0</v>
      </c>
      <c r="AZ61" s="315">
        <v>0</v>
      </c>
      <c r="BA61" s="282">
        <v>0</v>
      </c>
      <c r="BB61" s="315">
        <v>0</v>
      </c>
      <c r="BC61" s="109"/>
    </row>
    <row r="62" spans="2:55">
      <c r="B62" s="273" t="s">
        <v>62</v>
      </c>
      <c r="C62" s="286" t="s">
        <v>540</v>
      </c>
      <c r="D62" s="189">
        <v>1044</v>
      </c>
      <c r="E62" s="520">
        <v>3.75</v>
      </c>
      <c r="F62" s="236" t="s">
        <v>191</v>
      </c>
      <c r="G62" s="236" t="s">
        <v>178</v>
      </c>
      <c r="H62" s="295">
        <v>1263</v>
      </c>
      <c r="I62" s="264"/>
      <c r="J62" s="267" t="s">
        <v>15</v>
      </c>
      <c r="K62" s="297" t="s">
        <v>15</v>
      </c>
      <c r="L62" s="298"/>
      <c r="M62" s="237" t="s">
        <v>15</v>
      </c>
      <c r="N62" s="314" t="s">
        <v>15</v>
      </c>
      <c r="O62" s="237">
        <v>79</v>
      </c>
      <c r="P62" s="314">
        <v>32.9</v>
      </c>
      <c r="Q62" s="237">
        <v>39</v>
      </c>
      <c r="R62" s="314">
        <v>31.3</v>
      </c>
      <c r="S62" s="509">
        <v>0</v>
      </c>
      <c r="T62" s="314">
        <v>30.3</v>
      </c>
      <c r="U62" s="237">
        <v>0</v>
      </c>
      <c r="V62" s="314">
        <v>25.4</v>
      </c>
      <c r="W62" s="109"/>
      <c r="X62" s="268">
        <v>-219</v>
      </c>
      <c r="Y62" s="264"/>
      <c r="Z62" s="267">
        <v>0</v>
      </c>
      <c r="AA62" s="297">
        <v>0</v>
      </c>
      <c r="AB62" s="284"/>
      <c r="AC62" s="267">
        <v>0</v>
      </c>
      <c r="AD62" s="297">
        <v>0</v>
      </c>
      <c r="AE62" s="267">
        <v>175</v>
      </c>
      <c r="AF62" s="297">
        <v>790</v>
      </c>
      <c r="AG62" s="267">
        <v>254</v>
      </c>
      <c r="AH62" s="297">
        <v>751</v>
      </c>
      <c r="AI62" s="296">
        <v>317</v>
      </c>
      <c r="AJ62" s="297">
        <v>727</v>
      </c>
      <c r="AK62" s="267">
        <v>434</v>
      </c>
      <c r="AL62" s="297">
        <v>610</v>
      </c>
      <c r="AN62" s="283">
        <v>0</v>
      </c>
      <c r="AO62" s="284"/>
      <c r="AP62" s="282">
        <v>0</v>
      </c>
      <c r="AQ62" s="293">
        <v>0</v>
      </c>
      <c r="AR62" s="284"/>
      <c r="AS62" s="282">
        <v>0</v>
      </c>
      <c r="AT62" s="315">
        <v>0</v>
      </c>
      <c r="AU62" s="282">
        <v>0</v>
      </c>
      <c r="AV62" s="315">
        <v>0</v>
      </c>
      <c r="AW62" s="282">
        <v>0</v>
      </c>
      <c r="AX62" s="315">
        <v>0</v>
      </c>
      <c r="AY62" s="282">
        <v>0</v>
      </c>
      <c r="AZ62" s="315">
        <v>0</v>
      </c>
      <c r="BA62" s="282">
        <v>0</v>
      </c>
      <c r="BB62" s="315">
        <v>0</v>
      </c>
    </row>
    <row r="63" spans="2:55" s="109" customFormat="1">
      <c r="B63" s="280" t="s">
        <v>62</v>
      </c>
      <c r="C63" s="281" t="s">
        <v>330</v>
      </c>
      <c r="D63" s="188">
        <v>920</v>
      </c>
      <c r="E63" s="519">
        <v>3.25</v>
      </c>
      <c r="F63" s="233" t="s">
        <v>190</v>
      </c>
      <c r="G63" s="233" t="s">
        <v>178</v>
      </c>
      <c r="H63" s="232">
        <v>741</v>
      </c>
      <c r="I63" s="264"/>
      <c r="J63" s="282" t="s">
        <v>15</v>
      </c>
      <c r="K63" s="293" t="s">
        <v>15</v>
      </c>
      <c r="L63" s="298"/>
      <c r="M63" s="517" t="s">
        <v>15</v>
      </c>
      <c r="N63" s="518" t="s">
        <v>15</v>
      </c>
      <c r="O63" s="517">
        <v>19</v>
      </c>
      <c r="P63" s="518">
        <v>21.2</v>
      </c>
      <c r="Q63" s="517">
        <v>0</v>
      </c>
      <c r="R63" s="518">
        <v>18.7</v>
      </c>
      <c r="S63" s="329">
        <v>0</v>
      </c>
      <c r="T63" s="518">
        <v>16</v>
      </c>
      <c r="U63" s="517">
        <v>0</v>
      </c>
      <c r="V63" s="518">
        <v>11.1</v>
      </c>
      <c r="W63" s="113"/>
      <c r="X63" s="283">
        <v>179</v>
      </c>
      <c r="Y63" s="264"/>
      <c r="Z63" s="282">
        <v>0</v>
      </c>
      <c r="AA63" s="293">
        <v>0</v>
      </c>
      <c r="AB63" s="284"/>
      <c r="AC63" s="265">
        <v>0</v>
      </c>
      <c r="AD63" s="294">
        <v>0</v>
      </c>
      <c r="AE63" s="265">
        <v>392</v>
      </c>
      <c r="AF63" s="294">
        <v>509</v>
      </c>
      <c r="AG63" s="265">
        <v>471</v>
      </c>
      <c r="AH63" s="294">
        <v>449</v>
      </c>
      <c r="AI63" s="292">
        <v>536</v>
      </c>
      <c r="AJ63" s="294">
        <v>384</v>
      </c>
      <c r="AK63" s="265">
        <v>654</v>
      </c>
      <c r="AL63" s="294">
        <v>266</v>
      </c>
      <c r="AN63" s="283">
        <v>0</v>
      </c>
      <c r="AO63" s="284"/>
      <c r="AP63" s="282">
        <v>0</v>
      </c>
      <c r="AQ63" s="293">
        <v>0</v>
      </c>
      <c r="AR63" s="284"/>
      <c r="AS63" s="282">
        <v>0</v>
      </c>
      <c r="AT63" s="315">
        <v>0</v>
      </c>
      <c r="AU63" s="282">
        <v>0</v>
      </c>
      <c r="AV63" s="315">
        <v>0</v>
      </c>
      <c r="AW63" s="282">
        <v>0</v>
      </c>
      <c r="AX63" s="315">
        <v>0</v>
      </c>
      <c r="AY63" s="282">
        <v>0</v>
      </c>
      <c r="AZ63" s="315">
        <v>0</v>
      </c>
      <c r="BA63" s="282">
        <v>0</v>
      </c>
      <c r="BB63" s="315">
        <v>0</v>
      </c>
    </row>
    <row r="64" spans="2:55">
      <c r="B64" s="273" t="s">
        <v>62</v>
      </c>
      <c r="C64" s="286" t="s">
        <v>424</v>
      </c>
      <c r="D64" s="189">
        <v>883</v>
      </c>
      <c r="E64" s="520">
        <v>3.25</v>
      </c>
      <c r="F64" s="236" t="s">
        <v>190</v>
      </c>
      <c r="G64" s="236" t="s">
        <v>178</v>
      </c>
      <c r="H64" s="295">
        <v>864</v>
      </c>
      <c r="I64" s="264"/>
      <c r="J64" s="267" t="s">
        <v>15</v>
      </c>
      <c r="K64" s="297" t="s">
        <v>15</v>
      </c>
      <c r="L64" s="298"/>
      <c r="M64" s="237" t="s">
        <v>15</v>
      </c>
      <c r="N64" s="314" t="s">
        <v>15</v>
      </c>
      <c r="O64" s="237">
        <v>29</v>
      </c>
      <c r="P64" s="314">
        <v>23.1</v>
      </c>
      <c r="Q64" s="237">
        <v>0</v>
      </c>
      <c r="R64" s="314">
        <v>21.1</v>
      </c>
      <c r="S64" s="509">
        <v>0</v>
      </c>
      <c r="T64" s="314">
        <v>18.399999999999999</v>
      </c>
      <c r="U64" s="237">
        <v>0</v>
      </c>
      <c r="V64" s="314">
        <v>13.4</v>
      </c>
      <c r="W64" s="109"/>
      <c r="X64" s="268">
        <v>19</v>
      </c>
      <c r="Y64" s="264"/>
      <c r="Z64" s="267">
        <v>0</v>
      </c>
      <c r="AA64" s="297">
        <v>0</v>
      </c>
      <c r="AB64" s="284"/>
      <c r="AC64" s="267">
        <v>0</v>
      </c>
      <c r="AD64" s="297">
        <v>0</v>
      </c>
      <c r="AE64" s="267">
        <v>300</v>
      </c>
      <c r="AF64" s="297">
        <v>554</v>
      </c>
      <c r="AG64" s="267">
        <v>377</v>
      </c>
      <c r="AH64" s="297">
        <v>506</v>
      </c>
      <c r="AI64" s="296">
        <v>441</v>
      </c>
      <c r="AJ64" s="297">
        <v>442</v>
      </c>
      <c r="AK64" s="267">
        <v>561</v>
      </c>
      <c r="AL64" s="297">
        <v>322</v>
      </c>
      <c r="AN64" s="283">
        <v>0</v>
      </c>
      <c r="AO64" s="284"/>
      <c r="AP64" s="282">
        <v>0</v>
      </c>
      <c r="AQ64" s="293">
        <v>0</v>
      </c>
      <c r="AR64" s="284"/>
      <c r="AS64" s="282">
        <v>0</v>
      </c>
      <c r="AT64" s="315">
        <v>0</v>
      </c>
      <c r="AU64" s="282">
        <v>0</v>
      </c>
      <c r="AV64" s="315">
        <v>-1.6999999999999993</v>
      </c>
      <c r="AW64" s="282">
        <v>0</v>
      </c>
      <c r="AX64" s="315">
        <v>-1.5999999999999979</v>
      </c>
      <c r="AY64" s="282">
        <v>0</v>
      </c>
      <c r="AZ64" s="315">
        <v>-1.6000000000000014</v>
      </c>
      <c r="BA64" s="282">
        <v>0</v>
      </c>
      <c r="BB64" s="315">
        <v>-1.6999999999999993</v>
      </c>
    </row>
    <row r="65" spans="2:55">
      <c r="B65" s="280" t="s">
        <v>62</v>
      </c>
      <c r="C65" s="281" t="s">
        <v>589</v>
      </c>
      <c r="D65" s="188">
        <v>883</v>
      </c>
      <c r="E65" s="519">
        <v>3.25</v>
      </c>
      <c r="F65" s="233" t="s">
        <v>190</v>
      </c>
      <c r="G65" s="233" t="s">
        <v>178</v>
      </c>
      <c r="H65" s="232">
        <v>967</v>
      </c>
      <c r="I65" s="264"/>
      <c r="J65" s="282" t="s">
        <v>15</v>
      </c>
      <c r="K65" s="293" t="s">
        <v>15</v>
      </c>
      <c r="L65" s="298"/>
      <c r="M65" s="517" t="s">
        <v>15</v>
      </c>
      <c r="N65" s="518" t="s">
        <v>15</v>
      </c>
      <c r="O65" s="517">
        <v>49</v>
      </c>
      <c r="P65" s="518">
        <v>25.6</v>
      </c>
      <c r="Q65" s="517">
        <v>39</v>
      </c>
      <c r="R65" s="518">
        <v>22.7</v>
      </c>
      <c r="S65" s="329">
        <v>0</v>
      </c>
      <c r="T65" s="518">
        <v>21.7</v>
      </c>
      <c r="U65" s="517">
        <v>0</v>
      </c>
      <c r="V65" s="518">
        <v>16.8</v>
      </c>
      <c r="X65" s="283">
        <v>-84</v>
      </c>
      <c r="Y65" s="264"/>
      <c r="Z65" s="282">
        <v>0</v>
      </c>
      <c r="AA65" s="293">
        <v>0</v>
      </c>
      <c r="AB65" s="284"/>
      <c r="AC65" s="265">
        <v>0</v>
      </c>
      <c r="AD65" s="294">
        <v>0</v>
      </c>
      <c r="AE65" s="265">
        <v>220</v>
      </c>
      <c r="AF65" s="294">
        <v>614</v>
      </c>
      <c r="AG65" s="265">
        <v>299</v>
      </c>
      <c r="AH65" s="294">
        <v>545</v>
      </c>
      <c r="AI65" s="292">
        <v>362</v>
      </c>
      <c r="AJ65" s="294">
        <v>521</v>
      </c>
      <c r="AK65" s="265">
        <v>480</v>
      </c>
      <c r="AL65" s="294">
        <v>403</v>
      </c>
      <c r="AM65" s="109"/>
      <c r="AN65" s="283">
        <v>0</v>
      </c>
      <c r="AO65" s="284"/>
      <c r="AP65" s="282">
        <v>0</v>
      </c>
      <c r="AQ65" s="293">
        <v>0</v>
      </c>
      <c r="AR65" s="284"/>
      <c r="AS65" s="282">
        <v>0</v>
      </c>
      <c r="AT65" s="315">
        <v>0</v>
      </c>
      <c r="AU65" s="282">
        <v>0</v>
      </c>
      <c r="AV65" s="315">
        <v>-1.5999999999999979</v>
      </c>
      <c r="AW65" s="282">
        <v>0</v>
      </c>
      <c r="AX65" s="315">
        <v>-1.6000000000000014</v>
      </c>
      <c r="AY65" s="282">
        <v>0</v>
      </c>
      <c r="AZ65" s="315">
        <v>-1.6000000000000014</v>
      </c>
      <c r="BA65" s="282">
        <v>0</v>
      </c>
      <c r="BB65" s="315">
        <v>-1.5999999999999979</v>
      </c>
      <c r="BC65" s="109"/>
    </row>
    <row r="66" spans="2:55">
      <c r="B66" s="273" t="s">
        <v>62</v>
      </c>
      <c r="C66" s="286" t="s">
        <v>590</v>
      </c>
      <c r="D66" s="189">
        <v>983</v>
      </c>
      <c r="E66" s="520">
        <v>3.25</v>
      </c>
      <c r="F66" s="236" t="s">
        <v>190</v>
      </c>
      <c r="G66" s="236" t="s">
        <v>178</v>
      </c>
      <c r="H66" s="295">
        <v>1101</v>
      </c>
      <c r="I66" s="264"/>
      <c r="J66" s="267" t="s">
        <v>15</v>
      </c>
      <c r="K66" s="297" t="s">
        <v>15</v>
      </c>
      <c r="L66" s="298"/>
      <c r="M66" s="237" t="s">
        <v>15</v>
      </c>
      <c r="N66" s="314" t="s">
        <v>15</v>
      </c>
      <c r="O66" s="237">
        <v>49</v>
      </c>
      <c r="P66" s="314">
        <v>29.9</v>
      </c>
      <c r="Q66" s="237">
        <v>39</v>
      </c>
      <c r="R66" s="314">
        <v>27</v>
      </c>
      <c r="S66" s="509">
        <v>0</v>
      </c>
      <c r="T66" s="314">
        <v>26</v>
      </c>
      <c r="U66" s="237">
        <v>0</v>
      </c>
      <c r="V66" s="314">
        <v>21.1</v>
      </c>
      <c r="W66" s="109"/>
      <c r="X66" s="268">
        <v>-118</v>
      </c>
      <c r="Y66" s="264"/>
      <c r="Z66" s="267">
        <v>0</v>
      </c>
      <c r="AA66" s="297">
        <v>0</v>
      </c>
      <c r="AB66" s="284"/>
      <c r="AC66" s="267">
        <v>0</v>
      </c>
      <c r="AD66" s="297">
        <v>0</v>
      </c>
      <c r="AE66" s="267">
        <v>216</v>
      </c>
      <c r="AF66" s="297">
        <v>718</v>
      </c>
      <c r="AG66" s="267">
        <v>296</v>
      </c>
      <c r="AH66" s="297">
        <v>648</v>
      </c>
      <c r="AI66" s="296">
        <v>359</v>
      </c>
      <c r="AJ66" s="297">
        <v>624</v>
      </c>
      <c r="AK66" s="267">
        <v>477</v>
      </c>
      <c r="AL66" s="297">
        <v>506</v>
      </c>
      <c r="AN66" s="283">
        <v>0</v>
      </c>
      <c r="AO66" s="284"/>
      <c r="AP66" s="282">
        <v>0</v>
      </c>
      <c r="AQ66" s="293">
        <v>0</v>
      </c>
      <c r="AR66" s="284"/>
      <c r="AS66" s="282">
        <v>0</v>
      </c>
      <c r="AT66" s="315">
        <v>0</v>
      </c>
      <c r="AU66" s="282">
        <v>0</v>
      </c>
      <c r="AV66" s="315">
        <v>-1.7000000000000028</v>
      </c>
      <c r="AW66" s="282">
        <v>0</v>
      </c>
      <c r="AX66" s="315">
        <v>-1.6999999999999993</v>
      </c>
      <c r="AY66" s="282">
        <v>0</v>
      </c>
      <c r="AZ66" s="315">
        <v>-1.6999999999999993</v>
      </c>
      <c r="BA66" s="282">
        <v>0</v>
      </c>
      <c r="BB66" s="315">
        <v>-1.6999999999999993</v>
      </c>
    </row>
    <row r="67" spans="2:55">
      <c r="B67" s="280" t="s">
        <v>62</v>
      </c>
      <c r="C67" s="281" t="s">
        <v>591</v>
      </c>
      <c r="D67" s="188">
        <v>998</v>
      </c>
      <c r="E67" s="519">
        <v>3.25</v>
      </c>
      <c r="F67" s="233" t="s">
        <v>190</v>
      </c>
      <c r="G67" s="233" t="s">
        <v>178</v>
      </c>
      <c r="H67" s="232">
        <v>1121</v>
      </c>
      <c r="I67" s="264"/>
      <c r="J67" s="282" t="s">
        <v>15</v>
      </c>
      <c r="K67" s="293" t="s">
        <v>15</v>
      </c>
      <c r="L67" s="298"/>
      <c r="M67" s="517" t="s">
        <v>15</v>
      </c>
      <c r="N67" s="518" t="s">
        <v>15</v>
      </c>
      <c r="O67" s="517">
        <v>49</v>
      </c>
      <c r="P67" s="518">
        <v>30.6</v>
      </c>
      <c r="Q67" s="517">
        <v>39</v>
      </c>
      <c r="R67" s="518">
        <v>27.7</v>
      </c>
      <c r="S67" s="329">
        <v>0</v>
      </c>
      <c r="T67" s="518">
        <v>26.7</v>
      </c>
      <c r="U67" s="517">
        <v>0</v>
      </c>
      <c r="V67" s="518">
        <v>21.8</v>
      </c>
      <c r="X67" s="283">
        <v>-123</v>
      </c>
      <c r="Y67" s="264"/>
      <c r="Z67" s="282">
        <v>0</v>
      </c>
      <c r="AA67" s="293">
        <v>0</v>
      </c>
      <c r="AB67" s="284"/>
      <c r="AC67" s="265">
        <v>0</v>
      </c>
      <c r="AD67" s="294">
        <v>0</v>
      </c>
      <c r="AE67" s="265">
        <v>215</v>
      </c>
      <c r="AF67" s="294">
        <v>734</v>
      </c>
      <c r="AG67" s="265">
        <v>294</v>
      </c>
      <c r="AH67" s="294">
        <v>665</v>
      </c>
      <c r="AI67" s="292">
        <v>357</v>
      </c>
      <c r="AJ67" s="294">
        <v>641</v>
      </c>
      <c r="AK67" s="265">
        <v>475</v>
      </c>
      <c r="AL67" s="294">
        <v>523</v>
      </c>
      <c r="AM67" s="109"/>
      <c r="AN67" s="283">
        <v>0</v>
      </c>
      <c r="AO67" s="284"/>
      <c r="AP67" s="282">
        <v>0</v>
      </c>
      <c r="AQ67" s="293">
        <v>0</v>
      </c>
      <c r="AR67" s="284"/>
      <c r="AS67" s="282">
        <v>0</v>
      </c>
      <c r="AT67" s="315">
        <v>0</v>
      </c>
      <c r="AU67" s="282">
        <v>0</v>
      </c>
      <c r="AV67" s="315">
        <v>-1.6000000000000014</v>
      </c>
      <c r="AW67" s="282">
        <v>0</v>
      </c>
      <c r="AX67" s="315">
        <v>-1.6000000000000014</v>
      </c>
      <c r="AY67" s="282">
        <v>0</v>
      </c>
      <c r="AZ67" s="315">
        <v>-1.6000000000000014</v>
      </c>
      <c r="BA67" s="282">
        <v>0</v>
      </c>
      <c r="BB67" s="315">
        <v>-1.5999999999999979</v>
      </c>
      <c r="BC67" s="109"/>
    </row>
    <row r="68" spans="2:55" s="109" customFormat="1">
      <c r="B68" s="273" t="s">
        <v>62</v>
      </c>
      <c r="C68" s="286" t="s">
        <v>592</v>
      </c>
      <c r="D68" s="189">
        <v>1097</v>
      </c>
      <c r="E68" s="520">
        <v>3.25</v>
      </c>
      <c r="F68" s="236" t="s">
        <v>190</v>
      </c>
      <c r="G68" s="236" t="s">
        <v>178</v>
      </c>
      <c r="H68" s="295">
        <v>1254</v>
      </c>
      <c r="I68" s="264"/>
      <c r="J68" s="267" t="s">
        <v>15</v>
      </c>
      <c r="K68" s="297" t="s">
        <v>15</v>
      </c>
      <c r="L68" s="298"/>
      <c r="M68" s="237" t="s">
        <v>15</v>
      </c>
      <c r="N68" s="314" t="s">
        <v>15</v>
      </c>
      <c r="O68" s="237">
        <v>79</v>
      </c>
      <c r="P68" s="314">
        <v>33.6</v>
      </c>
      <c r="Q68" s="237">
        <v>39</v>
      </c>
      <c r="R68" s="314">
        <v>32</v>
      </c>
      <c r="S68" s="509">
        <v>0</v>
      </c>
      <c r="T68" s="314">
        <v>31</v>
      </c>
      <c r="U68" s="237">
        <v>0</v>
      </c>
      <c r="V68" s="314">
        <v>26.1</v>
      </c>
      <c r="X68" s="268">
        <v>-157</v>
      </c>
      <c r="Y68" s="264"/>
      <c r="Z68" s="267">
        <v>0</v>
      </c>
      <c r="AA68" s="297">
        <v>0</v>
      </c>
      <c r="AB68" s="284"/>
      <c r="AC68" s="267">
        <v>0</v>
      </c>
      <c r="AD68" s="297">
        <v>0</v>
      </c>
      <c r="AE68" s="267">
        <v>212</v>
      </c>
      <c r="AF68" s="297">
        <v>806</v>
      </c>
      <c r="AG68" s="267">
        <v>290</v>
      </c>
      <c r="AH68" s="297">
        <v>768</v>
      </c>
      <c r="AI68" s="296">
        <v>353</v>
      </c>
      <c r="AJ68" s="297">
        <v>744</v>
      </c>
      <c r="AK68" s="267">
        <v>471</v>
      </c>
      <c r="AL68" s="297">
        <v>626</v>
      </c>
      <c r="AM68" s="113"/>
      <c r="AN68" s="283">
        <v>0</v>
      </c>
      <c r="AO68" s="284"/>
      <c r="AP68" s="282">
        <v>0</v>
      </c>
      <c r="AQ68" s="293">
        <v>0</v>
      </c>
      <c r="AR68" s="284"/>
      <c r="AS68" s="282">
        <v>0</v>
      </c>
      <c r="AT68" s="315">
        <v>0</v>
      </c>
      <c r="AU68" s="282">
        <v>0</v>
      </c>
      <c r="AV68" s="315">
        <v>-1.6000000000000014</v>
      </c>
      <c r="AW68" s="282">
        <v>0</v>
      </c>
      <c r="AX68" s="315">
        <v>-1.6000000000000014</v>
      </c>
      <c r="AY68" s="282">
        <v>0</v>
      </c>
      <c r="AZ68" s="315">
        <v>-1.6000000000000014</v>
      </c>
      <c r="BA68" s="282">
        <v>0</v>
      </c>
      <c r="BB68" s="315">
        <v>-1.5999999999999979</v>
      </c>
      <c r="BC68" s="113"/>
    </row>
    <row r="69" spans="2:55">
      <c r="B69" s="280" t="s">
        <v>62</v>
      </c>
      <c r="C69" s="281" t="s">
        <v>593</v>
      </c>
      <c r="D69" s="188">
        <v>1074</v>
      </c>
      <c r="E69" s="519">
        <v>3.25</v>
      </c>
      <c r="F69" s="233" t="s">
        <v>190</v>
      </c>
      <c r="G69" s="233" t="s">
        <v>178</v>
      </c>
      <c r="H69" s="232">
        <v>1223</v>
      </c>
      <c r="I69" s="264"/>
      <c r="J69" s="282" t="s">
        <v>15</v>
      </c>
      <c r="K69" s="293" t="s">
        <v>15</v>
      </c>
      <c r="L69" s="298"/>
      <c r="M69" s="517" t="s">
        <v>15</v>
      </c>
      <c r="N69" s="518" t="s">
        <v>15</v>
      </c>
      <c r="O69" s="517">
        <v>79</v>
      </c>
      <c r="P69" s="518">
        <v>32.5</v>
      </c>
      <c r="Q69" s="517">
        <v>39</v>
      </c>
      <c r="R69" s="518">
        <v>30.9</v>
      </c>
      <c r="S69" s="329">
        <v>0</v>
      </c>
      <c r="T69" s="518">
        <v>29.9</v>
      </c>
      <c r="U69" s="517">
        <v>0</v>
      </c>
      <c r="V69" s="518">
        <v>25</v>
      </c>
      <c r="X69" s="283">
        <v>-149</v>
      </c>
      <c r="Y69" s="264"/>
      <c r="Z69" s="282">
        <v>0</v>
      </c>
      <c r="AA69" s="293">
        <v>0</v>
      </c>
      <c r="AB69" s="284"/>
      <c r="AC69" s="265">
        <v>0</v>
      </c>
      <c r="AD69" s="294">
        <v>0</v>
      </c>
      <c r="AE69" s="265">
        <v>215</v>
      </c>
      <c r="AF69" s="294">
        <v>780</v>
      </c>
      <c r="AG69" s="265">
        <v>293</v>
      </c>
      <c r="AH69" s="294">
        <v>742</v>
      </c>
      <c r="AI69" s="292">
        <v>356</v>
      </c>
      <c r="AJ69" s="294">
        <v>718</v>
      </c>
      <c r="AK69" s="265">
        <v>474</v>
      </c>
      <c r="AL69" s="294">
        <v>600</v>
      </c>
      <c r="AM69" s="109"/>
      <c r="AN69" s="283">
        <v>0</v>
      </c>
      <c r="AO69" s="284"/>
      <c r="AP69" s="282">
        <v>0</v>
      </c>
      <c r="AQ69" s="293">
        <v>0</v>
      </c>
      <c r="AR69" s="284"/>
      <c r="AS69" s="282">
        <v>0</v>
      </c>
      <c r="AT69" s="315">
        <v>0</v>
      </c>
      <c r="AU69" s="282">
        <v>0</v>
      </c>
      <c r="AV69" s="315">
        <v>-1.7000000000000028</v>
      </c>
      <c r="AW69" s="282">
        <v>0</v>
      </c>
      <c r="AX69" s="315">
        <v>-1.7000000000000028</v>
      </c>
      <c r="AY69" s="282">
        <v>0</v>
      </c>
      <c r="AZ69" s="315">
        <v>-1.7000000000000028</v>
      </c>
      <c r="BA69" s="282">
        <v>0</v>
      </c>
      <c r="BB69" s="315">
        <v>-1.6999999999999993</v>
      </c>
      <c r="BC69" s="109"/>
    </row>
    <row r="70" spans="2:55">
      <c r="B70" s="273" t="s">
        <v>62</v>
      </c>
      <c r="C70" s="286" t="s">
        <v>594</v>
      </c>
      <c r="D70" s="189">
        <v>1174</v>
      </c>
      <c r="E70" s="520">
        <v>3.25</v>
      </c>
      <c r="F70" s="236" t="s">
        <v>190</v>
      </c>
      <c r="G70" s="236" t="s">
        <v>178</v>
      </c>
      <c r="H70" s="295">
        <v>1357</v>
      </c>
      <c r="I70" s="264"/>
      <c r="J70" s="267" t="s">
        <v>15</v>
      </c>
      <c r="K70" s="297" t="s">
        <v>15</v>
      </c>
      <c r="L70" s="298"/>
      <c r="M70" s="237" t="s">
        <v>15</v>
      </c>
      <c r="N70" s="314" t="s">
        <v>15</v>
      </c>
      <c r="O70" s="237">
        <v>129</v>
      </c>
      <c r="P70" s="314">
        <v>34.700000000000003</v>
      </c>
      <c r="Q70" s="237">
        <v>99</v>
      </c>
      <c r="R70" s="314">
        <v>32.6</v>
      </c>
      <c r="S70" s="509">
        <v>49</v>
      </c>
      <c r="T70" s="314">
        <v>32.1</v>
      </c>
      <c r="U70" s="237">
        <v>29</v>
      </c>
      <c r="V70" s="314">
        <v>28.1</v>
      </c>
      <c r="W70" s="109"/>
      <c r="X70" s="268">
        <v>-183</v>
      </c>
      <c r="Y70" s="264"/>
      <c r="Z70" s="267">
        <v>0</v>
      </c>
      <c r="AA70" s="297">
        <v>0</v>
      </c>
      <c r="AB70" s="284"/>
      <c r="AC70" s="267">
        <v>0</v>
      </c>
      <c r="AD70" s="297">
        <v>0</v>
      </c>
      <c r="AE70" s="267">
        <v>212</v>
      </c>
      <c r="AF70" s="297">
        <v>833</v>
      </c>
      <c r="AG70" s="267">
        <v>293</v>
      </c>
      <c r="AH70" s="297">
        <v>782</v>
      </c>
      <c r="AI70" s="296">
        <v>355</v>
      </c>
      <c r="AJ70" s="297">
        <v>770</v>
      </c>
      <c r="AK70" s="267">
        <v>471</v>
      </c>
      <c r="AL70" s="297">
        <v>674</v>
      </c>
      <c r="AN70" s="283">
        <v>0</v>
      </c>
      <c r="AO70" s="284"/>
      <c r="AP70" s="282">
        <v>0</v>
      </c>
      <c r="AQ70" s="293">
        <v>0</v>
      </c>
      <c r="AR70" s="284"/>
      <c r="AS70" s="282">
        <v>0</v>
      </c>
      <c r="AT70" s="315">
        <v>0</v>
      </c>
      <c r="AU70" s="282">
        <v>0</v>
      </c>
      <c r="AV70" s="315">
        <v>-1.6999999999999957</v>
      </c>
      <c r="AW70" s="282">
        <v>0</v>
      </c>
      <c r="AX70" s="315">
        <v>-1.7999999999999972</v>
      </c>
      <c r="AY70" s="282">
        <v>0</v>
      </c>
      <c r="AZ70" s="315">
        <v>-1.6999999999999957</v>
      </c>
      <c r="BA70" s="282">
        <v>0</v>
      </c>
      <c r="BB70" s="315">
        <v>-1.6999999999999993</v>
      </c>
    </row>
    <row r="71" spans="2:55">
      <c r="B71" s="280" t="s">
        <v>62</v>
      </c>
      <c r="C71" s="281" t="s">
        <v>595</v>
      </c>
      <c r="D71" s="188">
        <v>1265</v>
      </c>
      <c r="E71" s="519">
        <v>3.25</v>
      </c>
      <c r="F71" s="233" t="s">
        <v>190</v>
      </c>
      <c r="G71" s="233" t="s">
        <v>178</v>
      </c>
      <c r="H71" s="232">
        <v>1480</v>
      </c>
      <c r="I71" s="264"/>
      <c r="J71" s="282" t="s">
        <v>15</v>
      </c>
      <c r="K71" s="293" t="s">
        <v>15</v>
      </c>
      <c r="L71" s="298"/>
      <c r="M71" s="517" t="s">
        <v>15</v>
      </c>
      <c r="N71" s="518" t="s">
        <v>15</v>
      </c>
      <c r="O71" s="517">
        <v>129</v>
      </c>
      <c r="P71" s="518">
        <v>38.6</v>
      </c>
      <c r="Q71" s="517">
        <v>99</v>
      </c>
      <c r="R71" s="518">
        <v>36.6</v>
      </c>
      <c r="S71" s="329">
        <v>49</v>
      </c>
      <c r="T71" s="518">
        <v>36.1</v>
      </c>
      <c r="U71" s="517">
        <v>29</v>
      </c>
      <c r="V71" s="518">
        <v>32</v>
      </c>
      <c r="X71" s="283">
        <v>-215</v>
      </c>
      <c r="Y71" s="264"/>
      <c r="Z71" s="282">
        <v>0</v>
      </c>
      <c r="AA71" s="293">
        <v>0</v>
      </c>
      <c r="AB71" s="284"/>
      <c r="AC71" s="265">
        <v>0</v>
      </c>
      <c r="AD71" s="294">
        <v>0</v>
      </c>
      <c r="AE71" s="265">
        <v>210</v>
      </c>
      <c r="AF71" s="294">
        <v>926</v>
      </c>
      <c r="AG71" s="265">
        <v>288</v>
      </c>
      <c r="AH71" s="294">
        <v>878</v>
      </c>
      <c r="AI71" s="292">
        <v>350</v>
      </c>
      <c r="AJ71" s="294">
        <v>866</v>
      </c>
      <c r="AK71" s="265">
        <v>468</v>
      </c>
      <c r="AL71" s="294">
        <v>768</v>
      </c>
      <c r="AM71" s="109"/>
      <c r="AN71" s="283">
        <v>0</v>
      </c>
      <c r="AO71" s="284"/>
      <c r="AP71" s="282">
        <v>0</v>
      </c>
      <c r="AQ71" s="293">
        <v>0</v>
      </c>
      <c r="AR71" s="284"/>
      <c r="AS71" s="282">
        <v>0</v>
      </c>
      <c r="AT71" s="315">
        <v>0</v>
      </c>
      <c r="AU71" s="282">
        <v>0</v>
      </c>
      <c r="AV71" s="315">
        <v>-1.7999999999999972</v>
      </c>
      <c r="AW71" s="282">
        <v>0</v>
      </c>
      <c r="AX71" s="315">
        <v>-1.6999999999999957</v>
      </c>
      <c r="AY71" s="282">
        <v>0</v>
      </c>
      <c r="AZ71" s="315">
        <v>-1.6999999999999957</v>
      </c>
      <c r="BA71" s="282">
        <v>0</v>
      </c>
      <c r="BB71" s="315">
        <v>-1.7999999999999972</v>
      </c>
      <c r="BC71" s="109"/>
    </row>
    <row r="72" spans="2:55">
      <c r="B72" s="273" t="s">
        <v>62</v>
      </c>
      <c r="C72" s="286" t="s">
        <v>596</v>
      </c>
      <c r="D72" s="189">
        <v>1456</v>
      </c>
      <c r="E72" s="520">
        <v>3.25</v>
      </c>
      <c r="F72" s="236" t="s">
        <v>190</v>
      </c>
      <c r="G72" s="236" t="s">
        <v>178</v>
      </c>
      <c r="H72" s="295">
        <v>1736</v>
      </c>
      <c r="I72" s="264"/>
      <c r="J72" s="267" t="s">
        <v>15</v>
      </c>
      <c r="K72" s="297" t="s">
        <v>15</v>
      </c>
      <c r="L72" s="298"/>
      <c r="M72" s="237" t="s">
        <v>15</v>
      </c>
      <c r="N72" s="314" t="s">
        <v>15</v>
      </c>
      <c r="O72" s="237">
        <v>139</v>
      </c>
      <c r="P72" s="314">
        <v>46.5</v>
      </c>
      <c r="Q72" s="237">
        <v>129</v>
      </c>
      <c r="R72" s="314">
        <v>43.6</v>
      </c>
      <c r="S72" s="509">
        <v>108.99999999999999</v>
      </c>
      <c r="T72" s="314">
        <v>41.8</v>
      </c>
      <c r="U72" s="237">
        <v>89</v>
      </c>
      <c r="V72" s="314">
        <v>37.700000000000003</v>
      </c>
      <c r="W72" s="109"/>
      <c r="X72" s="268">
        <v>-280</v>
      </c>
      <c r="Y72" s="264"/>
      <c r="Z72" s="267">
        <v>0</v>
      </c>
      <c r="AA72" s="297">
        <v>0</v>
      </c>
      <c r="AB72" s="284"/>
      <c r="AC72" s="267">
        <v>0</v>
      </c>
      <c r="AD72" s="297">
        <v>0</v>
      </c>
      <c r="AE72" s="267">
        <v>201</v>
      </c>
      <c r="AF72" s="297">
        <v>1116</v>
      </c>
      <c r="AG72" s="267">
        <v>281</v>
      </c>
      <c r="AH72" s="297">
        <v>1046</v>
      </c>
      <c r="AI72" s="296">
        <v>344</v>
      </c>
      <c r="AJ72" s="297">
        <v>1003</v>
      </c>
      <c r="AK72" s="267">
        <v>462</v>
      </c>
      <c r="AL72" s="297">
        <v>905</v>
      </c>
      <c r="AN72" s="283">
        <v>0</v>
      </c>
      <c r="AO72" s="284"/>
      <c r="AP72" s="282">
        <v>0</v>
      </c>
      <c r="AQ72" s="293">
        <v>0</v>
      </c>
      <c r="AR72" s="284"/>
      <c r="AS72" s="282">
        <v>0</v>
      </c>
      <c r="AT72" s="315">
        <v>0</v>
      </c>
      <c r="AU72" s="282">
        <v>0</v>
      </c>
      <c r="AV72" s="315">
        <v>-1.7000000000000028</v>
      </c>
      <c r="AW72" s="282">
        <v>0</v>
      </c>
      <c r="AX72" s="315">
        <v>-1.6999999999999957</v>
      </c>
      <c r="AY72" s="282">
        <v>0</v>
      </c>
      <c r="AZ72" s="315">
        <v>-1.7000000000000028</v>
      </c>
      <c r="BA72" s="282">
        <v>0</v>
      </c>
      <c r="BB72" s="315">
        <v>-1.6999999999999957</v>
      </c>
    </row>
    <row r="73" spans="2:55">
      <c r="B73" s="280" t="s">
        <v>167</v>
      </c>
      <c r="C73" s="281" t="s">
        <v>425</v>
      </c>
      <c r="D73" s="188">
        <v>462</v>
      </c>
      <c r="E73" s="519">
        <v>5.33</v>
      </c>
      <c r="F73" s="233" t="s">
        <v>193</v>
      </c>
      <c r="G73" s="233" t="s">
        <v>178</v>
      </c>
      <c r="H73" s="232">
        <v>522</v>
      </c>
      <c r="I73" s="264"/>
      <c r="J73" s="282" t="s">
        <v>15</v>
      </c>
      <c r="K73" s="293" t="s">
        <v>15</v>
      </c>
      <c r="L73" s="298"/>
      <c r="M73" s="517">
        <v>39</v>
      </c>
      <c r="N73" s="518">
        <v>12.9</v>
      </c>
      <c r="O73" s="517">
        <v>19</v>
      </c>
      <c r="P73" s="518">
        <v>12.1</v>
      </c>
      <c r="Q73" s="517">
        <v>0</v>
      </c>
      <c r="R73" s="518">
        <v>9.6</v>
      </c>
      <c r="S73" s="329">
        <v>0</v>
      </c>
      <c r="T73" s="518">
        <v>8</v>
      </c>
      <c r="U73" s="517">
        <v>0</v>
      </c>
      <c r="V73" s="518">
        <v>3.3</v>
      </c>
      <c r="X73" s="283">
        <v>-60</v>
      </c>
      <c r="Y73" s="264"/>
      <c r="Z73" s="282">
        <v>0</v>
      </c>
      <c r="AA73" s="293">
        <v>0</v>
      </c>
      <c r="AB73" s="284"/>
      <c r="AC73" s="265">
        <v>113</v>
      </c>
      <c r="AD73" s="294">
        <v>310</v>
      </c>
      <c r="AE73" s="265">
        <v>153</v>
      </c>
      <c r="AF73" s="294">
        <v>290</v>
      </c>
      <c r="AG73" s="265">
        <v>232</v>
      </c>
      <c r="AH73" s="294">
        <v>230</v>
      </c>
      <c r="AI73" s="292">
        <v>270</v>
      </c>
      <c r="AJ73" s="294">
        <v>192</v>
      </c>
      <c r="AK73" s="265">
        <v>383</v>
      </c>
      <c r="AL73" s="294">
        <v>79</v>
      </c>
      <c r="AM73" s="109"/>
      <c r="AN73" s="283">
        <v>61</v>
      </c>
      <c r="AO73" s="284"/>
      <c r="AP73" s="282">
        <v>0</v>
      </c>
      <c r="AQ73" s="293">
        <v>0</v>
      </c>
      <c r="AR73" s="284"/>
      <c r="AS73" s="282">
        <v>0</v>
      </c>
      <c r="AT73" s="315">
        <v>1.7000000000000011</v>
      </c>
      <c r="AU73" s="282">
        <v>0</v>
      </c>
      <c r="AV73" s="315">
        <v>1.6999999999999993</v>
      </c>
      <c r="AW73" s="282">
        <v>0</v>
      </c>
      <c r="AX73" s="315">
        <v>1.7999999999999998</v>
      </c>
      <c r="AY73" s="282">
        <v>0</v>
      </c>
      <c r="AZ73" s="315">
        <v>1.7999999999999998</v>
      </c>
      <c r="BA73" s="282">
        <v>0</v>
      </c>
      <c r="BB73" s="315">
        <v>1.7999999999999998</v>
      </c>
      <c r="BC73" s="109"/>
    </row>
    <row r="74" spans="2:55">
      <c r="B74" s="273" t="s">
        <v>167</v>
      </c>
      <c r="C74" s="123" t="s">
        <v>620</v>
      </c>
      <c r="D74" s="189">
        <v>620</v>
      </c>
      <c r="E74" s="520">
        <v>5.33</v>
      </c>
      <c r="F74" s="236" t="s">
        <v>193</v>
      </c>
      <c r="G74" s="236" t="s">
        <v>178</v>
      </c>
      <c r="H74" s="295">
        <v>689</v>
      </c>
      <c r="I74" s="264"/>
      <c r="J74" s="267" t="s">
        <v>15</v>
      </c>
      <c r="K74" s="297" t="s">
        <v>15</v>
      </c>
      <c r="L74" s="298"/>
      <c r="M74" s="237">
        <v>39</v>
      </c>
      <c r="N74" s="314">
        <v>18.100000000000001</v>
      </c>
      <c r="O74" s="237">
        <v>19</v>
      </c>
      <c r="P74" s="314">
        <v>17.2</v>
      </c>
      <c r="Q74" s="237">
        <v>0</v>
      </c>
      <c r="R74" s="314">
        <v>14.7</v>
      </c>
      <c r="S74" s="509">
        <v>0</v>
      </c>
      <c r="T74" s="314">
        <v>12</v>
      </c>
      <c r="U74" s="237">
        <v>0</v>
      </c>
      <c r="V74" s="314">
        <v>7.1</v>
      </c>
      <c r="W74" s="109"/>
      <c r="X74" s="268">
        <v>-69</v>
      </c>
      <c r="Y74" s="264"/>
      <c r="Z74" s="267">
        <v>0</v>
      </c>
      <c r="AA74" s="297">
        <v>0</v>
      </c>
      <c r="AB74" s="284"/>
      <c r="AC74" s="267">
        <v>147</v>
      </c>
      <c r="AD74" s="297">
        <v>434</v>
      </c>
      <c r="AE74" s="267">
        <v>188</v>
      </c>
      <c r="AF74" s="297">
        <v>413</v>
      </c>
      <c r="AG74" s="267">
        <v>267</v>
      </c>
      <c r="AH74" s="297">
        <v>353</v>
      </c>
      <c r="AI74" s="296">
        <v>332</v>
      </c>
      <c r="AJ74" s="297">
        <v>288</v>
      </c>
      <c r="AK74" s="267">
        <v>450</v>
      </c>
      <c r="AL74" s="297">
        <v>170</v>
      </c>
      <c r="AN74" s="283">
        <v>-61</v>
      </c>
      <c r="AO74" s="284"/>
      <c r="AP74" s="282">
        <v>0</v>
      </c>
      <c r="AQ74" s="293">
        <v>0</v>
      </c>
      <c r="AR74" s="284"/>
      <c r="AS74" s="282">
        <v>0</v>
      </c>
      <c r="AT74" s="315">
        <v>-2.0999999999999979</v>
      </c>
      <c r="AU74" s="282">
        <v>0</v>
      </c>
      <c r="AV74" s="315">
        <v>-2.1999999999999993</v>
      </c>
      <c r="AW74" s="282">
        <v>0</v>
      </c>
      <c r="AX74" s="315">
        <v>-2.1999999999999993</v>
      </c>
      <c r="AY74" s="282">
        <v>0</v>
      </c>
      <c r="AZ74" s="315">
        <v>-2.1999999999999993</v>
      </c>
      <c r="BA74" s="282">
        <v>0</v>
      </c>
      <c r="BB74" s="315">
        <v>-2.2000000000000011</v>
      </c>
    </row>
    <row r="75" spans="2:55">
      <c r="B75" s="280" t="s">
        <v>167</v>
      </c>
      <c r="C75" s="118" t="s">
        <v>410</v>
      </c>
      <c r="D75" s="188">
        <v>638</v>
      </c>
      <c r="E75" s="519">
        <v>5.33</v>
      </c>
      <c r="F75" s="233" t="s">
        <v>193</v>
      </c>
      <c r="G75" s="233" t="s">
        <v>178</v>
      </c>
      <c r="H75" s="232">
        <v>750</v>
      </c>
      <c r="I75" s="264"/>
      <c r="J75" s="282" t="s">
        <v>15</v>
      </c>
      <c r="K75" s="293" t="s">
        <v>15</v>
      </c>
      <c r="L75" s="298"/>
      <c r="M75" s="517">
        <v>39</v>
      </c>
      <c r="N75" s="518">
        <v>20.2</v>
      </c>
      <c r="O75" s="517">
        <v>19</v>
      </c>
      <c r="P75" s="518">
        <v>19.399999999999999</v>
      </c>
      <c r="Q75" s="517">
        <v>0</v>
      </c>
      <c r="R75" s="518">
        <v>16.899999999999999</v>
      </c>
      <c r="S75" s="329">
        <v>0</v>
      </c>
      <c r="T75" s="518">
        <v>12</v>
      </c>
      <c r="U75" s="517">
        <v>0</v>
      </c>
      <c r="V75" s="518">
        <v>9.3000000000000007</v>
      </c>
      <c r="X75" s="283">
        <v>-112</v>
      </c>
      <c r="Y75" s="264"/>
      <c r="Z75" s="282">
        <v>0</v>
      </c>
      <c r="AA75" s="293">
        <v>0</v>
      </c>
      <c r="AB75" s="284"/>
      <c r="AC75" s="265">
        <v>114</v>
      </c>
      <c r="AD75" s="294">
        <v>485</v>
      </c>
      <c r="AE75" s="265">
        <v>153</v>
      </c>
      <c r="AF75" s="294">
        <v>466</v>
      </c>
      <c r="AG75" s="265">
        <v>232</v>
      </c>
      <c r="AH75" s="294">
        <v>406</v>
      </c>
      <c r="AI75" s="292">
        <v>350</v>
      </c>
      <c r="AJ75" s="294">
        <v>288</v>
      </c>
      <c r="AK75" s="265">
        <v>415</v>
      </c>
      <c r="AL75" s="294">
        <v>223</v>
      </c>
      <c r="AM75" s="109"/>
      <c r="AN75" s="283">
        <v>0</v>
      </c>
      <c r="AO75" s="284"/>
      <c r="AP75" s="282">
        <v>0</v>
      </c>
      <c r="AQ75" s="293">
        <v>0</v>
      </c>
      <c r="AR75" s="284"/>
      <c r="AS75" s="282">
        <v>0</v>
      </c>
      <c r="AT75" s="315">
        <v>0</v>
      </c>
      <c r="AU75" s="282">
        <v>0</v>
      </c>
      <c r="AV75" s="315">
        <v>0</v>
      </c>
      <c r="AW75" s="282">
        <v>0</v>
      </c>
      <c r="AX75" s="315">
        <v>0</v>
      </c>
      <c r="AY75" s="282">
        <v>0</v>
      </c>
      <c r="AZ75" s="315">
        <v>0</v>
      </c>
      <c r="BA75" s="282">
        <v>0</v>
      </c>
      <c r="BB75" s="315">
        <v>0</v>
      </c>
      <c r="BC75" s="109"/>
    </row>
    <row r="76" spans="2:55">
      <c r="B76" s="273" t="s">
        <v>167</v>
      </c>
      <c r="C76" s="286" t="s">
        <v>597</v>
      </c>
      <c r="D76" s="189">
        <v>915</v>
      </c>
      <c r="E76" s="520">
        <v>5.33</v>
      </c>
      <c r="F76" s="236" t="s">
        <v>193</v>
      </c>
      <c r="G76" s="236" t="s">
        <v>178</v>
      </c>
      <c r="H76" s="295">
        <v>1029</v>
      </c>
      <c r="I76" s="264"/>
      <c r="J76" s="267" t="s">
        <v>15</v>
      </c>
      <c r="K76" s="297" t="s">
        <v>15</v>
      </c>
      <c r="L76" s="298"/>
      <c r="M76" s="237" t="s">
        <v>15</v>
      </c>
      <c r="N76" s="314" t="s">
        <v>15</v>
      </c>
      <c r="O76" s="237">
        <v>49</v>
      </c>
      <c r="P76" s="314">
        <v>26.4</v>
      </c>
      <c r="Q76" s="237">
        <v>39</v>
      </c>
      <c r="R76" s="314">
        <v>23.5</v>
      </c>
      <c r="S76" s="509">
        <v>0</v>
      </c>
      <c r="T76" s="314">
        <v>22.5</v>
      </c>
      <c r="U76" s="237">
        <v>0</v>
      </c>
      <c r="V76" s="314">
        <v>17.600000000000001</v>
      </c>
      <c r="W76" s="109"/>
      <c r="X76" s="268">
        <v>-114</v>
      </c>
      <c r="Y76" s="264"/>
      <c r="Z76" s="267">
        <v>0</v>
      </c>
      <c r="AA76" s="297">
        <v>0</v>
      </c>
      <c r="AB76" s="284"/>
      <c r="AC76" s="267">
        <v>0</v>
      </c>
      <c r="AD76" s="297">
        <v>0</v>
      </c>
      <c r="AE76" s="267">
        <v>232</v>
      </c>
      <c r="AF76" s="297">
        <v>634</v>
      </c>
      <c r="AG76" s="267">
        <v>312</v>
      </c>
      <c r="AH76" s="297">
        <v>564</v>
      </c>
      <c r="AI76" s="296">
        <v>375</v>
      </c>
      <c r="AJ76" s="297">
        <v>540</v>
      </c>
      <c r="AK76" s="267">
        <v>493</v>
      </c>
      <c r="AL76" s="297">
        <v>422</v>
      </c>
      <c r="AN76" s="283">
        <v>0</v>
      </c>
      <c r="AO76" s="284"/>
      <c r="AP76" s="282">
        <v>0</v>
      </c>
      <c r="AQ76" s="293">
        <v>0</v>
      </c>
      <c r="AR76" s="284"/>
      <c r="AS76" s="282">
        <v>0</v>
      </c>
      <c r="AT76" s="315">
        <v>0</v>
      </c>
      <c r="AU76" s="282">
        <v>0</v>
      </c>
      <c r="AV76" s="315">
        <v>0</v>
      </c>
      <c r="AW76" s="282">
        <v>0</v>
      </c>
      <c r="AX76" s="315">
        <v>0</v>
      </c>
      <c r="AY76" s="282">
        <v>0</v>
      </c>
      <c r="AZ76" s="315">
        <v>0</v>
      </c>
      <c r="BA76" s="282">
        <v>0</v>
      </c>
      <c r="BB76" s="315">
        <v>0</v>
      </c>
    </row>
    <row r="77" spans="2:55">
      <c r="B77" s="280" t="s">
        <v>167</v>
      </c>
      <c r="C77" s="281" t="s">
        <v>450</v>
      </c>
      <c r="D77" s="188">
        <v>948</v>
      </c>
      <c r="E77" s="519">
        <v>5.33</v>
      </c>
      <c r="F77" s="233" t="s">
        <v>193</v>
      </c>
      <c r="G77" s="233" t="s">
        <v>178</v>
      </c>
      <c r="H77" s="232">
        <v>1149</v>
      </c>
      <c r="I77" s="264"/>
      <c r="J77" s="282" t="s">
        <v>15</v>
      </c>
      <c r="K77" s="293" t="s">
        <v>15</v>
      </c>
      <c r="L77" s="298"/>
      <c r="M77" s="517" t="s">
        <v>15</v>
      </c>
      <c r="N77" s="518" t="s">
        <v>15</v>
      </c>
      <c r="O77" s="517">
        <v>49</v>
      </c>
      <c r="P77" s="518">
        <v>30.1</v>
      </c>
      <c r="Q77" s="517">
        <v>39</v>
      </c>
      <c r="R77" s="518">
        <v>27.2</v>
      </c>
      <c r="S77" s="329">
        <v>0</v>
      </c>
      <c r="T77" s="518">
        <v>26.2</v>
      </c>
      <c r="U77" s="517">
        <v>0</v>
      </c>
      <c r="V77" s="518">
        <v>21.3</v>
      </c>
      <c r="X77" s="283">
        <v>-201</v>
      </c>
      <c r="Y77" s="264"/>
      <c r="Z77" s="282">
        <v>0</v>
      </c>
      <c r="AA77" s="293">
        <v>0</v>
      </c>
      <c r="AB77" s="284"/>
      <c r="AC77" s="265">
        <v>0</v>
      </c>
      <c r="AD77" s="294">
        <v>0</v>
      </c>
      <c r="AE77" s="265">
        <v>177</v>
      </c>
      <c r="AF77" s="294">
        <v>722</v>
      </c>
      <c r="AG77" s="265">
        <v>256</v>
      </c>
      <c r="AH77" s="294">
        <v>653</v>
      </c>
      <c r="AI77" s="292">
        <v>319</v>
      </c>
      <c r="AJ77" s="294">
        <v>629</v>
      </c>
      <c r="AK77" s="265">
        <v>437</v>
      </c>
      <c r="AL77" s="294">
        <v>511</v>
      </c>
      <c r="AM77" s="109"/>
      <c r="AN77" s="283">
        <v>36</v>
      </c>
      <c r="AO77" s="284"/>
      <c r="AP77" s="282">
        <v>0</v>
      </c>
      <c r="AQ77" s="293">
        <v>0</v>
      </c>
      <c r="AR77" s="284"/>
      <c r="AS77" s="282">
        <v>0</v>
      </c>
      <c r="AT77" s="315">
        <v>0</v>
      </c>
      <c r="AU77" s="282">
        <v>0</v>
      </c>
      <c r="AV77" s="315">
        <v>1.3000000000000007</v>
      </c>
      <c r="AW77" s="282">
        <v>0</v>
      </c>
      <c r="AX77" s="315">
        <v>1.3000000000000007</v>
      </c>
      <c r="AY77" s="282">
        <v>0</v>
      </c>
      <c r="AZ77" s="315">
        <v>1.3000000000000007</v>
      </c>
      <c r="BA77" s="282">
        <v>0</v>
      </c>
      <c r="BB77" s="315">
        <v>1.3000000000000007</v>
      </c>
      <c r="BC77" s="109"/>
    </row>
    <row r="78" spans="2:55">
      <c r="B78" s="273" t="s">
        <v>63</v>
      </c>
      <c r="C78" s="286" t="s">
        <v>351</v>
      </c>
      <c r="D78" s="189">
        <v>215</v>
      </c>
      <c r="E78" s="520">
        <v>0</v>
      </c>
      <c r="F78" s="236" t="s">
        <v>195</v>
      </c>
      <c r="G78" s="236" t="s">
        <v>178</v>
      </c>
      <c r="H78" s="295">
        <v>259</v>
      </c>
      <c r="I78" s="264"/>
      <c r="J78" s="267" t="s">
        <v>15</v>
      </c>
      <c r="K78" s="297" t="s">
        <v>15</v>
      </c>
      <c r="L78" s="298"/>
      <c r="M78" s="237">
        <v>0</v>
      </c>
      <c r="N78" s="314">
        <v>5.5</v>
      </c>
      <c r="O78" s="237">
        <v>0</v>
      </c>
      <c r="P78" s="314">
        <v>4.0999999999999996</v>
      </c>
      <c r="Q78" s="237">
        <v>0</v>
      </c>
      <c r="R78" s="314">
        <v>0</v>
      </c>
      <c r="S78" s="509">
        <v>0</v>
      </c>
      <c r="T78" s="314">
        <v>0</v>
      </c>
      <c r="U78" s="237">
        <v>0</v>
      </c>
      <c r="V78" s="314">
        <v>0</v>
      </c>
      <c r="W78" s="109"/>
      <c r="X78" s="268">
        <v>-44</v>
      </c>
      <c r="Y78" s="264"/>
      <c r="Z78" s="267">
        <v>0</v>
      </c>
      <c r="AA78" s="297">
        <v>0</v>
      </c>
      <c r="AB78" s="284"/>
      <c r="AC78" s="267">
        <v>83</v>
      </c>
      <c r="AD78" s="297">
        <v>132</v>
      </c>
      <c r="AE78" s="267">
        <v>117</v>
      </c>
      <c r="AF78" s="297">
        <v>98</v>
      </c>
      <c r="AG78" s="267">
        <v>215</v>
      </c>
      <c r="AH78" s="297">
        <v>0</v>
      </c>
      <c r="AI78" s="296">
        <v>215</v>
      </c>
      <c r="AJ78" s="297">
        <v>0</v>
      </c>
      <c r="AK78" s="267">
        <v>215</v>
      </c>
      <c r="AL78" s="297">
        <v>0</v>
      </c>
      <c r="AN78" s="283">
        <v>0</v>
      </c>
      <c r="AO78" s="284"/>
      <c r="AP78" s="282">
        <v>0</v>
      </c>
      <c r="AQ78" s="293">
        <v>0</v>
      </c>
      <c r="AR78" s="284"/>
      <c r="AS78" s="282">
        <v>0</v>
      </c>
      <c r="AT78" s="315">
        <v>0</v>
      </c>
      <c r="AU78" s="282">
        <v>0</v>
      </c>
      <c r="AV78" s="315">
        <v>0</v>
      </c>
      <c r="AW78" s="282">
        <v>0</v>
      </c>
      <c r="AX78" s="315">
        <v>0</v>
      </c>
      <c r="AY78" s="282">
        <v>0</v>
      </c>
      <c r="AZ78" s="315">
        <v>0</v>
      </c>
      <c r="BA78" s="282">
        <v>0</v>
      </c>
      <c r="BB78" s="315">
        <v>0</v>
      </c>
    </row>
    <row r="79" spans="2:55">
      <c r="B79" s="280" t="s">
        <v>63</v>
      </c>
      <c r="C79" s="281" t="s">
        <v>409</v>
      </c>
      <c r="D79" s="188">
        <v>396</v>
      </c>
      <c r="E79" s="519">
        <v>0</v>
      </c>
      <c r="F79" s="233" t="s">
        <v>195</v>
      </c>
      <c r="G79" s="233" t="s">
        <v>178</v>
      </c>
      <c r="H79" s="232">
        <v>479</v>
      </c>
      <c r="I79" s="264"/>
      <c r="J79" s="282" t="s">
        <v>15</v>
      </c>
      <c r="K79" s="293" t="s">
        <v>15</v>
      </c>
      <c r="L79" s="298"/>
      <c r="M79" s="517">
        <v>0</v>
      </c>
      <c r="N79" s="518">
        <v>10</v>
      </c>
      <c r="O79" s="517">
        <v>0</v>
      </c>
      <c r="P79" s="518">
        <v>8.6999999999999993</v>
      </c>
      <c r="Q79" s="517">
        <v>0</v>
      </c>
      <c r="R79" s="518">
        <v>5.3</v>
      </c>
      <c r="S79" s="329">
        <v>0</v>
      </c>
      <c r="T79" s="518">
        <v>3.7</v>
      </c>
      <c r="U79" s="517">
        <v>0</v>
      </c>
      <c r="V79" s="518">
        <v>0</v>
      </c>
      <c r="X79" s="283">
        <v>-83</v>
      </c>
      <c r="Y79" s="264"/>
      <c r="Z79" s="282">
        <v>0</v>
      </c>
      <c r="AA79" s="293">
        <v>0</v>
      </c>
      <c r="AB79" s="284"/>
      <c r="AC79" s="265">
        <v>156</v>
      </c>
      <c r="AD79" s="294">
        <v>240</v>
      </c>
      <c r="AE79" s="265">
        <v>187</v>
      </c>
      <c r="AF79" s="294">
        <v>209</v>
      </c>
      <c r="AG79" s="265">
        <v>269</v>
      </c>
      <c r="AH79" s="294">
        <v>127</v>
      </c>
      <c r="AI79" s="292">
        <v>307</v>
      </c>
      <c r="AJ79" s="294">
        <v>89</v>
      </c>
      <c r="AK79" s="265">
        <v>396</v>
      </c>
      <c r="AL79" s="294">
        <v>0</v>
      </c>
      <c r="AM79" s="109"/>
      <c r="AN79" s="283">
        <v>0</v>
      </c>
      <c r="AO79" s="284"/>
      <c r="AP79" s="282">
        <v>0</v>
      </c>
      <c r="AQ79" s="293">
        <v>0</v>
      </c>
      <c r="AR79" s="284"/>
      <c r="AS79" s="282">
        <v>0</v>
      </c>
      <c r="AT79" s="315">
        <v>0</v>
      </c>
      <c r="AU79" s="282">
        <v>0</v>
      </c>
      <c r="AV79" s="315">
        <v>0</v>
      </c>
      <c r="AW79" s="282">
        <v>0</v>
      </c>
      <c r="AX79" s="315">
        <v>0</v>
      </c>
      <c r="AY79" s="282">
        <v>0</v>
      </c>
      <c r="AZ79" s="315">
        <v>0</v>
      </c>
      <c r="BA79" s="282">
        <v>0</v>
      </c>
      <c r="BB79" s="315">
        <v>0</v>
      </c>
      <c r="BC79" s="109"/>
    </row>
    <row r="80" spans="2:55">
      <c r="B80" s="273" t="s">
        <v>63</v>
      </c>
      <c r="C80" s="286" t="s">
        <v>411</v>
      </c>
      <c r="D80" s="189">
        <v>479</v>
      </c>
      <c r="E80" s="520">
        <v>0</v>
      </c>
      <c r="F80" s="236" t="s">
        <v>195</v>
      </c>
      <c r="G80" s="236" t="s">
        <v>178</v>
      </c>
      <c r="H80" s="295">
        <v>579</v>
      </c>
      <c r="I80" s="264"/>
      <c r="J80" s="267" t="s">
        <v>15</v>
      </c>
      <c r="K80" s="297" t="s">
        <v>15</v>
      </c>
      <c r="L80" s="298"/>
      <c r="M80" s="237">
        <v>0</v>
      </c>
      <c r="N80" s="314">
        <v>13.2</v>
      </c>
      <c r="O80" s="237">
        <v>0</v>
      </c>
      <c r="P80" s="314">
        <v>11.8</v>
      </c>
      <c r="Q80" s="237">
        <v>0</v>
      </c>
      <c r="R80" s="314">
        <v>8.5</v>
      </c>
      <c r="S80" s="509">
        <v>0</v>
      </c>
      <c r="T80" s="314">
        <v>6.9</v>
      </c>
      <c r="U80" s="237">
        <v>0</v>
      </c>
      <c r="V80" s="314">
        <v>2.2000000000000002</v>
      </c>
      <c r="W80" s="109"/>
      <c r="X80" s="268">
        <v>-100</v>
      </c>
      <c r="Y80" s="264"/>
      <c r="Z80" s="267">
        <v>0</v>
      </c>
      <c r="AA80" s="297">
        <v>0</v>
      </c>
      <c r="AB80" s="284"/>
      <c r="AC80" s="267">
        <v>162</v>
      </c>
      <c r="AD80" s="297">
        <v>317</v>
      </c>
      <c r="AE80" s="267">
        <v>196</v>
      </c>
      <c r="AF80" s="297">
        <v>283</v>
      </c>
      <c r="AG80" s="267">
        <v>275</v>
      </c>
      <c r="AH80" s="297">
        <v>204</v>
      </c>
      <c r="AI80" s="296">
        <v>313</v>
      </c>
      <c r="AJ80" s="297">
        <v>166</v>
      </c>
      <c r="AK80" s="267">
        <v>426</v>
      </c>
      <c r="AL80" s="297">
        <v>53</v>
      </c>
      <c r="AN80" s="283">
        <v>0</v>
      </c>
      <c r="AO80" s="284"/>
      <c r="AP80" s="282">
        <v>0</v>
      </c>
      <c r="AQ80" s="293">
        <v>0</v>
      </c>
      <c r="AR80" s="284"/>
      <c r="AS80" s="282">
        <v>0</v>
      </c>
      <c r="AT80" s="315">
        <v>0.89999999999999858</v>
      </c>
      <c r="AU80" s="282">
        <v>0</v>
      </c>
      <c r="AV80" s="315">
        <v>0.80000000000000071</v>
      </c>
      <c r="AW80" s="282">
        <v>0</v>
      </c>
      <c r="AX80" s="315">
        <v>0.90000000000000036</v>
      </c>
      <c r="AY80" s="282">
        <v>0</v>
      </c>
      <c r="AZ80" s="315">
        <v>0.90000000000000036</v>
      </c>
      <c r="BA80" s="282">
        <v>0</v>
      </c>
      <c r="BB80" s="315">
        <v>0.90000000000000013</v>
      </c>
    </row>
    <row r="81" spans="2:55" s="109" customFormat="1">
      <c r="B81" s="280" t="s">
        <v>63</v>
      </c>
      <c r="C81" s="281" t="s">
        <v>510</v>
      </c>
      <c r="D81" s="188">
        <v>1735</v>
      </c>
      <c r="E81" s="519">
        <v>0</v>
      </c>
      <c r="F81" s="233" t="s">
        <v>195</v>
      </c>
      <c r="G81" s="233" t="s">
        <v>178</v>
      </c>
      <c r="H81" s="232">
        <v>2099</v>
      </c>
      <c r="I81" s="264"/>
      <c r="J81" s="282" t="s">
        <v>15</v>
      </c>
      <c r="K81" s="293" t="s">
        <v>15</v>
      </c>
      <c r="L81" s="298"/>
      <c r="M81" s="517" t="s">
        <v>15</v>
      </c>
      <c r="N81" s="518" t="s">
        <v>15</v>
      </c>
      <c r="O81" s="517">
        <v>139</v>
      </c>
      <c r="P81" s="518">
        <v>31.6</v>
      </c>
      <c r="Q81" s="517">
        <v>89</v>
      </c>
      <c r="R81" s="518">
        <v>30.5</v>
      </c>
      <c r="S81" s="329">
        <v>79</v>
      </c>
      <c r="T81" s="518">
        <v>29.3</v>
      </c>
      <c r="U81" s="517">
        <v>69</v>
      </c>
      <c r="V81" s="518">
        <v>25</v>
      </c>
      <c r="W81" s="113"/>
      <c r="X81" s="283">
        <v>-364</v>
      </c>
      <c r="Y81" s="264"/>
      <c r="Z81" s="282">
        <v>0</v>
      </c>
      <c r="AA81" s="293">
        <v>0</v>
      </c>
      <c r="AB81" s="284"/>
      <c r="AC81" s="265">
        <v>0</v>
      </c>
      <c r="AD81" s="294">
        <v>0</v>
      </c>
      <c r="AE81" s="265">
        <v>838</v>
      </c>
      <c r="AF81" s="294">
        <v>758</v>
      </c>
      <c r="AG81" s="265">
        <v>914</v>
      </c>
      <c r="AH81" s="294">
        <v>732</v>
      </c>
      <c r="AI81" s="292">
        <v>953</v>
      </c>
      <c r="AJ81" s="294">
        <v>703</v>
      </c>
      <c r="AK81" s="265">
        <v>1066</v>
      </c>
      <c r="AL81" s="294">
        <v>600</v>
      </c>
      <c r="AN81" s="283">
        <v>0</v>
      </c>
      <c r="AO81" s="284"/>
      <c r="AP81" s="282">
        <v>0</v>
      </c>
      <c r="AQ81" s="293">
        <v>0</v>
      </c>
      <c r="AR81" s="284"/>
      <c r="AS81" s="282">
        <v>0</v>
      </c>
      <c r="AT81" s="315">
        <v>0</v>
      </c>
      <c r="AU81" s="282">
        <v>0</v>
      </c>
      <c r="AV81" s="315">
        <v>0</v>
      </c>
      <c r="AW81" s="282">
        <v>0</v>
      </c>
      <c r="AX81" s="315">
        <v>0</v>
      </c>
      <c r="AY81" s="282">
        <v>0</v>
      </c>
      <c r="AZ81" s="315">
        <v>0</v>
      </c>
      <c r="BA81" s="282">
        <v>0</v>
      </c>
      <c r="BB81" s="315">
        <v>0</v>
      </c>
    </row>
    <row r="82" spans="2:55">
      <c r="B82" s="273" t="s">
        <v>63</v>
      </c>
      <c r="C82" s="286" t="s">
        <v>412</v>
      </c>
      <c r="D82" s="189">
        <v>537</v>
      </c>
      <c r="E82" s="520">
        <v>0</v>
      </c>
      <c r="F82" s="236" t="s">
        <v>195</v>
      </c>
      <c r="G82" s="236" t="s">
        <v>178</v>
      </c>
      <c r="H82" s="295">
        <v>649</v>
      </c>
      <c r="I82" s="264"/>
      <c r="J82" s="267" t="s">
        <v>15</v>
      </c>
      <c r="K82" s="297" t="s">
        <v>15</v>
      </c>
      <c r="L82" s="298"/>
      <c r="M82" s="237">
        <v>0</v>
      </c>
      <c r="N82" s="314">
        <v>15.2</v>
      </c>
      <c r="O82" s="237">
        <v>0</v>
      </c>
      <c r="P82" s="314">
        <v>13.8</v>
      </c>
      <c r="Q82" s="237">
        <v>0</v>
      </c>
      <c r="R82" s="314">
        <v>10.4</v>
      </c>
      <c r="S82" s="509">
        <v>0</v>
      </c>
      <c r="T82" s="314">
        <v>8.8000000000000007</v>
      </c>
      <c r="U82" s="237">
        <v>0</v>
      </c>
      <c r="V82" s="314">
        <v>4.0999999999999996</v>
      </c>
      <c r="W82" s="109"/>
      <c r="X82" s="268">
        <v>-112</v>
      </c>
      <c r="Y82" s="264"/>
      <c r="Z82" s="267">
        <v>0</v>
      </c>
      <c r="AA82" s="297">
        <v>0</v>
      </c>
      <c r="AB82" s="284"/>
      <c r="AC82" s="267">
        <v>172</v>
      </c>
      <c r="AD82" s="297">
        <v>365</v>
      </c>
      <c r="AE82" s="267">
        <v>206</v>
      </c>
      <c r="AF82" s="297">
        <v>331</v>
      </c>
      <c r="AG82" s="267">
        <v>287</v>
      </c>
      <c r="AH82" s="297">
        <v>250</v>
      </c>
      <c r="AI82" s="296">
        <v>326</v>
      </c>
      <c r="AJ82" s="297">
        <v>211</v>
      </c>
      <c r="AK82" s="267">
        <v>439</v>
      </c>
      <c r="AL82" s="297">
        <v>98</v>
      </c>
      <c r="AN82" s="283">
        <v>0</v>
      </c>
      <c r="AO82" s="284"/>
      <c r="AP82" s="282">
        <v>0</v>
      </c>
      <c r="AQ82" s="293">
        <v>0</v>
      </c>
      <c r="AR82" s="284"/>
      <c r="AS82" s="282">
        <v>0</v>
      </c>
      <c r="AT82" s="315">
        <v>0.89999999999999858</v>
      </c>
      <c r="AU82" s="282">
        <v>0</v>
      </c>
      <c r="AV82" s="315">
        <v>0.90000000000000036</v>
      </c>
      <c r="AW82" s="282">
        <v>0</v>
      </c>
      <c r="AX82" s="315">
        <v>0.80000000000000071</v>
      </c>
      <c r="AY82" s="282">
        <v>0</v>
      </c>
      <c r="AZ82" s="315">
        <v>0.90000000000000036</v>
      </c>
      <c r="BA82" s="282">
        <v>0</v>
      </c>
      <c r="BB82" s="315">
        <v>0.79999999999999982</v>
      </c>
    </row>
    <row r="83" spans="2:55">
      <c r="B83" s="280" t="s">
        <v>63</v>
      </c>
      <c r="C83" s="281" t="s">
        <v>511</v>
      </c>
      <c r="D83" s="188">
        <v>2396</v>
      </c>
      <c r="E83" s="519">
        <v>0</v>
      </c>
      <c r="F83" s="233" t="s">
        <v>195</v>
      </c>
      <c r="G83" s="233" t="s">
        <v>178</v>
      </c>
      <c r="H83" s="232">
        <v>2899</v>
      </c>
      <c r="I83" s="264"/>
      <c r="J83" s="282" t="s">
        <v>15</v>
      </c>
      <c r="K83" s="293" t="s">
        <v>15</v>
      </c>
      <c r="L83" s="298"/>
      <c r="M83" s="517" t="s">
        <v>15</v>
      </c>
      <c r="N83" s="518" t="s">
        <v>15</v>
      </c>
      <c r="O83" s="517">
        <v>139</v>
      </c>
      <c r="P83" s="518">
        <v>45.8</v>
      </c>
      <c r="Q83" s="517">
        <v>89</v>
      </c>
      <c r="R83" s="518">
        <v>44.6</v>
      </c>
      <c r="S83" s="329">
        <v>79</v>
      </c>
      <c r="T83" s="518">
        <v>43.4</v>
      </c>
      <c r="U83" s="517">
        <v>69</v>
      </c>
      <c r="V83" s="518">
        <v>39.200000000000003</v>
      </c>
      <c r="X83" s="283">
        <v>-503</v>
      </c>
      <c r="Y83" s="264"/>
      <c r="Z83" s="282">
        <v>0</v>
      </c>
      <c r="AA83" s="293">
        <v>0</v>
      </c>
      <c r="AB83" s="284"/>
      <c r="AC83" s="265">
        <v>0</v>
      </c>
      <c r="AD83" s="294">
        <v>0</v>
      </c>
      <c r="AE83" s="265">
        <v>1158</v>
      </c>
      <c r="AF83" s="294">
        <v>1099</v>
      </c>
      <c r="AG83" s="265">
        <v>1237</v>
      </c>
      <c r="AH83" s="294">
        <v>1070</v>
      </c>
      <c r="AI83" s="292">
        <v>1275</v>
      </c>
      <c r="AJ83" s="294">
        <v>1042</v>
      </c>
      <c r="AK83" s="265">
        <v>1386</v>
      </c>
      <c r="AL83" s="294">
        <v>941</v>
      </c>
      <c r="AM83" s="109"/>
      <c r="AN83" s="283">
        <v>0</v>
      </c>
      <c r="AO83" s="284"/>
      <c r="AP83" s="282">
        <v>0</v>
      </c>
      <c r="AQ83" s="293">
        <v>0</v>
      </c>
      <c r="AR83" s="284"/>
      <c r="AS83" s="282">
        <v>0</v>
      </c>
      <c r="AT83" s="315">
        <v>0</v>
      </c>
      <c r="AU83" s="282">
        <v>0</v>
      </c>
      <c r="AV83" s="315">
        <v>0</v>
      </c>
      <c r="AW83" s="282">
        <v>0</v>
      </c>
      <c r="AX83" s="315">
        <v>0</v>
      </c>
      <c r="AY83" s="282">
        <v>0</v>
      </c>
      <c r="AZ83" s="315">
        <v>0</v>
      </c>
      <c r="BA83" s="282">
        <v>0</v>
      </c>
      <c r="BB83" s="315">
        <v>0</v>
      </c>
      <c r="BC83" s="109"/>
    </row>
    <row r="84" spans="2:55">
      <c r="B84" s="273" t="s">
        <v>63</v>
      </c>
      <c r="C84" s="286" t="s">
        <v>413</v>
      </c>
      <c r="D84" s="189">
        <v>686</v>
      </c>
      <c r="E84" s="520">
        <v>0</v>
      </c>
      <c r="F84" s="236" t="s">
        <v>195</v>
      </c>
      <c r="G84" s="236" t="s">
        <v>178</v>
      </c>
      <c r="H84" s="295">
        <v>829</v>
      </c>
      <c r="I84" s="264"/>
      <c r="J84" s="267" t="s">
        <v>15</v>
      </c>
      <c r="K84" s="297" t="s">
        <v>15</v>
      </c>
      <c r="L84" s="298"/>
      <c r="M84" s="237" t="s">
        <v>15</v>
      </c>
      <c r="N84" s="314" t="s">
        <v>15</v>
      </c>
      <c r="O84" s="237">
        <v>39</v>
      </c>
      <c r="P84" s="314">
        <v>15.3</v>
      </c>
      <c r="Q84" s="237">
        <v>0</v>
      </c>
      <c r="R84" s="314">
        <v>13.7</v>
      </c>
      <c r="S84" s="509">
        <v>0</v>
      </c>
      <c r="T84" s="314">
        <v>12.1</v>
      </c>
      <c r="U84" s="237">
        <v>0</v>
      </c>
      <c r="V84" s="314">
        <v>7.4</v>
      </c>
      <c r="W84" s="109"/>
      <c r="X84" s="268">
        <v>-143</v>
      </c>
      <c r="Y84" s="264"/>
      <c r="Z84" s="267">
        <v>0</v>
      </c>
      <c r="AA84" s="297">
        <v>0</v>
      </c>
      <c r="AB84" s="284"/>
      <c r="AC84" s="267">
        <v>0</v>
      </c>
      <c r="AD84" s="297">
        <v>0</v>
      </c>
      <c r="AE84" s="267">
        <v>280</v>
      </c>
      <c r="AF84" s="297">
        <v>367</v>
      </c>
      <c r="AG84" s="267">
        <v>357</v>
      </c>
      <c r="AH84" s="297">
        <v>329</v>
      </c>
      <c r="AI84" s="296">
        <v>396</v>
      </c>
      <c r="AJ84" s="297">
        <v>290</v>
      </c>
      <c r="AK84" s="267">
        <v>508</v>
      </c>
      <c r="AL84" s="297">
        <v>178</v>
      </c>
      <c r="AN84" s="283">
        <v>0</v>
      </c>
      <c r="AO84" s="284"/>
      <c r="AP84" s="282">
        <v>0</v>
      </c>
      <c r="AQ84" s="293">
        <v>0</v>
      </c>
      <c r="AR84" s="284"/>
      <c r="AS84" s="282">
        <v>0</v>
      </c>
      <c r="AT84" s="315">
        <v>0</v>
      </c>
      <c r="AU84" s="282">
        <v>0</v>
      </c>
      <c r="AV84" s="315">
        <v>0.60000000000000142</v>
      </c>
      <c r="AW84" s="282">
        <v>0</v>
      </c>
      <c r="AX84" s="315">
        <v>0.69999999999999929</v>
      </c>
      <c r="AY84" s="282">
        <v>0</v>
      </c>
      <c r="AZ84" s="315">
        <v>0.69999999999999929</v>
      </c>
      <c r="BA84" s="282">
        <v>0</v>
      </c>
      <c r="BB84" s="315">
        <v>0.70000000000000018</v>
      </c>
    </row>
    <row r="85" spans="2:55">
      <c r="B85" s="280" t="s">
        <v>63</v>
      </c>
      <c r="C85" s="281" t="s">
        <v>512</v>
      </c>
      <c r="D85" s="188">
        <v>1157</v>
      </c>
      <c r="E85" s="519">
        <v>0</v>
      </c>
      <c r="F85" s="233" t="s">
        <v>195</v>
      </c>
      <c r="G85" s="233" t="s">
        <v>178</v>
      </c>
      <c r="H85" s="232">
        <v>1399</v>
      </c>
      <c r="I85" s="264"/>
      <c r="J85" s="282" t="s">
        <v>15</v>
      </c>
      <c r="K85" s="293" t="s">
        <v>15</v>
      </c>
      <c r="L85" s="298"/>
      <c r="M85" s="517" t="s">
        <v>15</v>
      </c>
      <c r="N85" s="518" t="s">
        <v>15</v>
      </c>
      <c r="O85" s="517">
        <v>139</v>
      </c>
      <c r="P85" s="518">
        <v>22.9</v>
      </c>
      <c r="Q85" s="517">
        <v>89</v>
      </c>
      <c r="R85" s="518">
        <v>21.7</v>
      </c>
      <c r="S85" s="329">
        <v>79</v>
      </c>
      <c r="T85" s="518">
        <v>20.6</v>
      </c>
      <c r="U85" s="517">
        <v>0</v>
      </c>
      <c r="V85" s="518">
        <v>19.3</v>
      </c>
      <c r="X85" s="283">
        <v>-242</v>
      </c>
      <c r="Y85" s="264"/>
      <c r="Z85" s="282">
        <v>0</v>
      </c>
      <c r="AA85" s="293">
        <v>0</v>
      </c>
      <c r="AB85" s="284"/>
      <c r="AC85" s="265">
        <v>0</v>
      </c>
      <c r="AD85" s="294">
        <v>0</v>
      </c>
      <c r="AE85" s="265">
        <v>468</v>
      </c>
      <c r="AF85" s="294">
        <v>550</v>
      </c>
      <c r="AG85" s="265">
        <v>547</v>
      </c>
      <c r="AH85" s="294">
        <v>521</v>
      </c>
      <c r="AI85" s="292">
        <v>584</v>
      </c>
      <c r="AJ85" s="294">
        <v>494</v>
      </c>
      <c r="AK85" s="265">
        <v>694</v>
      </c>
      <c r="AL85" s="294">
        <v>463</v>
      </c>
      <c r="AM85" s="109"/>
      <c r="AN85" s="283">
        <v>0</v>
      </c>
      <c r="AO85" s="284"/>
      <c r="AP85" s="282">
        <v>0</v>
      </c>
      <c r="AQ85" s="293">
        <v>0</v>
      </c>
      <c r="AR85" s="284"/>
      <c r="AS85" s="282">
        <v>0</v>
      </c>
      <c r="AT85" s="315">
        <v>0</v>
      </c>
      <c r="AU85" s="282">
        <v>0</v>
      </c>
      <c r="AV85" s="315">
        <v>0</v>
      </c>
      <c r="AW85" s="282">
        <v>0</v>
      </c>
      <c r="AX85" s="315">
        <v>0</v>
      </c>
      <c r="AY85" s="282">
        <v>0</v>
      </c>
      <c r="AZ85" s="315">
        <v>0</v>
      </c>
      <c r="BA85" s="282">
        <v>0</v>
      </c>
      <c r="BB85" s="315">
        <v>0</v>
      </c>
      <c r="BC85" s="109"/>
    </row>
    <row r="86" spans="2:55">
      <c r="B86" s="273" t="s">
        <v>63</v>
      </c>
      <c r="C86" s="286" t="s">
        <v>548</v>
      </c>
      <c r="D86" s="189">
        <v>867</v>
      </c>
      <c r="E86" s="520">
        <v>5.33</v>
      </c>
      <c r="F86" s="236" t="s">
        <v>193</v>
      </c>
      <c r="G86" s="236" t="s">
        <v>178</v>
      </c>
      <c r="H86" s="295">
        <v>842</v>
      </c>
      <c r="I86" s="264"/>
      <c r="J86" s="267" t="s">
        <v>15</v>
      </c>
      <c r="K86" s="297" t="s">
        <v>15</v>
      </c>
      <c r="L86" s="298"/>
      <c r="M86" s="237" t="s">
        <v>15</v>
      </c>
      <c r="N86" s="314" t="s">
        <v>15</v>
      </c>
      <c r="O86" s="237">
        <v>29</v>
      </c>
      <c r="P86" s="314">
        <v>22.3</v>
      </c>
      <c r="Q86" s="237">
        <v>0</v>
      </c>
      <c r="R86" s="314">
        <v>20.2</v>
      </c>
      <c r="S86" s="509">
        <v>0</v>
      </c>
      <c r="T86" s="314">
        <v>17.5</v>
      </c>
      <c r="U86" s="237">
        <v>0</v>
      </c>
      <c r="V86" s="314">
        <v>12.6</v>
      </c>
      <c r="W86" s="109"/>
      <c r="X86" s="268">
        <v>25</v>
      </c>
      <c r="Y86" s="264"/>
      <c r="Z86" s="267">
        <v>0</v>
      </c>
      <c r="AA86" s="297">
        <v>0</v>
      </c>
      <c r="AB86" s="284"/>
      <c r="AC86" s="267">
        <v>0</v>
      </c>
      <c r="AD86" s="297">
        <v>0</v>
      </c>
      <c r="AE86" s="267">
        <v>303</v>
      </c>
      <c r="AF86" s="297">
        <v>535</v>
      </c>
      <c r="AG86" s="267">
        <v>382</v>
      </c>
      <c r="AH86" s="297">
        <v>485</v>
      </c>
      <c r="AI86" s="296">
        <v>447</v>
      </c>
      <c r="AJ86" s="297">
        <v>420</v>
      </c>
      <c r="AK86" s="267">
        <v>565</v>
      </c>
      <c r="AL86" s="297">
        <v>302</v>
      </c>
      <c r="AN86" s="283">
        <v>0</v>
      </c>
      <c r="AO86" s="284"/>
      <c r="AP86" s="282">
        <v>0</v>
      </c>
      <c r="AQ86" s="293">
        <v>0</v>
      </c>
      <c r="AR86" s="284"/>
      <c r="AS86" s="282">
        <v>0</v>
      </c>
      <c r="AT86" s="315">
        <v>0</v>
      </c>
      <c r="AU86" s="282">
        <v>0</v>
      </c>
      <c r="AV86" s="315">
        <v>0</v>
      </c>
      <c r="AW86" s="282">
        <v>0</v>
      </c>
      <c r="AX86" s="315">
        <v>0</v>
      </c>
      <c r="AY86" s="282">
        <v>0</v>
      </c>
      <c r="AZ86" s="315">
        <v>0</v>
      </c>
      <c r="BA86" s="282">
        <v>0</v>
      </c>
      <c r="BB86" s="315">
        <v>0</v>
      </c>
    </row>
    <row r="87" spans="2:55">
      <c r="B87" s="280" t="s">
        <v>167</v>
      </c>
      <c r="C87" s="281" t="s">
        <v>598</v>
      </c>
      <c r="D87" s="188">
        <v>140</v>
      </c>
      <c r="E87" s="519">
        <v>0</v>
      </c>
      <c r="F87" s="233" t="s">
        <v>599</v>
      </c>
      <c r="G87" s="233" t="s">
        <v>178</v>
      </c>
      <c r="H87" s="232">
        <v>157</v>
      </c>
      <c r="I87" s="264"/>
      <c r="J87" s="282" t="s">
        <v>15</v>
      </c>
      <c r="K87" s="293" t="s">
        <v>15</v>
      </c>
      <c r="L87" s="298"/>
      <c r="M87" s="517">
        <v>0</v>
      </c>
      <c r="N87" s="518">
        <v>3.7</v>
      </c>
      <c r="O87" s="517">
        <v>0</v>
      </c>
      <c r="P87" s="518">
        <v>2.2999999999999998</v>
      </c>
      <c r="Q87" s="517">
        <v>0</v>
      </c>
      <c r="R87" s="518">
        <v>0</v>
      </c>
      <c r="S87" s="329">
        <v>0</v>
      </c>
      <c r="T87" s="518">
        <v>0</v>
      </c>
      <c r="U87" s="517">
        <v>0</v>
      </c>
      <c r="V87" s="518">
        <v>0</v>
      </c>
      <c r="X87" s="283">
        <v>-17</v>
      </c>
      <c r="Y87" s="264"/>
      <c r="Z87" s="282">
        <v>0</v>
      </c>
      <c r="AA87" s="293">
        <v>0</v>
      </c>
      <c r="AB87" s="284"/>
      <c r="AC87" s="265">
        <v>51</v>
      </c>
      <c r="AD87" s="294">
        <v>89</v>
      </c>
      <c r="AE87" s="265">
        <v>85</v>
      </c>
      <c r="AF87" s="294">
        <v>55</v>
      </c>
      <c r="AG87" s="265">
        <v>140</v>
      </c>
      <c r="AH87" s="294">
        <v>0</v>
      </c>
      <c r="AI87" s="292">
        <v>140</v>
      </c>
      <c r="AJ87" s="294">
        <v>0</v>
      </c>
      <c r="AK87" s="265">
        <v>140</v>
      </c>
      <c r="AL87" s="294">
        <v>0</v>
      </c>
      <c r="AM87" s="109"/>
      <c r="AN87" s="283">
        <v>0</v>
      </c>
      <c r="AO87" s="284"/>
      <c r="AP87" s="282">
        <v>0</v>
      </c>
      <c r="AQ87" s="293">
        <v>0</v>
      </c>
      <c r="AR87" s="284"/>
      <c r="AS87" s="282">
        <v>0</v>
      </c>
      <c r="AT87" s="315">
        <v>0</v>
      </c>
      <c r="AU87" s="282">
        <v>0</v>
      </c>
      <c r="AV87" s="315">
        <v>0</v>
      </c>
      <c r="AW87" s="282">
        <v>0</v>
      </c>
      <c r="AX87" s="315">
        <v>0</v>
      </c>
      <c r="AY87" s="282">
        <v>0</v>
      </c>
      <c r="AZ87" s="315">
        <v>0</v>
      </c>
      <c r="BA87" s="282">
        <v>0</v>
      </c>
      <c r="BB87" s="315">
        <v>0</v>
      </c>
      <c r="BC87" s="109"/>
    </row>
    <row r="88" spans="2:55">
      <c r="B88" s="273" t="s">
        <v>426</v>
      </c>
      <c r="C88" s="286" t="s">
        <v>582</v>
      </c>
      <c r="D88" s="189">
        <v>481</v>
      </c>
      <c r="E88" s="520">
        <v>3.25</v>
      </c>
      <c r="F88" s="236" t="s">
        <v>190</v>
      </c>
      <c r="G88" s="236" t="s">
        <v>178</v>
      </c>
      <c r="H88" s="295">
        <v>509</v>
      </c>
      <c r="I88" s="264"/>
      <c r="J88" s="267" t="s">
        <v>15</v>
      </c>
      <c r="K88" s="297" t="s">
        <v>15</v>
      </c>
      <c r="L88" s="298"/>
      <c r="M88" s="237">
        <v>0</v>
      </c>
      <c r="N88" s="314">
        <v>11.7</v>
      </c>
      <c r="O88" s="237">
        <v>0</v>
      </c>
      <c r="P88" s="314">
        <v>10.3</v>
      </c>
      <c r="Q88" s="237">
        <v>0</v>
      </c>
      <c r="R88" s="314">
        <v>7</v>
      </c>
      <c r="S88" s="509">
        <v>0</v>
      </c>
      <c r="T88" s="314">
        <v>5.3</v>
      </c>
      <c r="U88" s="237">
        <v>0</v>
      </c>
      <c r="V88" s="314">
        <v>0</v>
      </c>
      <c r="W88" s="109"/>
      <c r="X88" s="268">
        <v>-28</v>
      </c>
      <c r="Y88" s="264"/>
      <c r="Z88" s="267">
        <v>0</v>
      </c>
      <c r="AA88" s="297">
        <v>0</v>
      </c>
      <c r="AB88" s="284"/>
      <c r="AC88" s="267">
        <v>200</v>
      </c>
      <c r="AD88" s="297">
        <v>281</v>
      </c>
      <c r="AE88" s="267">
        <v>234</v>
      </c>
      <c r="AF88" s="297">
        <v>247</v>
      </c>
      <c r="AG88" s="267">
        <v>313</v>
      </c>
      <c r="AH88" s="297">
        <v>168</v>
      </c>
      <c r="AI88" s="296">
        <v>354</v>
      </c>
      <c r="AJ88" s="297">
        <v>127</v>
      </c>
      <c r="AK88" s="267">
        <v>481</v>
      </c>
      <c r="AL88" s="297">
        <v>0</v>
      </c>
      <c r="AN88" s="283">
        <v>0</v>
      </c>
      <c r="AO88" s="284"/>
      <c r="AP88" s="282">
        <v>0</v>
      </c>
      <c r="AQ88" s="293">
        <v>0</v>
      </c>
      <c r="AR88" s="284"/>
      <c r="AS88" s="282">
        <v>0</v>
      </c>
      <c r="AT88" s="315">
        <v>0</v>
      </c>
      <c r="AU88" s="282">
        <v>0</v>
      </c>
      <c r="AV88" s="315">
        <v>0</v>
      </c>
      <c r="AW88" s="282">
        <v>0</v>
      </c>
      <c r="AX88" s="315">
        <v>0</v>
      </c>
      <c r="AY88" s="282">
        <v>0</v>
      </c>
      <c r="AZ88" s="315">
        <v>0</v>
      </c>
      <c r="BA88" s="282">
        <v>0</v>
      </c>
      <c r="BB88" s="315">
        <v>0</v>
      </c>
    </row>
    <row r="89" spans="2:55">
      <c r="B89" s="280" t="s">
        <v>426</v>
      </c>
      <c r="C89" s="281" t="s">
        <v>529</v>
      </c>
      <c r="D89" s="188">
        <v>658</v>
      </c>
      <c r="E89" s="519">
        <v>3.25</v>
      </c>
      <c r="F89" s="233" t="s">
        <v>190</v>
      </c>
      <c r="G89" s="233" t="s">
        <v>178</v>
      </c>
      <c r="H89" s="232">
        <v>520</v>
      </c>
      <c r="I89" s="264"/>
      <c r="J89" s="282" t="s">
        <v>15</v>
      </c>
      <c r="K89" s="293" t="s">
        <v>15</v>
      </c>
      <c r="L89" s="298"/>
      <c r="M89" s="517">
        <v>39</v>
      </c>
      <c r="N89" s="518">
        <v>12.9</v>
      </c>
      <c r="O89" s="517">
        <v>19</v>
      </c>
      <c r="P89" s="518">
        <v>12</v>
      </c>
      <c r="Q89" s="517">
        <v>0</v>
      </c>
      <c r="R89" s="518">
        <v>9.5</v>
      </c>
      <c r="S89" s="329">
        <v>0</v>
      </c>
      <c r="T89" s="518">
        <v>7.9</v>
      </c>
      <c r="U89" s="517">
        <v>0</v>
      </c>
      <c r="V89" s="518">
        <v>3.2</v>
      </c>
      <c r="X89" s="283">
        <v>138</v>
      </c>
      <c r="Y89" s="264"/>
      <c r="Z89" s="282">
        <v>0</v>
      </c>
      <c r="AA89" s="293">
        <v>0</v>
      </c>
      <c r="AB89" s="284"/>
      <c r="AC89" s="265">
        <v>309</v>
      </c>
      <c r="AD89" s="294">
        <v>310</v>
      </c>
      <c r="AE89" s="265">
        <v>351</v>
      </c>
      <c r="AF89" s="294">
        <v>288</v>
      </c>
      <c r="AG89" s="265">
        <v>430</v>
      </c>
      <c r="AH89" s="294">
        <v>228</v>
      </c>
      <c r="AI89" s="292">
        <v>468</v>
      </c>
      <c r="AJ89" s="294">
        <v>190</v>
      </c>
      <c r="AK89" s="265">
        <v>581</v>
      </c>
      <c r="AL89" s="294">
        <v>77</v>
      </c>
      <c r="AM89" s="109"/>
      <c r="AN89" s="283">
        <v>-24</v>
      </c>
      <c r="AO89" s="284"/>
      <c r="AP89" s="282">
        <v>0</v>
      </c>
      <c r="AQ89" s="293">
        <v>0</v>
      </c>
      <c r="AR89" s="284"/>
      <c r="AS89" s="282">
        <v>0</v>
      </c>
      <c r="AT89" s="315">
        <v>-0.79999999999999893</v>
      </c>
      <c r="AU89" s="282">
        <v>0</v>
      </c>
      <c r="AV89" s="315">
        <v>-0.90000000000000036</v>
      </c>
      <c r="AW89" s="282">
        <v>0</v>
      </c>
      <c r="AX89" s="315">
        <v>-0.90000000000000036</v>
      </c>
      <c r="AY89" s="282">
        <v>0</v>
      </c>
      <c r="AZ89" s="315">
        <v>-0.90000000000000036</v>
      </c>
      <c r="BA89" s="282">
        <v>0</v>
      </c>
      <c r="BB89" s="315">
        <v>-0.89999999999999947</v>
      </c>
      <c r="BC89" s="109"/>
    </row>
    <row r="90" spans="2:55">
      <c r="B90" s="273" t="s">
        <v>426</v>
      </c>
      <c r="C90" s="286" t="s">
        <v>462</v>
      </c>
      <c r="D90" s="189">
        <v>177</v>
      </c>
      <c r="E90" s="520">
        <v>3.25</v>
      </c>
      <c r="F90" s="236" t="s">
        <v>190</v>
      </c>
      <c r="G90" s="236" t="s">
        <v>178</v>
      </c>
      <c r="H90" s="295">
        <v>119</v>
      </c>
      <c r="I90" s="264"/>
      <c r="J90" s="267" t="s">
        <v>15</v>
      </c>
      <c r="K90" s="297" t="s">
        <v>15</v>
      </c>
      <c r="L90" s="298"/>
      <c r="M90" s="237">
        <v>0</v>
      </c>
      <c r="N90" s="314">
        <v>2.8</v>
      </c>
      <c r="O90" s="237">
        <v>0</v>
      </c>
      <c r="P90" s="314">
        <v>1.4</v>
      </c>
      <c r="Q90" s="237">
        <v>0</v>
      </c>
      <c r="R90" s="314">
        <v>0</v>
      </c>
      <c r="S90" s="509">
        <v>0</v>
      </c>
      <c r="T90" s="314">
        <v>0</v>
      </c>
      <c r="U90" s="237">
        <v>0</v>
      </c>
      <c r="V90" s="314">
        <v>0</v>
      </c>
      <c r="W90" s="109"/>
      <c r="X90" s="268">
        <v>58</v>
      </c>
      <c r="Y90" s="264"/>
      <c r="Z90" s="267">
        <v>0</v>
      </c>
      <c r="AA90" s="297">
        <v>0</v>
      </c>
      <c r="AB90" s="284"/>
      <c r="AC90" s="267">
        <v>110</v>
      </c>
      <c r="AD90" s="297">
        <v>67</v>
      </c>
      <c r="AE90" s="267">
        <v>143</v>
      </c>
      <c r="AF90" s="297">
        <v>34</v>
      </c>
      <c r="AG90" s="267">
        <v>177</v>
      </c>
      <c r="AH90" s="297">
        <v>0</v>
      </c>
      <c r="AI90" s="296">
        <v>177</v>
      </c>
      <c r="AJ90" s="297">
        <v>0</v>
      </c>
      <c r="AK90" s="267">
        <v>177</v>
      </c>
      <c r="AL90" s="297">
        <v>0</v>
      </c>
      <c r="AN90" s="283">
        <v>0</v>
      </c>
      <c r="AO90" s="284"/>
      <c r="AP90" s="282">
        <v>0</v>
      </c>
      <c r="AQ90" s="293">
        <v>0</v>
      </c>
      <c r="AR90" s="284"/>
      <c r="AS90" s="282">
        <v>0</v>
      </c>
      <c r="AT90" s="315">
        <v>0.5</v>
      </c>
      <c r="AU90" s="282">
        <v>0</v>
      </c>
      <c r="AV90" s="315">
        <v>1.4</v>
      </c>
      <c r="AW90" s="282">
        <v>0</v>
      </c>
      <c r="AX90" s="315">
        <v>0</v>
      </c>
      <c r="AY90" s="282">
        <v>0</v>
      </c>
      <c r="AZ90" s="315">
        <v>0</v>
      </c>
      <c r="BA90" s="282">
        <v>0</v>
      </c>
      <c r="BB90" s="315">
        <v>0</v>
      </c>
    </row>
    <row r="91" spans="2:55">
      <c r="B91" s="280" t="s">
        <v>426</v>
      </c>
      <c r="C91" s="281" t="s">
        <v>632</v>
      </c>
      <c r="D91" s="188">
        <v>183</v>
      </c>
      <c r="E91" s="519">
        <v>3.25</v>
      </c>
      <c r="F91" s="233" t="s">
        <v>190</v>
      </c>
      <c r="G91" s="233" t="s">
        <v>178</v>
      </c>
      <c r="H91" s="232">
        <v>138</v>
      </c>
      <c r="I91" s="264"/>
      <c r="J91" s="282" t="s">
        <v>15</v>
      </c>
      <c r="K91" s="293" t="s">
        <v>15</v>
      </c>
      <c r="L91" s="298"/>
      <c r="M91" s="517">
        <v>0</v>
      </c>
      <c r="N91" s="518">
        <v>3.5</v>
      </c>
      <c r="O91" s="517">
        <v>0</v>
      </c>
      <c r="P91" s="518">
        <v>2.1</v>
      </c>
      <c r="Q91" s="517">
        <v>0</v>
      </c>
      <c r="R91" s="518">
        <v>0</v>
      </c>
      <c r="S91" s="329">
        <v>0</v>
      </c>
      <c r="T91" s="518">
        <v>0</v>
      </c>
      <c r="U91" s="517">
        <v>0</v>
      </c>
      <c r="V91" s="518">
        <v>0</v>
      </c>
      <c r="X91" s="283">
        <v>45</v>
      </c>
      <c r="Y91" s="264"/>
      <c r="Z91" s="282">
        <v>0</v>
      </c>
      <c r="AA91" s="293">
        <v>0</v>
      </c>
      <c r="AB91" s="284"/>
      <c r="AC91" s="265">
        <v>99</v>
      </c>
      <c r="AD91" s="294">
        <v>84</v>
      </c>
      <c r="AE91" s="265">
        <v>133</v>
      </c>
      <c r="AF91" s="294">
        <v>50</v>
      </c>
      <c r="AG91" s="265">
        <v>183</v>
      </c>
      <c r="AH91" s="294">
        <v>0</v>
      </c>
      <c r="AI91" s="292">
        <v>183</v>
      </c>
      <c r="AJ91" s="294">
        <v>0</v>
      </c>
      <c r="AK91" s="265">
        <v>183</v>
      </c>
      <c r="AL91" s="294">
        <v>0</v>
      </c>
      <c r="AM91" s="109"/>
      <c r="AN91" s="283">
        <v>0</v>
      </c>
      <c r="AO91" s="284"/>
      <c r="AP91" s="282">
        <v>0</v>
      </c>
      <c r="AQ91" s="293">
        <v>0</v>
      </c>
      <c r="AR91" s="284"/>
      <c r="AS91" s="282" t="e">
        <v>#N/A</v>
      </c>
      <c r="AT91" s="315" t="e">
        <v>#N/A</v>
      </c>
      <c r="AU91" s="282" t="e">
        <v>#N/A</v>
      </c>
      <c r="AV91" s="315" t="e">
        <v>#N/A</v>
      </c>
      <c r="AW91" s="282" t="e">
        <v>#N/A</v>
      </c>
      <c r="AX91" s="315" t="e">
        <v>#N/A</v>
      </c>
      <c r="AY91" s="282" t="e">
        <v>#N/A</v>
      </c>
      <c r="AZ91" s="315" t="e">
        <v>#N/A</v>
      </c>
      <c r="BA91" s="282" t="e">
        <v>#N/A</v>
      </c>
      <c r="BB91" s="315" t="e">
        <v>#N/A</v>
      </c>
      <c r="BC91" s="109"/>
    </row>
    <row r="92" spans="2:55">
      <c r="B92" s="273" t="s">
        <v>426</v>
      </c>
      <c r="C92" s="286" t="s">
        <v>463</v>
      </c>
      <c r="D92" s="189">
        <v>199</v>
      </c>
      <c r="E92" s="520">
        <v>3.25</v>
      </c>
      <c r="F92" s="236" t="s">
        <v>190</v>
      </c>
      <c r="G92" s="236" t="s">
        <v>178</v>
      </c>
      <c r="H92" s="295">
        <v>193</v>
      </c>
      <c r="I92" s="264"/>
      <c r="J92" s="267" t="s">
        <v>15</v>
      </c>
      <c r="K92" s="297" t="s">
        <v>15</v>
      </c>
      <c r="L92" s="298"/>
      <c r="M92" s="237">
        <v>0</v>
      </c>
      <c r="N92" s="314">
        <v>4.5</v>
      </c>
      <c r="O92" s="237">
        <v>0</v>
      </c>
      <c r="P92" s="314">
        <v>3.2</v>
      </c>
      <c r="Q92" s="237">
        <v>0</v>
      </c>
      <c r="R92" s="314">
        <v>0</v>
      </c>
      <c r="S92" s="509">
        <v>0</v>
      </c>
      <c r="T92" s="314">
        <v>0</v>
      </c>
      <c r="U92" s="237">
        <v>0</v>
      </c>
      <c r="V92" s="314">
        <v>0</v>
      </c>
      <c r="W92" s="109"/>
      <c r="X92" s="268">
        <v>6</v>
      </c>
      <c r="Y92" s="264"/>
      <c r="Z92" s="267">
        <v>0</v>
      </c>
      <c r="AA92" s="297">
        <v>0</v>
      </c>
      <c r="AB92" s="284"/>
      <c r="AC92" s="267">
        <v>91</v>
      </c>
      <c r="AD92" s="297">
        <v>108</v>
      </c>
      <c r="AE92" s="267">
        <v>122</v>
      </c>
      <c r="AF92" s="297">
        <v>77</v>
      </c>
      <c r="AG92" s="267">
        <v>199</v>
      </c>
      <c r="AH92" s="297">
        <v>0</v>
      </c>
      <c r="AI92" s="296">
        <v>199</v>
      </c>
      <c r="AJ92" s="297">
        <v>0</v>
      </c>
      <c r="AK92" s="267">
        <v>199</v>
      </c>
      <c r="AL92" s="297">
        <v>0</v>
      </c>
      <c r="AN92" s="283">
        <v>0</v>
      </c>
      <c r="AO92" s="284"/>
      <c r="AP92" s="282">
        <v>0</v>
      </c>
      <c r="AQ92" s="293">
        <v>0</v>
      </c>
      <c r="AR92" s="284"/>
      <c r="AS92" s="282">
        <v>0</v>
      </c>
      <c r="AT92" s="315">
        <v>0.60000000000000009</v>
      </c>
      <c r="AU92" s="282">
        <v>0</v>
      </c>
      <c r="AV92" s="315">
        <v>0.70000000000000018</v>
      </c>
      <c r="AW92" s="282">
        <v>0</v>
      </c>
      <c r="AX92" s="315">
        <v>0</v>
      </c>
      <c r="AY92" s="282">
        <v>0</v>
      </c>
      <c r="AZ92" s="315">
        <v>0</v>
      </c>
      <c r="BA92" s="282">
        <v>0</v>
      </c>
      <c r="BB92" s="315">
        <v>0</v>
      </c>
    </row>
    <row r="93" spans="2:55" s="109" customFormat="1">
      <c r="B93" s="280" t="s">
        <v>426</v>
      </c>
      <c r="C93" s="281" t="s">
        <v>621</v>
      </c>
      <c r="D93" s="188">
        <v>255</v>
      </c>
      <c r="E93" s="519">
        <v>3.25</v>
      </c>
      <c r="F93" s="233" t="s">
        <v>190</v>
      </c>
      <c r="G93" s="233" t="s">
        <v>178</v>
      </c>
      <c r="H93" s="232">
        <v>215</v>
      </c>
      <c r="I93" s="264"/>
      <c r="J93" s="282" t="s">
        <v>15</v>
      </c>
      <c r="K93" s="293" t="s">
        <v>15</v>
      </c>
      <c r="L93" s="298"/>
      <c r="M93" s="517">
        <v>0</v>
      </c>
      <c r="N93" s="518">
        <v>5.3</v>
      </c>
      <c r="O93" s="517">
        <v>0</v>
      </c>
      <c r="P93" s="518">
        <v>3.9</v>
      </c>
      <c r="Q93" s="517">
        <v>0</v>
      </c>
      <c r="R93" s="518">
        <v>0</v>
      </c>
      <c r="S93" s="329">
        <v>0</v>
      </c>
      <c r="T93" s="518">
        <v>0</v>
      </c>
      <c r="U93" s="517">
        <v>0</v>
      </c>
      <c r="V93" s="518">
        <v>0</v>
      </c>
      <c r="W93" s="113"/>
      <c r="X93" s="283">
        <v>40</v>
      </c>
      <c r="Y93" s="264"/>
      <c r="Z93" s="282">
        <v>0</v>
      </c>
      <c r="AA93" s="293">
        <v>0</v>
      </c>
      <c r="AB93" s="284"/>
      <c r="AC93" s="265">
        <v>128</v>
      </c>
      <c r="AD93" s="294">
        <v>127</v>
      </c>
      <c r="AE93" s="265">
        <v>161</v>
      </c>
      <c r="AF93" s="294">
        <v>94</v>
      </c>
      <c r="AG93" s="265">
        <v>255</v>
      </c>
      <c r="AH93" s="294">
        <v>0</v>
      </c>
      <c r="AI93" s="292">
        <v>255</v>
      </c>
      <c r="AJ93" s="294">
        <v>0</v>
      </c>
      <c r="AK93" s="265">
        <v>255</v>
      </c>
      <c r="AL93" s="294">
        <v>0</v>
      </c>
      <c r="AN93" s="283">
        <v>-34</v>
      </c>
      <c r="AO93" s="284"/>
      <c r="AP93" s="282">
        <v>0</v>
      </c>
      <c r="AQ93" s="293">
        <v>0</v>
      </c>
      <c r="AR93" s="284"/>
      <c r="AS93" s="282">
        <v>0</v>
      </c>
      <c r="AT93" s="315">
        <v>-0.90000000000000036</v>
      </c>
      <c r="AU93" s="282">
        <v>0</v>
      </c>
      <c r="AV93" s="315">
        <v>-0.89999999999999991</v>
      </c>
      <c r="AW93" s="282">
        <v>0</v>
      </c>
      <c r="AX93" s="315">
        <v>-1.5</v>
      </c>
      <c r="AY93" s="282">
        <v>0</v>
      </c>
      <c r="AZ93" s="315">
        <v>0</v>
      </c>
      <c r="BA93" s="282">
        <v>0</v>
      </c>
      <c r="BB93" s="315">
        <v>0</v>
      </c>
    </row>
    <row r="94" spans="2:55">
      <c r="B94" s="273" t="s">
        <v>426</v>
      </c>
      <c r="C94" s="123" t="s">
        <v>553</v>
      </c>
      <c r="D94" s="189">
        <v>353</v>
      </c>
      <c r="E94" s="520">
        <v>3.25</v>
      </c>
      <c r="F94" s="236" t="s">
        <v>190</v>
      </c>
      <c r="G94" s="236" t="s">
        <v>178</v>
      </c>
      <c r="H94" s="295">
        <v>378</v>
      </c>
      <c r="I94" s="264"/>
      <c r="J94" s="267" t="s">
        <v>15</v>
      </c>
      <c r="K94" s="297" t="s">
        <v>15</v>
      </c>
      <c r="L94" s="298"/>
      <c r="M94" s="237">
        <v>0</v>
      </c>
      <c r="N94" s="314">
        <v>9.6</v>
      </c>
      <c r="O94" s="237">
        <v>0</v>
      </c>
      <c r="P94" s="314">
        <v>8.1999999999999993</v>
      </c>
      <c r="Q94" s="237">
        <v>0</v>
      </c>
      <c r="R94" s="314">
        <v>4.9000000000000004</v>
      </c>
      <c r="S94" s="509">
        <v>0</v>
      </c>
      <c r="T94" s="314">
        <v>3.3</v>
      </c>
      <c r="U94" s="237">
        <v>0</v>
      </c>
      <c r="V94" s="314">
        <v>0</v>
      </c>
      <c r="W94" s="109"/>
      <c r="X94" s="268">
        <v>-25</v>
      </c>
      <c r="Y94" s="264"/>
      <c r="Z94" s="267">
        <v>0</v>
      </c>
      <c r="AA94" s="297">
        <v>0</v>
      </c>
      <c r="AB94" s="284"/>
      <c r="AC94" s="267">
        <v>123</v>
      </c>
      <c r="AD94" s="297">
        <v>230</v>
      </c>
      <c r="AE94" s="267">
        <v>156</v>
      </c>
      <c r="AF94" s="297">
        <v>197</v>
      </c>
      <c r="AG94" s="267">
        <v>235</v>
      </c>
      <c r="AH94" s="297">
        <v>118</v>
      </c>
      <c r="AI94" s="296">
        <v>274</v>
      </c>
      <c r="AJ94" s="297">
        <v>79</v>
      </c>
      <c r="AK94" s="267">
        <v>353</v>
      </c>
      <c r="AL94" s="297">
        <v>0</v>
      </c>
      <c r="AN94" s="283">
        <v>0</v>
      </c>
      <c r="AO94" s="284"/>
      <c r="AP94" s="282">
        <v>0</v>
      </c>
      <c r="AQ94" s="293">
        <v>0</v>
      </c>
      <c r="AR94" s="284"/>
      <c r="AS94" s="282">
        <v>0</v>
      </c>
      <c r="AT94" s="315">
        <v>0</v>
      </c>
      <c r="AU94" s="282">
        <v>0</v>
      </c>
      <c r="AV94" s="315">
        <v>0</v>
      </c>
      <c r="AW94" s="282">
        <v>0</v>
      </c>
      <c r="AX94" s="315">
        <v>0</v>
      </c>
      <c r="AY94" s="282">
        <v>0</v>
      </c>
      <c r="AZ94" s="315">
        <v>0</v>
      </c>
      <c r="BA94" s="282">
        <v>0</v>
      </c>
      <c r="BB94" s="315">
        <v>0</v>
      </c>
    </row>
    <row r="95" spans="2:55" s="109" customFormat="1">
      <c r="B95" s="280" t="s">
        <v>426</v>
      </c>
      <c r="C95" s="281" t="s">
        <v>622</v>
      </c>
      <c r="D95" s="188">
        <v>481</v>
      </c>
      <c r="E95" s="519">
        <v>3.25</v>
      </c>
      <c r="F95" s="233" t="s">
        <v>190</v>
      </c>
      <c r="G95" s="233" t="s">
        <v>178</v>
      </c>
      <c r="H95" s="232">
        <v>499</v>
      </c>
      <c r="I95" s="264"/>
      <c r="J95" s="282" t="s">
        <v>15</v>
      </c>
      <c r="K95" s="293" t="s">
        <v>15</v>
      </c>
      <c r="L95" s="298"/>
      <c r="M95" s="517">
        <v>0</v>
      </c>
      <c r="N95" s="518">
        <v>12.1</v>
      </c>
      <c r="O95" s="517">
        <v>0</v>
      </c>
      <c r="P95" s="518">
        <v>10.7</v>
      </c>
      <c r="Q95" s="517">
        <v>0</v>
      </c>
      <c r="R95" s="518">
        <v>7.4</v>
      </c>
      <c r="S95" s="329">
        <v>0</v>
      </c>
      <c r="T95" s="518">
        <v>5.8</v>
      </c>
      <c r="U95" s="517">
        <v>0</v>
      </c>
      <c r="V95" s="518">
        <v>1.1000000000000001</v>
      </c>
      <c r="W95" s="113"/>
      <c r="X95" s="283">
        <v>-18</v>
      </c>
      <c r="Y95" s="264"/>
      <c r="Z95" s="282">
        <v>0</v>
      </c>
      <c r="AA95" s="293">
        <v>0</v>
      </c>
      <c r="AB95" s="284"/>
      <c r="AC95" s="265">
        <v>191</v>
      </c>
      <c r="AD95" s="294">
        <v>290</v>
      </c>
      <c r="AE95" s="265">
        <v>224</v>
      </c>
      <c r="AF95" s="294">
        <v>257</v>
      </c>
      <c r="AG95" s="265">
        <v>303</v>
      </c>
      <c r="AH95" s="294">
        <v>178</v>
      </c>
      <c r="AI95" s="292">
        <v>342</v>
      </c>
      <c r="AJ95" s="294">
        <v>139</v>
      </c>
      <c r="AK95" s="265">
        <v>455</v>
      </c>
      <c r="AL95" s="294">
        <v>26</v>
      </c>
      <c r="AN95" s="283">
        <v>0</v>
      </c>
      <c r="AO95" s="284"/>
      <c r="AP95" s="282">
        <v>0</v>
      </c>
      <c r="AQ95" s="293">
        <v>0</v>
      </c>
      <c r="AR95" s="284"/>
      <c r="AS95" s="282">
        <v>0</v>
      </c>
      <c r="AT95" s="315">
        <v>-0.90000000000000036</v>
      </c>
      <c r="AU95" s="282">
        <v>0</v>
      </c>
      <c r="AV95" s="315">
        <v>-0.90000000000000036</v>
      </c>
      <c r="AW95" s="282">
        <v>0</v>
      </c>
      <c r="AX95" s="315">
        <v>-0.90000000000000036</v>
      </c>
      <c r="AY95" s="282">
        <v>0</v>
      </c>
      <c r="AZ95" s="315">
        <v>-0.90000000000000036</v>
      </c>
      <c r="BA95" s="282">
        <v>0</v>
      </c>
      <c r="BB95" s="315">
        <v>-0.89999999999999991</v>
      </c>
    </row>
    <row r="96" spans="2:55">
      <c r="B96" s="273" t="s">
        <v>426</v>
      </c>
      <c r="C96" s="123" t="s">
        <v>549</v>
      </c>
      <c r="D96" s="189">
        <v>869</v>
      </c>
      <c r="E96" s="520">
        <v>3.25</v>
      </c>
      <c r="F96" s="236" t="s">
        <v>190</v>
      </c>
      <c r="G96" s="236" t="s">
        <v>178</v>
      </c>
      <c r="H96" s="295">
        <v>793</v>
      </c>
      <c r="I96" s="264"/>
      <c r="J96" s="267" t="s">
        <v>15</v>
      </c>
      <c r="K96" s="297" t="s">
        <v>15</v>
      </c>
      <c r="L96" s="298"/>
      <c r="M96" s="237" t="s">
        <v>15</v>
      </c>
      <c r="N96" s="314" t="s">
        <v>15</v>
      </c>
      <c r="O96" s="237">
        <v>29</v>
      </c>
      <c r="P96" s="314">
        <v>20.6</v>
      </c>
      <c r="Q96" s="237">
        <v>0</v>
      </c>
      <c r="R96" s="314">
        <v>18.5</v>
      </c>
      <c r="S96" s="509">
        <v>0</v>
      </c>
      <c r="T96" s="314">
        <v>15.8</v>
      </c>
      <c r="U96" s="237">
        <v>0</v>
      </c>
      <c r="V96" s="314">
        <v>10.9</v>
      </c>
      <c r="W96" s="109"/>
      <c r="X96" s="268">
        <v>76</v>
      </c>
      <c r="Y96" s="264"/>
      <c r="Z96" s="267">
        <v>0</v>
      </c>
      <c r="AA96" s="297">
        <v>0</v>
      </c>
      <c r="AB96" s="284"/>
      <c r="AC96" s="267">
        <v>0</v>
      </c>
      <c r="AD96" s="297">
        <v>0</v>
      </c>
      <c r="AE96" s="267">
        <v>346</v>
      </c>
      <c r="AF96" s="297">
        <v>494</v>
      </c>
      <c r="AG96" s="267">
        <v>425</v>
      </c>
      <c r="AH96" s="297">
        <v>444</v>
      </c>
      <c r="AI96" s="296">
        <v>490</v>
      </c>
      <c r="AJ96" s="297">
        <v>379</v>
      </c>
      <c r="AK96" s="267">
        <v>607</v>
      </c>
      <c r="AL96" s="297">
        <v>262</v>
      </c>
      <c r="AN96" s="283">
        <v>-61</v>
      </c>
      <c r="AO96" s="284"/>
      <c r="AP96" s="282">
        <v>0</v>
      </c>
      <c r="AQ96" s="293">
        <v>0</v>
      </c>
      <c r="AR96" s="284"/>
      <c r="AS96" s="282">
        <v>0</v>
      </c>
      <c r="AT96" s="315">
        <v>0</v>
      </c>
      <c r="AU96" s="282">
        <v>0</v>
      </c>
      <c r="AV96" s="315">
        <v>-2.0999999999999979</v>
      </c>
      <c r="AW96" s="282">
        <v>0</v>
      </c>
      <c r="AX96" s="315">
        <v>-2.1000000000000014</v>
      </c>
      <c r="AY96" s="282">
        <v>0</v>
      </c>
      <c r="AZ96" s="315">
        <v>-2.0999999999999979</v>
      </c>
      <c r="BA96" s="282">
        <v>0</v>
      </c>
      <c r="BB96" s="315">
        <v>-2.0999999999999996</v>
      </c>
    </row>
    <row r="97" spans="2:54" s="109" customFormat="1">
      <c r="B97" s="280" t="s">
        <v>183</v>
      </c>
      <c r="C97" s="281" t="s">
        <v>613</v>
      </c>
      <c r="D97" s="188">
        <v>160</v>
      </c>
      <c r="E97" s="519">
        <v>3.25</v>
      </c>
      <c r="F97" s="233" t="s">
        <v>190</v>
      </c>
      <c r="G97" s="233" t="s">
        <v>178</v>
      </c>
      <c r="H97" s="232">
        <v>107</v>
      </c>
      <c r="I97" s="264"/>
      <c r="J97" s="282" t="s">
        <v>15</v>
      </c>
      <c r="K97" s="293" t="s">
        <v>15</v>
      </c>
      <c r="L97" s="298"/>
      <c r="M97" s="517">
        <v>0</v>
      </c>
      <c r="N97" s="518">
        <v>2.2999999999999998</v>
      </c>
      <c r="O97" s="517">
        <v>0</v>
      </c>
      <c r="P97" s="518">
        <v>1</v>
      </c>
      <c r="Q97" s="517">
        <v>0</v>
      </c>
      <c r="R97" s="518">
        <v>0</v>
      </c>
      <c r="S97" s="329">
        <v>0</v>
      </c>
      <c r="T97" s="518">
        <v>0</v>
      </c>
      <c r="U97" s="517">
        <v>0</v>
      </c>
      <c r="V97" s="518">
        <v>0</v>
      </c>
      <c r="W97" s="113"/>
      <c r="X97" s="283">
        <v>53</v>
      </c>
      <c r="Y97" s="264"/>
      <c r="Z97" s="282">
        <v>0</v>
      </c>
      <c r="AA97" s="293">
        <v>0</v>
      </c>
      <c r="AB97" s="284"/>
      <c r="AC97" s="265">
        <v>105</v>
      </c>
      <c r="AD97" s="294">
        <v>55</v>
      </c>
      <c r="AE97" s="265">
        <v>136</v>
      </c>
      <c r="AF97" s="294">
        <v>24</v>
      </c>
      <c r="AG97" s="265">
        <v>160</v>
      </c>
      <c r="AH97" s="294">
        <v>0</v>
      </c>
      <c r="AI97" s="292">
        <v>160</v>
      </c>
      <c r="AJ97" s="294">
        <v>0</v>
      </c>
      <c r="AK97" s="265">
        <v>160</v>
      </c>
      <c r="AL97" s="294">
        <v>0</v>
      </c>
      <c r="AN97" s="283">
        <v>0</v>
      </c>
      <c r="AO97" s="284"/>
      <c r="AP97" s="282">
        <v>0</v>
      </c>
      <c r="AQ97" s="293">
        <v>0</v>
      </c>
      <c r="AR97" s="284"/>
      <c r="AS97" s="282">
        <v>0</v>
      </c>
      <c r="AT97" s="315">
        <v>0</v>
      </c>
      <c r="AU97" s="282">
        <v>0</v>
      </c>
      <c r="AV97" s="315">
        <v>0</v>
      </c>
      <c r="AW97" s="282">
        <v>0</v>
      </c>
      <c r="AX97" s="315">
        <v>0</v>
      </c>
      <c r="AY97" s="282">
        <v>0</v>
      </c>
      <c r="AZ97" s="315">
        <v>0</v>
      </c>
      <c r="BA97" s="282">
        <v>0</v>
      </c>
      <c r="BB97" s="315">
        <v>0</v>
      </c>
    </row>
    <row r="98" spans="2:54">
      <c r="B98" s="273" t="s">
        <v>183</v>
      </c>
      <c r="C98" s="286" t="s">
        <v>600</v>
      </c>
      <c r="D98" s="189">
        <v>176</v>
      </c>
      <c r="E98" s="520">
        <v>3.25</v>
      </c>
      <c r="F98" s="236" t="s">
        <v>190</v>
      </c>
      <c r="G98" s="236" t="s">
        <v>178</v>
      </c>
      <c r="H98" s="295">
        <v>191</v>
      </c>
      <c r="I98" s="264"/>
      <c r="J98" s="267" t="s">
        <v>15</v>
      </c>
      <c r="K98" s="297" t="s">
        <v>15</v>
      </c>
      <c r="L98" s="298"/>
      <c r="M98" s="237">
        <v>0</v>
      </c>
      <c r="N98" s="314">
        <v>2.8</v>
      </c>
      <c r="O98" s="237">
        <v>0</v>
      </c>
      <c r="P98" s="314">
        <v>1.4</v>
      </c>
      <c r="Q98" s="237">
        <v>0</v>
      </c>
      <c r="R98" s="314">
        <v>0</v>
      </c>
      <c r="S98" s="509">
        <v>0</v>
      </c>
      <c r="T98" s="314">
        <v>0</v>
      </c>
      <c r="U98" s="237">
        <v>0</v>
      </c>
      <c r="V98" s="314">
        <v>0</v>
      </c>
      <c r="W98" s="109"/>
      <c r="X98" s="268">
        <v>-15</v>
      </c>
      <c r="Y98" s="264"/>
      <c r="Z98" s="267">
        <v>0</v>
      </c>
      <c r="AA98" s="297">
        <v>0</v>
      </c>
      <c r="AB98" s="284"/>
      <c r="AC98" s="267">
        <v>109</v>
      </c>
      <c r="AD98" s="297">
        <v>67</v>
      </c>
      <c r="AE98" s="267">
        <v>142</v>
      </c>
      <c r="AF98" s="297">
        <v>34</v>
      </c>
      <c r="AG98" s="267">
        <v>176</v>
      </c>
      <c r="AH98" s="297">
        <v>0</v>
      </c>
      <c r="AI98" s="296">
        <v>176</v>
      </c>
      <c r="AJ98" s="297">
        <v>0</v>
      </c>
      <c r="AK98" s="267">
        <v>176</v>
      </c>
      <c r="AL98" s="297">
        <v>0</v>
      </c>
      <c r="AN98" s="283">
        <v>0</v>
      </c>
      <c r="AO98" s="284"/>
      <c r="AP98" s="282">
        <v>0</v>
      </c>
      <c r="AQ98" s="293">
        <v>0</v>
      </c>
      <c r="AR98" s="284"/>
      <c r="AS98" s="282">
        <v>0</v>
      </c>
      <c r="AT98" s="315">
        <v>-0.20000000000000018</v>
      </c>
      <c r="AU98" s="282">
        <v>0</v>
      </c>
      <c r="AV98" s="315">
        <v>-0.20000000000000018</v>
      </c>
      <c r="AW98" s="282">
        <v>0</v>
      </c>
      <c r="AX98" s="315">
        <v>0</v>
      </c>
      <c r="AY98" s="282">
        <v>0</v>
      </c>
      <c r="AZ98" s="315">
        <v>0</v>
      </c>
      <c r="BA98" s="282">
        <v>0</v>
      </c>
      <c r="BB98" s="315">
        <v>0</v>
      </c>
    </row>
    <row r="99" spans="2:54" s="109" customFormat="1">
      <c r="B99" s="280" t="s">
        <v>183</v>
      </c>
      <c r="C99" s="554" t="s">
        <v>554</v>
      </c>
      <c r="D99" s="188">
        <v>245</v>
      </c>
      <c r="E99" s="519">
        <v>3.25</v>
      </c>
      <c r="F99" s="233" t="s">
        <v>190</v>
      </c>
      <c r="G99" s="233" t="s">
        <v>178</v>
      </c>
      <c r="H99" s="232">
        <v>246</v>
      </c>
      <c r="I99" s="264"/>
      <c r="J99" s="282" t="s">
        <v>15</v>
      </c>
      <c r="K99" s="293" t="s">
        <v>15</v>
      </c>
      <c r="L99" s="298"/>
      <c r="M99" s="517">
        <v>0</v>
      </c>
      <c r="N99" s="518">
        <v>4.8</v>
      </c>
      <c r="O99" s="517">
        <v>0</v>
      </c>
      <c r="P99" s="518">
        <v>3.4</v>
      </c>
      <c r="Q99" s="517">
        <v>0</v>
      </c>
      <c r="R99" s="518">
        <v>0</v>
      </c>
      <c r="S99" s="329">
        <v>0</v>
      </c>
      <c r="T99" s="518">
        <v>0</v>
      </c>
      <c r="U99" s="517">
        <v>0</v>
      </c>
      <c r="V99" s="518">
        <v>0</v>
      </c>
      <c r="W99" s="113"/>
      <c r="X99" s="283">
        <v>-1</v>
      </c>
      <c r="Y99" s="264"/>
      <c r="Z99" s="282">
        <v>0</v>
      </c>
      <c r="AA99" s="293">
        <v>0</v>
      </c>
      <c r="AB99" s="284"/>
      <c r="AC99" s="265">
        <v>130</v>
      </c>
      <c r="AD99" s="294">
        <v>115</v>
      </c>
      <c r="AE99" s="265">
        <v>163</v>
      </c>
      <c r="AF99" s="294">
        <v>82</v>
      </c>
      <c r="AG99" s="265">
        <v>245</v>
      </c>
      <c r="AH99" s="294">
        <v>0</v>
      </c>
      <c r="AI99" s="292">
        <v>245</v>
      </c>
      <c r="AJ99" s="294">
        <v>0</v>
      </c>
      <c r="AK99" s="265">
        <v>245</v>
      </c>
      <c r="AL99" s="294">
        <v>0</v>
      </c>
      <c r="AN99" s="283">
        <v>0</v>
      </c>
      <c r="AO99" s="284"/>
      <c r="AP99" s="282">
        <v>0</v>
      </c>
      <c r="AQ99" s="293">
        <v>0</v>
      </c>
      <c r="AR99" s="284"/>
      <c r="AS99" s="282">
        <v>0</v>
      </c>
      <c r="AT99" s="315">
        <v>0</v>
      </c>
      <c r="AU99" s="282">
        <v>0</v>
      </c>
      <c r="AV99" s="315">
        <v>0</v>
      </c>
      <c r="AW99" s="282">
        <v>0</v>
      </c>
      <c r="AX99" s="315">
        <v>0</v>
      </c>
      <c r="AY99" s="282">
        <v>0</v>
      </c>
      <c r="AZ99" s="315">
        <v>0</v>
      </c>
      <c r="BA99" s="282">
        <v>0</v>
      </c>
      <c r="BB99" s="315">
        <v>0</v>
      </c>
    </row>
    <row r="100" spans="2:54">
      <c r="B100" s="273" t="s">
        <v>183</v>
      </c>
      <c r="C100" s="286" t="s">
        <v>623</v>
      </c>
      <c r="D100" s="189">
        <v>1072</v>
      </c>
      <c r="E100" s="520">
        <v>3.25</v>
      </c>
      <c r="F100" s="236" t="s">
        <v>190</v>
      </c>
      <c r="G100" s="236" t="s">
        <v>178</v>
      </c>
      <c r="H100" s="295">
        <v>1151</v>
      </c>
      <c r="I100" s="264"/>
      <c r="J100" s="267" t="s">
        <v>15</v>
      </c>
      <c r="K100" s="297" t="s">
        <v>15</v>
      </c>
      <c r="L100" s="298"/>
      <c r="M100" s="237" t="s">
        <v>15</v>
      </c>
      <c r="N100" s="314" t="s">
        <v>15</v>
      </c>
      <c r="O100" s="237">
        <v>49</v>
      </c>
      <c r="P100" s="314">
        <v>25.8</v>
      </c>
      <c r="Q100" s="237">
        <v>39</v>
      </c>
      <c r="R100" s="314">
        <v>22.9</v>
      </c>
      <c r="S100" s="509">
        <v>0</v>
      </c>
      <c r="T100" s="314">
        <v>21.9</v>
      </c>
      <c r="U100" s="237">
        <v>0</v>
      </c>
      <c r="V100" s="314">
        <v>17</v>
      </c>
      <c r="W100" s="109"/>
      <c r="X100" s="268">
        <v>-79</v>
      </c>
      <c r="Y100" s="264"/>
      <c r="Z100" s="267">
        <v>0</v>
      </c>
      <c r="AA100" s="297">
        <v>0</v>
      </c>
      <c r="AB100" s="284"/>
      <c r="AC100" s="267">
        <v>0</v>
      </c>
      <c r="AD100" s="297">
        <v>0</v>
      </c>
      <c r="AE100" s="267">
        <v>404</v>
      </c>
      <c r="AF100" s="297">
        <v>619</v>
      </c>
      <c r="AG100" s="267">
        <v>483</v>
      </c>
      <c r="AH100" s="297">
        <v>550</v>
      </c>
      <c r="AI100" s="296">
        <v>546</v>
      </c>
      <c r="AJ100" s="297">
        <v>526</v>
      </c>
      <c r="AK100" s="267">
        <v>664</v>
      </c>
      <c r="AL100" s="297">
        <v>408</v>
      </c>
      <c r="AN100" s="283">
        <v>0</v>
      </c>
      <c r="AO100" s="284"/>
      <c r="AP100" s="282">
        <v>0</v>
      </c>
      <c r="AQ100" s="293">
        <v>0</v>
      </c>
      <c r="AR100" s="284"/>
      <c r="AS100" s="282">
        <v>0</v>
      </c>
      <c r="AT100" s="315">
        <v>0</v>
      </c>
      <c r="AU100" s="282">
        <v>0</v>
      </c>
      <c r="AV100" s="315">
        <v>-4.3999999999999986</v>
      </c>
      <c r="AW100" s="282">
        <v>0</v>
      </c>
      <c r="AX100" s="315">
        <v>-4.4000000000000021</v>
      </c>
      <c r="AY100" s="282">
        <v>0</v>
      </c>
      <c r="AZ100" s="315">
        <v>-4.4000000000000021</v>
      </c>
      <c r="BA100" s="282">
        <v>0</v>
      </c>
      <c r="BB100" s="315">
        <v>-4.3999999999999986</v>
      </c>
    </row>
    <row r="101" spans="2:54" s="109" customFormat="1">
      <c r="B101" s="280" t="s">
        <v>183</v>
      </c>
      <c r="C101" s="281" t="s">
        <v>550</v>
      </c>
      <c r="D101" s="188">
        <v>428</v>
      </c>
      <c r="E101" s="519">
        <v>3.25</v>
      </c>
      <c r="F101" s="233" t="s">
        <v>190</v>
      </c>
      <c r="G101" s="233" t="s">
        <v>178</v>
      </c>
      <c r="H101" s="232">
        <v>432</v>
      </c>
      <c r="I101" s="264"/>
      <c r="J101" s="282" t="s">
        <v>15</v>
      </c>
      <c r="K101" s="293" t="s">
        <v>15</v>
      </c>
      <c r="L101" s="298"/>
      <c r="M101" s="517">
        <v>0</v>
      </c>
      <c r="N101" s="518">
        <v>9.4</v>
      </c>
      <c r="O101" s="517">
        <v>0</v>
      </c>
      <c r="P101" s="518">
        <v>8</v>
      </c>
      <c r="Q101" s="517">
        <v>0</v>
      </c>
      <c r="R101" s="518">
        <v>4.5999999999999996</v>
      </c>
      <c r="S101" s="329">
        <v>0</v>
      </c>
      <c r="T101" s="518">
        <v>3</v>
      </c>
      <c r="U101" s="517">
        <v>0</v>
      </c>
      <c r="V101" s="518">
        <v>0</v>
      </c>
      <c r="W101" s="113"/>
      <c r="X101" s="283">
        <v>-4</v>
      </c>
      <c r="Y101" s="264"/>
      <c r="Z101" s="282">
        <v>0</v>
      </c>
      <c r="AA101" s="293">
        <v>0</v>
      </c>
      <c r="AB101" s="284"/>
      <c r="AC101" s="265">
        <v>202</v>
      </c>
      <c r="AD101" s="294">
        <v>226</v>
      </c>
      <c r="AE101" s="265">
        <v>236</v>
      </c>
      <c r="AF101" s="294">
        <v>192</v>
      </c>
      <c r="AG101" s="265">
        <v>318</v>
      </c>
      <c r="AH101" s="294">
        <v>110</v>
      </c>
      <c r="AI101" s="292">
        <v>356</v>
      </c>
      <c r="AJ101" s="294">
        <v>72</v>
      </c>
      <c r="AK101" s="265">
        <v>428</v>
      </c>
      <c r="AL101" s="294">
        <v>0</v>
      </c>
      <c r="AN101" s="283">
        <v>0</v>
      </c>
      <c r="AO101" s="284"/>
      <c r="AP101" s="282">
        <v>0</v>
      </c>
      <c r="AQ101" s="293">
        <v>0</v>
      </c>
      <c r="AR101" s="284"/>
      <c r="AS101" s="282">
        <v>0</v>
      </c>
      <c r="AT101" s="315">
        <v>0</v>
      </c>
      <c r="AU101" s="282">
        <v>0</v>
      </c>
      <c r="AV101" s="315">
        <v>0</v>
      </c>
      <c r="AW101" s="282">
        <v>0</v>
      </c>
      <c r="AX101" s="315">
        <v>0</v>
      </c>
      <c r="AY101" s="282">
        <v>0</v>
      </c>
      <c r="AZ101" s="315">
        <v>0</v>
      </c>
      <c r="BA101" s="282">
        <v>0</v>
      </c>
      <c r="BB101" s="315">
        <v>0</v>
      </c>
    </row>
    <row r="102" spans="2:54">
      <c r="B102" s="273" t="s">
        <v>183</v>
      </c>
      <c r="C102" s="123" t="s">
        <v>601</v>
      </c>
      <c r="D102" s="189">
        <v>364</v>
      </c>
      <c r="E102" s="520">
        <v>3.25</v>
      </c>
      <c r="F102" s="236" t="s">
        <v>190</v>
      </c>
      <c r="G102" s="236" t="s">
        <v>178</v>
      </c>
      <c r="H102" s="295">
        <v>373</v>
      </c>
      <c r="I102" s="264"/>
      <c r="J102" s="267" t="s">
        <v>15</v>
      </c>
      <c r="K102" s="297" t="s">
        <v>15</v>
      </c>
      <c r="L102" s="298"/>
      <c r="M102" s="237">
        <v>0</v>
      </c>
      <c r="N102" s="314">
        <v>8.8000000000000007</v>
      </c>
      <c r="O102" s="237">
        <v>0</v>
      </c>
      <c r="P102" s="314">
        <v>7.4</v>
      </c>
      <c r="Q102" s="237">
        <v>0</v>
      </c>
      <c r="R102" s="314">
        <v>4.0999999999999996</v>
      </c>
      <c r="S102" s="509">
        <v>0</v>
      </c>
      <c r="T102" s="314">
        <v>2.4</v>
      </c>
      <c r="U102" s="237">
        <v>0</v>
      </c>
      <c r="V102" s="314">
        <v>0</v>
      </c>
      <c r="W102" s="109"/>
      <c r="X102" s="268">
        <v>-9</v>
      </c>
      <c r="Y102" s="264"/>
      <c r="Z102" s="267">
        <v>0</v>
      </c>
      <c r="AA102" s="297">
        <v>0</v>
      </c>
      <c r="AB102" s="284"/>
      <c r="AC102" s="267">
        <v>153</v>
      </c>
      <c r="AD102" s="297">
        <v>211</v>
      </c>
      <c r="AE102" s="267">
        <v>186</v>
      </c>
      <c r="AF102" s="297">
        <v>178</v>
      </c>
      <c r="AG102" s="267">
        <v>266</v>
      </c>
      <c r="AH102" s="297">
        <v>98</v>
      </c>
      <c r="AI102" s="296">
        <v>306</v>
      </c>
      <c r="AJ102" s="297">
        <v>58</v>
      </c>
      <c r="AK102" s="267">
        <v>364</v>
      </c>
      <c r="AL102" s="297">
        <v>0</v>
      </c>
      <c r="AN102" s="283">
        <v>6</v>
      </c>
      <c r="AO102" s="284"/>
      <c r="AP102" s="282">
        <v>0</v>
      </c>
      <c r="AQ102" s="293">
        <v>0</v>
      </c>
      <c r="AR102" s="284"/>
      <c r="AS102" s="282">
        <v>0</v>
      </c>
      <c r="AT102" s="315">
        <v>0.40000000000000036</v>
      </c>
      <c r="AU102" s="282">
        <v>0</v>
      </c>
      <c r="AV102" s="315">
        <v>0.40000000000000036</v>
      </c>
      <c r="AW102" s="282">
        <v>0</v>
      </c>
      <c r="AX102" s="315">
        <v>0.49999999999999956</v>
      </c>
      <c r="AY102" s="282">
        <v>0</v>
      </c>
      <c r="AZ102" s="315">
        <v>0.39999999999999991</v>
      </c>
      <c r="BA102" s="282">
        <v>0</v>
      </c>
      <c r="BB102" s="315">
        <v>0</v>
      </c>
    </row>
    <row r="103" spans="2:54" s="109" customFormat="1">
      <c r="B103" s="280" t="s">
        <v>183</v>
      </c>
      <c r="C103" s="281" t="s">
        <v>551</v>
      </c>
      <c r="D103" s="188">
        <v>524</v>
      </c>
      <c r="E103" s="519">
        <v>3.25</v>
      </c>
      <c r="F103" s="233" t="s">
        <v>190</v>
      </c>
      <c r="G103" s="233" t="s">
        <v>178</v>
      </c>
      <c r="H103" s="232">
        <v>518</v>
      </c>
      <c r="I103" s="264"/>
      <c r="J103" s="282" t="s">
        <v>15</v>
      </c>
      <c r="K103" s="293" t="s">
        <v>15</v>
      </c>
      <c r="L103" s="298"/>
      <c r="M103" s="517">
        <v>39</v>
      </c>
      <c r="N103" s="518">
        <v>11.9</v>
      </c>
      <c r="O103" s="517">
        <v>19</v>
      </c>
      <c r="P103" s="518">
        <v>11.1</v>
      </c>
      <c r="Q103" s="517">
        <v>0</v>
      </c>
      <c r="R103" s="518">
        <v>8.6</v>
      </c>
      <c r="S103" s="329">
        <v>0</v>
      </c>
      <c r="T103" s="518">
        <v>7</v>
      </c>
      <c r="U103" s="517">
        <v>0</v>
      </c>
      <c r="V103" s="518">
        <v>2.2999999999999998</v>
      </c>
      <c r="W103" s="113"/>
      <c r="X103" s="283">
        <v>6</v>
      </c>
      <c r="Y103" s="264"/>
      <c r="Z103" s="282">
        <v>0</v>
      </c>
      <c r="AA103" s="293">
        <v>0</v>
      </c>
      <c r="AB103" s="284"/>
      <c r="AC103" s="265">
        <v>199</v>
      </c>
      <c r="AD103" s="294">
        <v>286</v>
      </c>
      <c r="AE103" s="265">
        <v>239</v>
      </c>
      <c r="AF103" s="294">
        <v>266</v>
      </c>
      <c r="AG103" s="265">
        <v>318</v>
      </c>
      <c r="AH103" s="294">
        <v>206</v>
      </c>
      <c r="AI103" s="292">
        <v>356</v>
      </c>
      <c r="AJ103" s="294">
        <v>168</v>
      </c>
      <c r="AK103" s="265">
        <v>469</v>
      </c>
      <c r="AL103" s="294">
        <v>55</v>
      </c>
      <c r="AN103" s="283">
        <v>0</v>
      </c>
      <c r="AO103" s="284"/>
      <c r="AP103" s="282">
        <v>0</v>
      </c>
      <c r="AQ103" s="293">
        <v>0</v>
      </c>
      <c r="AR103" s="284"/>
      <c r="AS103" s="282">
        <v>0</v>
      </c>
      <c r="AT103" s="315">
        <v>0</v>
      </c>
      <c r="AU103" s="282">
        <v>0</v>
      </c>
      <c r="AV103" s="315">
        <v>0</v>
      </c>
      <c r="AW103" s="282">
        <v>0</v>
      </c>
      <c r="AX103" s="315">
        <v>0</v>
      </c>
      <c r="AY103" s="282">
        <v>0</v>
      </c>
      <c r="AZ103" s="315">
        <v>0</v>
      </c>
      <c r="BA103" s="282">
        <v>0</v>
      </c>
      <c r="BB103" s="315">
        <v>0</v>
      </c>
    </row>
    <row r="104" spans="2:54">
      <c r="B104" s="273" t="s">
        <v>64</v>
      </c>
      <c r="C104" s="286" t="s">
        <v>383</v>
      </c>
      <c r="D104" s="189">
        <v>74</v>
      </c>
      <c r="E104" s="520">
        <v>1.1000000000000001</v>
      </c>
      <c r="F104" s="236" t="s">
        <v>284</v>
      </c>
      <c r="G104" s="236" t="s">
        <v>15</v>
      </c>
      <c r="H104" s="295" t="s">
        <v>15</v>
      </c>
      <c r="I104" s="264"/>
      <c r="J104" s="267" t="s">
        <v>15</v>
      </c>
      <c r="K104" s="297" t="s">
        <v>15</v>
      </c>
      <c r="L104" s="298"/>
      <c r="M104" s="237" t="s">
        <v>15</v>
      </c>
      <c r="N104" s="314" t="s">
        <v>15</v>
      </c>
      <c r="O104" s="237" t="s">
        <v>15</v>
      </c>
      <c r="P104" s="314" t="s">
        <v>15</v>
      </c>
      <c r="Q104" s="237" t="s">
        <v>15</v>
      </c>
      <c r="R104" s="314" t="s">
        <v>15</v>
      </c>
      <c r="S104" s="509" t="s">
        <v>15</v>
      </c>
      <c r="T104" s="314" t="s">
        <v>15</v>
      </c>
      <c r="U104" s="237" t="s">
        <v>15</v>
      </c>
      <c r="V104" s="314" t="s">
        <v>15</v>
      </c>
      <c r="W104" s="109"/>
      <c r="X104" s="268">
        <v>0</v>
      </c>
      <c r="Y104" s="264"/>
      <c r="Z104" s="267">
        <v>0</v>
      </c>
      <c r="AA104" s="297">
        <v>0</v>
      </c>
      <c r="AB104" s="284"/>
      <c r="AC104" s="267">
        <v>0</v>
      </c>
      <c r="AD104" s="297">
        <v>0</v>
      </c>
      <c r="AE104" s="267">
        <v>0</v>
      </c>
      <c r="AF104" s="297">
        <v>0</v>
      </c>
      <c r="AG104" s="267">
        <v>0</v>
      </c>
      <c r="AH104" s="297">
        <v>0</v>
      </c>
      <c r="AI104" s="296">
        <v>0</v>
      </c>
      <c r="AJ104" s="297">
        <v>0</v>
      </c>
      <c r="AK104" s="267">
        <v>0</v>
      </c>
      <c r="AL104" s="297">
        <v>0</v>
      </c>
      <c r="AN104" s="283">
        <v>0</v>
      </c>
      <c r="AO104" s="284"/>
      <c r="AP104" s="282">
        <v>0</v>
      </c>
      <c r="AQ104" s="293">
        <v>0</v>
      </c>
      <c r="AR104" s="284"/>
      <c r="AS104" s="282">
        <v>0</v>
      </c>
      <c r="AT104" s="315">
        <v>0</v>
      </c>
      <c r="AU104" s="282">
        <v>0</v>
      </c>
      <c r="AV104" s="315">
        <v>0</v>
      </c>
      <c r="AW104" s="282">
        <v>0</v>
      </c>
      <c r="AX104" s="315">
        <v>0</v>
      </c>
      <c r="AY104" s="282">
        <v>0</v>
      </c>
      <c r="AZ104" s="315">
        <v>0</v>
      </c>
      <c r="BA104" s="282">
        <v>0</v>
      </c>
      <c r="BB104" s="315">
        <v>0</v>
      </c>
    </row>
    <row r="105" spans="2:54" s="109" customFormat="1">
      <c r="B105" s="280" t="s">
        <v>64</v>
      </c>
      <c r="C105" s="281" t="s">
        <v>555</v>
      </c>
      <c r="D105" s="188">
        <v>70</v>
      </c>
      <c r="E105" s="519">
        <v>1.1000000000000001</v>
      </c>
      <c r="F105" s="233" t="s">
        <v>284</v>
      </c>
      <c r="G105" s="233" t="s">
        <v>15</v>
      </c>
      <c r="H105" s="232" t="s">
        <v>15</v>
      </c>
      <c r="I105" s="264"/>
      <c r="J105" s="282" t="s">
        <v>15</v>
      </c>
      <c r="K105" s="293" t="s">
        <v>15</v>
      </c>
      <c r="L105" s="298"/>
      <c r="M105" s="517" t="s">
        <v>15</v>
      </c>
      <c r="N105" s="518" t="s">
        <v>15</v>
      </c>
      <c r="O105" s="517" t="s">
        <v>15</v>
      </c>
      <c r="P105" s="518" t="s">
        <v>15</v>
      </c>
      <c r="Q105" s="517" t="s">
        <v>15</v>
      </c>
      <c r="R105" s="518" t="s">
        <v>15</v>
      </c>
      <c r="S105" s="329" t="s">
        <v>15</v>
      </c>
      <c r="T105" s="518" t="s">
        <v>15</v>
      </c>
      <c r="U105" s="517" t="s">
        <v>15</v>
      </c>
      <c r="V105" s="518" t="s">
        <v>15</v>
      </c>
      <c r="W105" s="113"/>
      <c r="X105" s="283">
        <v>0</v>
      </c>
      <c r="Y105" s="264"/>
      <c r="Z105" s="282">
        <v>0</v>
      </c>
      <c r="AA105" s="293">
        <v>0</v>
      </c>
      <c r="AB105" s="284"/>
      <c r="AC105" s="265">
        <v>0</v>
      </c>
      <c r="AD105" s="294">
        <v>0</v>
      </c>
      <c r="AE105" s="265">
        <v>0</v>
      </c>
      <c r="AF105" s="294">
        <v>0</v>
      </c>
      <c r="AG105" s="265">
        <v>0</v>
      </c>
      <c r="AH105" s="294">
        <v>0</v>
      </c>
      <c r="AI105" s="292">
        <v>0</v>
      </c>
      <c r="AJ105" s="294">
        <v>0</v>
      </c>
      <c r="AK105" s="265">
        <v>0</v>
      </c>
      <c r="AL105" s="294">
        <v>0</v>
      </c>
      <c r="AN105" s="283">
        <v>0</v>
      </c>
      <c r="AO105" s="284"/>
      <c r="AP105" s="282">
        <v>0</v>
      </c>
      <c r="AQ105" s="293">
        <v>0</v>
      </c>
      <c r="AR105" s="284"/>
      <c r="AS105" s="282">
        <v>0</v>
      </c>
      <c r="AT105" s="315">
        <v>0</v>
      </c>
      <c r="AU105" s="282">
        <v>0</v>
      </c>
      <c r="AV105" s="315">
        <v>0</v>
      </c>
      <c r="AW105" s="282">
        <v>0</v>
      </c>
      <c r="AX105" s="315">
        <v>0</v>
      </c>
      <c r="AY105" s="282">
        <v>0</v>
      </c>
      <c r="AZ105" s="315">
        <v>0</v>
      </c>
      <c r="BA105" s="282">
        <v>0</v>
      </c>
      <c r="BB105" s="315">
        <v>0</v>
      </c>
    </row>
    <row r="106" spans="2:54">
      <c r="B106" s="273" t="s">
        <v>64</v>
      </c>
      <c r="C106" s="286" t="s">
        <v>556</v>
      </c>
      <c r="D106" s="189">
        <v>0</v>
      </c>
      <c r="E106" s="520">
        <v>1.1000000000000001</v>
      </c>
      <c r="F106" s="236" t="s">
        <v>284</v>
      </c>
      <c r="G106" s="236" t="s">
        <v>15</v>
      </c>
      <c r="H106" s="295" t="s">
        <v>15</v>
      </c>
      <c r="I106" s="264"/>
      <c r="J106" s="267" t="s">
        <v>15</v>
      </c>
      <c r="K106" s="297" t="s">
        <v>15</v>
      </c>
      <c r="L106" s="298"/>
      <c r="M106" s="237" t="s">
        <v>15</v>
      </c>
      <c r="N106" s="314" t="s">
        <v>15</v>
      </c>
      <c r="O106" s="237" t="s">
        <v>15</v>
      </c>
      <c r="P106" s="314" t="s">
        <v>15</v>
      </c>
      <c r="Q106" s="237" t="s">
        <v>15</v>
      </c>
      <c r="R106" s="314" t="s">
        <v>15</v>
      </c>
      <c r="S106" s="509" t="s">
        <v>15</v>
      </c>
      <c r="T106" s="314" t="s">
        <v>15</v>
      </c>
      <c r="U106" s="237" t="s">
        <v>15</v>
      </c>
      <c r="V106" s="314" t="s">
        <v>15</v>
      </c>
      <c r="W106" s="109"/>
      <c r="X106" s="268">
        <v>0</v>
      </c>
      <c r="Y106" s="264"/>
      <c r="Z106" s="267">
        <v>0</v>
      </c>
      <c r="AA106" s="297">
        <v>0</v>
      </c>
      <c r="AB106" s="284"/>
      <c r="AC106" s="267">
        <v>0</v>
      </c>
      <c r="AD106" s="297">
        <v>0</v>
      </c>
      <c r="AE106" s="267">
        <v>0</v>
      </c>
      <c r="AF106" s="297">
        <v>0</v>
      </c>
      <c r="AG106" s="267">
        <v>0</v>
      </c>
      <c r="AH106" s="297">
        <v>0</v>
      </c>
      <c r="AI106" s="296">
        <v>0</v>
      </c>
      <c r="AJ106" s="297">
        <v>0</v>
      </c>
      <c r="AK106" s="267">
        <v>0</v>
      </c>
      <c r="AL106" s="297">
        <v>0</v>
      </c>
      <c r="AN106" s="283">
        <v>0</v>
      </c>
      <c r="AO106" s="284"/>
      <c r="AP106" s="282">
        <v>0</v>
      </c>
      <c r="AQ106" s="293">
        <v>0</v>
      </c>
      <c r="AR106" s="284"/>
      <c r="AS106" s="282">
        <v>0</v>
      </c>
      <c r="AT106" s="315">
        <v>0</v>
      </c>
      <c r="AU106" s="282">
        <v>0</v>
      </c>
      <c r="AV106" s="315">
        <v>0</v>
      </c>
      <c r="AW106" s="282">
        <v>0</v>
      </c>
      <c r="AX106" s="315">
        <v>0</v>
      </c>
      <c r="AY106" s="282">
        <v>0</v>
      </c>
      <c r="AZ106" s="315">
        <v>0</v>
      </c>
      <c r="BA106" s="282">
        <v>0</v>
      </c>
      <c r="BB106" s="315">
        <v>0</v>
      </c>
    </row>
    <row r="107" spans="2:54" s="109" customFormat="1">
      <c r="B107" s="280" t="s">
        <v>64</v>
      </c>
      <c r="C107" s="281" t="s">
        <v>331</v>
      </c>
      <c r="D107" s="188">
        <v>104</v>
      </c>
      <c r="E107" s="519">
        <v>1.1000000000000001</v>
      </c>
      <c r="F107" s="233" t="s">
        <v>284</v>
      </c>
      <c r="G107" s="233" t="s">
        <v>15</v>
      </c>
      <c r="H107" s="232" t="s">
        <v>15</v>
      </c>
      <c r="I107" s="264"/>
      <c r="J107" s="282" t="s">
        <v>15</v>
      </c>
      <c r="K107" s="293" t="s">
        <v>15</v>
      </c>
      <c r="L107" s="298"/>
      <c r="M107" s="517" t="s">
        <v>15</v>
      </c>
      <c r="N107" s="518" t="s">
        <v>15</v>
      </c>
      <c r="O107" s="517" t="s">
        <v>15</v>
      </c>
      <c r="P107" s="518" t="s">
        <v>15</v>
      </c>
      <c r="Q107" s="517" t="s">
        <v>15</v>
      </c>
      <c r="R107" s="518" t="s">
        <v>15</v>
      </c>
      <c r="S107" s="329" t="s">
        <v>15</v>
      </c>
      <c r="T107" s="518" t="s">
        <v>15</v>
      </c>
      <c r="U107" s="517" t="s">
        <v>15</v>
      </c>
      <c r="V107" s="518" t="s">
        <v>15</v>
      </c>
      <c r="W107" s="113"/>
      <c r="X107" s="283">
        <v>0</v>
      </c>
      <c r="Y107" s="264"/>
      <c r="Z107" s="282">
        <v>0</v>
      </c>
      <c r="AA107" s="293">
        <v>0</v>
      </c>
      <c r="AB107" s="284"/>
      <c r="AC107" s="265">
        <v>0</v>
      </c>
      <c r="AD107" s="294">
        <v>0</v>
      </c>
      <c r="AE107" s="265">
        <v>0</v>
      </c>
      <c r="AF107" s="294">
        <v>0</v>
      </c>
      <c r="AG107" s="265">
        <v>0</v>
      </c>
      <c r="AH107" s="294">
        <v>0</v>
      </c>
      <c r="AI107" s="292">
        <v>0</v>
      </c>
      <c r="AJ107" s="294">
        <v>0</v>
      </c>
      <c r="AK107" s="265">
        <v>0</v>
      </c>
      <c r="AL107" s="294">
        <v>0</v>
      </c>
      <c r="AN107" s="283">
        <v>0</v>
      </c>
      <c r="AO107" s="284"/>
      <c r="AP107" s="282">
        <v>0</v>
      </c>
      <c r="AQ107" s="293">
        <v>0</v>
      </c>
      <c r="AR107" s="284"/>
      <c r="AS107" s="282">
        <v>0</v>
      </c>
      <c r="AT107" s="315">
        <v>0</v>
      </c>
      <c r="AU107" s="282">
        <v>0</v>
      </c>
      <c r="AV107" s="315">
        <v>0</v>
      </c>
      <c r="AW107" s="282">
        <v>0</v>
      </c>
      <c r="AX107" s="315">
        <v>0</v>
      </c>
      <c r="AY107" s="282">
        <v>0</v>
      </c>
      <c r="AZ107" s="315">
        <v>0</v>
      </c>
      <c r="BA107" s="282">
        <v>0</v>
      </c>
      <c r="BB107" s="315">
        <v>0</v>
      </c>
    </row>
    <row r="108" spans="2:54">
      <c r="B108" s="273" t="s">
        <v>64</v>
      </c>
      <c r="C108" s="286" t="s">
        <v>332</v>
      </c>
      <c r="D108" s="189">
        <v>0</v>
      </c>
      <c r="E108" s="520">
        <v>1.1000000000000001</v>
      </c>
      <c r="F108" s="236" t="s">
        <v>284</v>
      </c>
      <c r="G108" s="236" t="s">
        <v>15</v>
      </c>
      <c r="H108" s="295" t="s">
        <v>15</v>
      </c>
      <c r="I108" s="264"/>
      <c r="J108" s="267" t="s">
        <v>15</v>
      </c>
      <c r="K108" s="297" t="s">
        <v>15</v>
      </c>
      <c r="L108" s="298"/>
      <c r="M108" s="237" t="s">
        <v>15</v>
      </c>
      <c r="N108" s="314" t="s">
        <v>15</v>
      </c>
      <c r="O108" s="237" t="s">
        <v>15</v>
      </c>
      <c r="P108" s="314" t="s">
        <v>15</v>
      </c>
      <c r="Q108" s="237" t="s">
        <v>15</v>
      </c>
      <c r="R108" s="314" t="s">
        <v>15</v>
      </c>
      <c r="S108" s="509" t="s">
        <v>15</v>
      </c>
      <c r="T108" s="314" t="s">
        <v>15</v>
      </c>
      <c r="U108" s="237" t="s">
        <v>15</v>
      </c>
      <c r="V108" s="314" t="s">
        <v>15</v>
      </c>
      <c r="W108" s="109"/>
      <c r="X108" s="268">
        <v>0</v>
      </c>
      <c r="Y108" s="264"/>
      <c r="Z108" s="267">
        <v>0</v>
      </c>
      <c r="AA108" s="297">
        <v>0</v>
      </c>
      <c r="AB108" s="284"/>
      <c r="AC108" s="267">
        <v>0</v>
      </c>
      <c r="AD108" s="297">
        <v>0</v>
      </c>
      <c r="AE108" s="267">
        <v>0</v>
      </c>
      <c r="AF108" s="297">
        <v>0</v>
      </c>
      <c r="AG108" s="267">
        <v>0</v>
      </c>
      <c r="AH108" s="297">
        <v>0</v>
      </c>
      <c r="AI108" s="296">
        <v>0</v>
      </c>
      <c r="AJ108" s="297">
        <v>0</v>
      </c>
      <c r="AK108" s="267">
        <v>0</v>
      </c>
      <c r="AL108" s="297">
        <v>0</v>
      </c>
      <c r="AN108" s="283">
        <v>0</v>
      </c>
      <c r="AO108" s="284"/>
      <c r="AP108" s="282">
        <v>0</v>
      </c>
      <c r="AQ108" s="293">
        <v>0</v>
      </c>
      <c r="AR108" s="284"/>
      <c r="AS108" s="282">
        <v>0</v>
      </c>
      <c r="AT108" s="315">
        <v>0</v>
      </c>
      <c r="AU108" s="282">
        <v>0</v>
      </c>
      <c r="AV108" s="315">
        <v>0</v>
      </c>
      <c r="AW108" s="282">
        <v>0</v>
      </c>
      <c r="AX108" s="315">
        <v>0</v>
      </c>
      <c r="AY108" s="282">
        <v>0</v>
      </c>
      <c r="AZ108" s="315">
        <v>0</v>
      </c>
      <c r="BA108" s="282">
        <v>0</v>
      </c>
      <c r="BB108" s="315">
        <v>0</v>
      </c>
    </row>
    <row r="109" spans="2:54" s="109" customFormat="1">
      <c r="B109" s="280" t="s">
        <v>64</v>
      </c>
      <c r="C109" s="281" t="s">
        <v>196</v>
      </c>
      <c r="D109" s="188">
        <v>0</v>
      </c>
      <c r="E109" s="519">
        <v>1.1000000000000001</v>
      </c>
      <c r="F109" s="233" t="s">
        <v>284</v>
      </c>
      <c r="G109" s="233" t="s">
        <v>15</v>
      </c>
      <c r="H109" s="232" t="s">
        <v>15</v>
      </c>
      <c r="I109" s="264"/>
      <c r="J109" s="282" t="s">
        <v>15</v>
      </c>
      <c r="K109" s="293" t="s">
        <v>15</v>
      </c>
      <c r="L109" s="298"/>
      <c r="M109" s="517" t="s">
        <v>15</v>
      </c>
      <c r="N109" s="518" t="s">
        <v>15</v>
      </c>
      <c r="O109" s="517" t="s">
        <v>15</v>
      </c>
      <c r="P109" s="518" t="s">
        <v>15</v>
      </c>
      <c r="Q109" s="517" t="s">
        <v>15</v>
      </c>
      <c r="R109" s="518" t="s">
        <v>15</v>
      </c>
      <c r="S109" s="329" t="s">
        <v>15</v>
      </c>
      <c r="T109" s="518" t="s">
        <v>15</v>
      </c>
      <c r="U109" s="517" t="s">
        <v>15</v>
      </c>
      <c r="V109" s="518" t="s">
        <v>15</v>
      </c>
      <c r="W109" s="113"/>
      <c r="X109" s="283">
        <v>0</v>
      </c>
      <c r="Y109" s="264"/>
      <c r="Z109" s="282">
        <v>0</v>
      </c>
      <c r="AA109" s="293">
        <v>0</v>
      </c>
      <c r="AB109" s="284"/>
      <c r="AC109" s="265">
        <v>0</v>
      </c>
      <c r="AD109" s="294">
        <v>0</v>
      </c>
      <c r="AE109" s="265">
        <v>0</v>
      </c>
      <c r="AF109" s="294">
        <v>0</v>
      </c>
      <c r="AG109" s="265">
        <v>0</v>
      </c>
      <c r="AH109" s="294">
        <v>0</v>
      </c>
      <c r="AI109" s="292">
        <v>0</v>
      </c>
      <c r="AJ109" s="294">
        <v>0</v>
      </c>
      <c r="AK109" s="265">
        <v>0</v>
      </c>
      <c r="AL109" s="294">
        <v>0</v>
      </c>
      <c r="AN109" s="283">
        <v>0</v>
      </c>
      <c r="AO109" s="284"/>
      <c r="AP109" s="282">
        <v>0</v>
      </c>
      <c r="AQ109" s="293">
        <v>0</v>
      </c>
      <c r="AR109" s="284"/>
      <c r="AS109" s="282">
        <v>0</v>
      </c>
      <c r="AT109" s="315">
        <v>0</v>
      </c>
      <c r="AU109" s="282">
        <v>0</v>
      </c>
      <c r="AV109" s="315">
        <v>0</v>
      </c>
      <c r="AW109" s="282">
        <v>0</v>
      </c>
      <c r="AX109" s="315">
        <v>0</v>
      </c>
      <c r="AY109" s="282">
        <v>0</v>
      </c>
      <c r="AZ109" s="315">
        <v>0</v>
      </c>
      <c r="BA109" s="282">
        <v>0</v>
      </c>
      <c r="BB109" s="315">
        <v>0</v>
      </c>
    </row>
    <row r="110" spans="2:54">
      <c r="B110" s="273" t="s">
        <v>64</v>
      </c>
      <c r="C110" s="286" t="s">
        <v>633</v>
      </c>
      <c r="D110" s="189">
        <v>115</v>
      </c>
      <c r="E110" s="520">
        <v>1.1000000000000001</v>
      </c>
      <c r="F110" s="236" t="s">
        <v>284</v>
      </c>
      <c r="G110" s="236" t="s">
        <v>15</v>
      </c>
      <c r="H110" s="295" t="s">
        <v>15</v>
      </c>
      <c r="I110" s="264"/>
      <c r="J110" s="267" t="s">
        <v>15</v>
      </c>
      <c r="K110" s="297" t="s">
        <v>15</v>
      </c>
      <c r="L110" s="298"/>
      <c r="M110" s="237" t="s">
        <v>15</v>
      </c>
      <c r="N110" s="314" t="s">
        <v>15</v>
      </c>
      <c r="O110" s="237" t="s">
        <v>15</v>
      </c>
      <c r="P110" s="314" t="s">
        <v>15</v>
      </c>
      <c r="Q110" s="237" t="s">
        <v>15</v>
      </c>
      <c r="R110" s="314" t="s">
        <v>15</v>
      </c>
      <c r="S110" s="509" t="s">
        <v>15</v>
      </c>
      <c r="T110" s="314" t="s">
        <v>15</v>
      </c>
      <c r="U110" s="237" t="s">
        <v>15</v>
      </c>
      <c r="V110" s="314" t="s">
        <v>15</v>
      </c>
      <c r="W110" s="109"/>
      <c r="X110" s="268">
        <v>0</v>
      </c>
      <c r="Y110" s="264"/>
      <c r="Z110" s="267">
        <v>0</v>
      </c>
      <c r="AA110" s="297">
        <v>0</v>
      </c>
      <c r="AB110" s="284"/>
      <c r="AC110" s="267">
        <v>0</v>
      </c>
      <c r="AD110" s="297">
        <v>0</v>
      </c>
      <c r="AE110" s="267">
        <v>0</v>
      </c>
      <c r="AF110" s="297">
        <v>0</v>
      </c>
      <c r="AG110" s="267">
        <v>0</v>
      </c>
      <c r="AH110" s="297">
        <v>0</v>
      </c>
      <c r="AI110" s="296">
        <v>0</v>
      </c>
      <c r="AJ110" s="297">
        <v>0</v>
      </c>
      <c r="AK110" s="267">
        <v>0</v>
      </c>
      <c r="AL110" s="297">
        <v>0</v>
      </c>
      <c r="AN110" s="283">
        <v>0</v>
      </c>
      <c r="AO110" s="284"/>
      <c r="AP110" s="282">
        <v>0</v>
      </c>
      <c r="AQ110" s="293">
        <v>0</v>
      </c>
      <c r="AR110" s="284"/>
      <c r="AS110" s="282">
        <v>0</v>
      </c>
      <c r="AT110" s="315">
        <v>0</v>
      </c>
      <c r="AU110" s="282">
        <v>0</v>
      </c>
      <c r="AV110" s="315">
        <v>0</v>
      </c>
      <c r="AW110" s="282">
        <v>0</v>
      </c>
      <c r="AX110" s="315">
        <v>0</v>
      </c>
      <c r="AY110" s="282">
        <v>0</v>
      </c>
      <c r="AZ110" s="315">
        <v>0</v>
      </c>
      <c r="BA110" s="282">
        <v>0</v>
      </c>
      <c r="BB110" s="315">
        <v>0</v>
      </c>
    </row>
    <row r="111" spans="2:54" s="109" customFormat="1">
      <c r="B111" s="280" t="s">
        <v>64</v>
      </c>
      <c r="C111" s="281" t="s">
        <v>634</v>
      </c>
      <c r="D111" s="188">
        <v>0</v>
      </c>
      <c r="E111" s="519">
        <v>1.1000000000000001</v>
      </c>
      <c r="F111" s="233" t="s">
        <v>284</v>
      </c>
      <c r="G111" s="233" t="s">
        <v>15</v>
      </c>
      <c r="H111" s="232" t="s">
        <v>15</v>
      </c>
      <c r="I111" s="264"/>
      <c r="J111" s="282" t="s">
        <v>15</v>
      </c>
      <c r="K111" s="293" t="s">
        <v>15</v>
      </c>
      <c r="L111" s="298"/>
      <c r="M111" s="517" t="s">
        <v>15</v>
      </c>
      <c r="N111" s="518" t="s">
        <v>15</v>
      </c>
      <c r="O111" s="517" t="s">
        <v>15</v>
      </c>
      <c r="P111" s="518" t="s">
        <v>15</v>
      </c>
      <c r="Q111" s="517" t="s">
        <v>15</v>
      </c>
      <c r="R111" s="518" t="s">
        <v>15</v>
      </c>
      <c r="S111" s="329" t="s">
        <v>15</v>
      </c>
      <c r="T111" s="518" t="s">
        <v>15</v>
      </c>
      <c r="U111" s="517" t="s">
        <v>15</v>
      </c>
      <c r="V111" s="518" t="s">
        <v>15</v>
      </c>
      <c r="W111" s="113"/>
      <c r="X111" s="283">
        <v>0</v>
      </c>
      <c r="Y111" s="264"/>
      <c r="Z111" s="282">
        <v>0</v>
      </c>
      <c r="AA111" s="293">
        <v>0</v>
      </c>
      <c r="AB111" s="284"/>
      <c r="AC111" s="265">
        <v>0</v>
      </c>
      <c r="AD111" s="294">
        <v>0</v>
      </c>
      <c r="AE111" s="265">
        <v>0</v>
      </c>
      <c r="AF111" s="294">
        <v>0</v>
      </c>
      <c r="AG111" s="265">
        <v>0</v>
      </c>
      <c r="AH111" s="294">
        <v>0</v>
      </c>
      <c r="AI111" s="292">
        <v>0</v>
      </c>
      <c r="AJ111" s="294">
        <v>0</v>
      </c>
      <c r="AK111" s="265">
        <v>0</v>
      </c>
      <c r="AL111" s="294">
        <v>0</v>
      </c>
      <c r="AN111" s="283">
        <v>0</v>
      </c>
      <c r="AO111" s="284"/>
      <c r="AP111" s="282">
        <v>0</v>
      </c>
      <c r="AQ111" s="293">
        <v>0</v>
      </c>
      <c r="AR111" s="284"/>
      <c r="AS111" s="282">
        <v>0</v>
      </c>
      <c r="AT111" s="315">
        <v>0</v>
      </c>
      <c r="AU111" s="282">
        <v>0</v>
      </c>
      <c r="AV111" s="315">
        <v>0</v>
      </c>
      <c r="AW111" s="282">
        <v>0</v>
      </c>
      <c r="AX111" s="315">
        <v>0</v>
      </c>
      <c r="AY111" s="282">
        <v>0</v>
      </c>
      <c r="AZ111" s="315">
        <v>0</v>
      </c>
      <c r="BA111" s="282">
        <v>0</v>
      </c>
      <c r="BB111" s="315">
        <v>0</v>
      </c>
    </row>
    <row r="112" spans="2:54">
      <c r="B112" s="273" t="s">
        <v>116</v>
      </c>
      <c r="C112" s="286" t="s">
        <v>329</v>
      </c>
      <c r="D112" s="189">
        <v>547</v>
      </c>
      <c r="E112" s="520">
        <v>0</v>
      </c>
      <c r="F112" s="236" t="s">
        <v>460</v>
      </c>
      <c r="G112" s="236" t="s">
        <v>178</v>
      </c>
      <c r="H112" s="295">
        <v>499</v>
      </c>
      <c r="I112" s="264"/>
      <c r="J112" s="267" t="s">
        <v>15</v>
      </c>
      <c r="K112" s="297" t="s">
        <v>15</v>
      </c>
      <c r="L112" s="298"/>
      <c r="M112" s="237">
        <v>0</v>
      </c>
      <c r="N112" s="314">
        <v>18.399999999999999</v>
      </c>
      <c r="O112" s="237">
        <v>0</v>
      </c>
      <c r="P112" s="314">
        <v>17</v>
      </c>
      <c r="Q112" s="237">
        <v>0</v>
      </c>
      <c r="R112" s="314">
        <v>13.7</v>
      </c>
      <c r="S112" s="509">
        <v>0</v>
      </c>
      <c r="T112" s="314">
        <v>12.1</v>
      </c>
      <c r="U112" s="237">
        <v>0</v>
      </c>
      <c r="V112" s="314">
        <v>7.4</v>
      </c>
      <c r="W112" s="109"/>
      <c r="X112" s="268">
        <v>48</v>
      </c>
      <c r="Y112" s="264"/>
      <c r="Z112" s="267">
        <v>0</v>
      </c>
      <c r="AA112" s="297">
        <v>0</v>
      </c>
      <c r="AB112" s="284"/>
      <c r="AC112" s="267">
        <v>105</v>
      </c>
      <c r="AD112" s="297">
        <v>442</v>
      </c>
      <c r="AE112" s="267">
        <v>139</v>
      </c>
      <c r="AF112" s="297">
        <v>408</v>
      </c>
      <c r="AG112" s="267">
        <v>218</v>
      </c>
      <c r="AH112" s="297">
        <v>329</v>
      </c>
      <c r="AI112" s="296">
        <v>257</v>
      </c>
      <c r="AJ112" s="297">
        <v>290</v>
      </c>
      <c r="AK112" s="267">
        <v>369</v>
      </c>
      <c r="AL112" s="297">
        <v>178</v>
      </c>
      <c r="AN112" s="283">
        <v>0</v>
      </c>
      <c r="AO112" s="284"/>
      <c r="AP112" s="282">
        <v>0</v>
      </c>
      <c r="AQ112" s="293">
        <v>0</v>
      </c>
      <c r="AR112" s="284"/>
      <c r="AS112" s="282">
        <v>0</v>
      </c>
      <c r="AT112" s="315">
        <v>0</v>
      </c>
      <c r="AU112" s="282">
        <v>0</v>
      </c>
      <c r="AV112" s="315">
        <v>0</v>
      </c>
      <c r="AW112" s="282">
        <v>0</v>
      </c>
      <c r="AX112" s="315">
        <v>0</v>
      </c>
      <c r="AY112" s="282">
        <v>0</v>
      </c>
      <c r="AZ112" s="315">
        <v>0</v>
      </c>
      <c r="BA112" s="282">
        <v>0</v>
      </c>
      <c r="BB112" s="315">
        <v>0</v>
      </c>
    </row>
    <row r="113" spans="2:54" s="109" customFormat="1">
      <c r="B113" s="280" t="s">
        <v>65</v>
      </c>
      <c r="C113" s="281" t="s">
        <v>499</v>
      </c>
      <c r="D113" s="188">
        <v>186</v>
      </c>
      <c r="E113" s="519">
        <v>3.25</v>
      </c>
      <c r="F113" s="233" t="s">
        <v>190</v>
      </c>
      <c r="G113" s="233" t="s">
        <v>178</v>
      </c>
      <c r="H113" s="232">
        <v>201</v>
      </c>
      <c r="I113" s="264"/>
      <c r="J113" s="282" t="s">
        <v>15</v>
      </c>
      <c r="K113" s="293" t="s">
        <v>15</v>
      </c>
      <c r="L113" s="298"/>
      <c r="M113" s="517">
        <v>0</v>
      </c>
      <c r="N113" s="518">
        <v>5.7</v>
      </c>
      <c r="O113" s="517">
        <v>0</v>
      </c>
      <c r="P113" s="518">
        <v>4.3</v>
      </c>
      <c r="Q113" s="517">
        <v>0</v>
      </c>
      <c r="R113" s="518">
        <v>1</v>
      </c>
      <c r="S113" s="329">
        <v>0</v>
      </c>
      <c r="T113" s="518">
        <v>0</v>
      </c>
      <c r="U113" s="517">
        <v>0</v>
      </c>
      <c r="V113" s="518">
        <v>0</v>
      </c>
      <c r="W113" s="113"/>
      <c r="X113" s="283">
        <v>-15</v>
      </c>
      <c r="Y113" s="264"/>
      <c r="Z113" s="282">
        <v>0</v>
      </c>
      <c r="AA113" s="293">
        <v>0</v>
      </c>
      <c r="AB113" s="284"/>
      <c r="AC113" s="265">
        <v>49</v>
      </c>
      <c r="AD113" s="294">
        <v>137</v>
      </c>
      <c r="AE113" s="265">
        <v>83</v>
      </c>
      <c r="AF113" s="294">
        <v>103</v>
      </c>
      <c r="AG113" s="265">
        <v>162</v>
      </c>
      <c r="AH113" s="294">
        <v>24</v>
      </c>
      <c r="AI113" s="292">
        <v>186</v>
      </c>
      <c r="AJ113" s="294">
        <v>0</v>
      </c>
      <c r="AK113" s="265">
        <v>186</v>
      </c>
      <c r="AL113" s="294">
        <v>0</v>
      </c>
      <c r="AN113" s="283">
        <v>0</v>
      </c>
      <c r="AO113" s="284"/>
      <c r="AP113" s="282">
        <v>0</v>
      </c>
      <c r="AQ113" s="293">
        <v>0</v>
      </c>
      <c r="AR113" s="284"/>
      <c r="AS113" s="282">
        <v>0</v>
      </c>
      <c r="AT113" s="315">
        <v>0</v>
      </c>
      <c r="AU113" s="282">
        <v>0</v>
      </c>
      <c r="AV113" s="315">
        <v>0</v>
      </c>
      <c r="AW113" s="282">
        <v>0</v>
      </c>
      <c r="AX113" s="315">
        <v>0</v>
      </c>
      <c r="AY113" s="282">
        <v>0</v>
      </c>
      <c r="AZ113" s="315">
        <v>0</v>
      </c>
      <c r="BA113" s="282">
        <v>0</v>
      </c>
      <c r="BB113" s="315">
        <v>0</v>
      </c>
    </row>
    <row r="114" spans="2:54">
      <c r="B114" s="273" t="s">
        <v>65</v>
      </c>
      <c r="C114" s="286" t="s">
        <v>465</v>
      </c>
      <c r="D114" s="189">
        <v>215</v>
      </c>
      <c r="E114" s="520">
        <v>3.25</v>
      </c>
      <c r="F114" s="236" t="s">
        <v>190</v>
      </c>
      <c r="G114" s="236" t="s">
        <v>178</v>
      </c>
      <c r="H114" s="295">
        <v>231</v>
      </c>
      <c r="I114" s="264"/>
      <c r="J114" s="267" t="s">
        <v>15</v>
      </c>
      <c r="K114" s="297" t="s">
        <v>15</v>
      </c>
      <c r="L114" s="298"/>
      <c r="M114" s="237">
        <v>0</v>
      </c>
      <c r="N114" s="314">
        <v>6.8</v>
      </c>
      <c r="O114" s="237">
        <v>0</v>
      </c>
      <c r="P114" s="314">
        <v>5.4</v>
      </c>
      <c r="Q114" s="237">
        <v>0</v>
      </c>
      <c r="R114" s="314">
        <v>2.1</v>
      </c>
      <c r="S114" s="509">
        <v>0</v>
      </c>
      <c r="T114" s="314">
        <v>0</v>
      </c>
      <c r="U114" s="237">
        <v>0</v>
      </c>
      <c r="V114" s="314">
        <v>0</v>
      </c>
      <c r="W114" s="109"/>
      <c r="X114" s="268">
        <v>-16</v>
      </c>
      <c r="Y114" s="264"/>
      <c r="Z114" s="267">
        <v>0</v>
      </c>
      <c r="AA114" s="297">
        <v>0</v>
      </c>
      <c r="AB114" s="284"/>
      <c r="AC114" s="267">
        <v>52</v>
      </c>
      <c r="AD114" s="297">
        <v>163</v>
      </c>
      <c r="AE114" s="267">
        <v>85</v>
      </c>
      <c r="AF114" s="297">
        <v>130</v>
      </c>
      <c r="AG114" s="267">
        <v>165</v>
      </c>
      <c r="AH114" s="297">
        <v>50</v>
      </c>
      <c r="AI114" s="296">
        <v>215</v>
      </c>
      <c r="AJ114" s="297">
        <v>0</v>
      </c>
      <c r="AK114" s="267">
        <v>215</v>
      </c>
      <c r="AL114" s="297">
        <v>0</v>
      </c>
      <c r="AN114" s="283">
        <v>0</v>
      </c>
      <c r="AO114" s="284"/>
      <c r="AP114" s="282">
        <v>0</v>
      </c>
      <c r="AQ114" s="293">
        <v>0</v>
      </c>
      <c r="AR114" s="284"/>
      <c r="AS114" s="282">
        <v>0</v>
      </c>
      <c r="AT114" s="315">
        <v>0</v>
      </c>
      <c r="AU114" s="282">
        <v>0</v>
      </c>
      <c r="AV114" s="315">
        <v>0</v>
      </c>
      <c r="AW114" s="282">
        <v>0</v>
      </c>
      <c r="AX114" s="315">
        <v>0</v>
      </c>
      <c r="AY114" s="282">
        <v>0</v>
      </c>
      <c r="AZ114" s="315">
        <v>0</v>
      </c>
      <c r="BA114" s="282">
        <v>0</v>
      </c>
      <c r="BB114" s="315">
        <v>0</v>
      </c>
    </row>
    <row r="115" spans="2:54" s="109" customFormat="1">
      <c r="B115" s="280" t="s">
        <v>65</v>
      </c>
      <c r="C115" s="281" t="s">
        <v>614</v>
      </c>
      <c r="D115" s="188">
        <v>186</v>
      </c>
      <c r="E115" s="519">
        <v>3.25</v>
      </c>
      <c r="F115" s="233" t="s">
        <v>190</v>
      </c>
      <c r="G115" s="233" t="s">
        <v>178</v>
      </c>
      <c r="H115" s="232">
        <v>201</v>
      </c>
      <c r="I115" s="264"/>
      <c r="J115" s="282" t="s">
        <v>15</v>
      </c>
      <c r="K115" s="293" t="s">
        <v>15</v>
      </c>
      <c r="L115" s="298"/>
      <c r="M115" s="517">
        <v>0</v>
      </c>
      <c r="N115" s="518">
        <v>3.5</v>
      </c>
      <c r="O115" s="517">
        <v>0</v>
      </c>
      <c r="P115" s="518">
        <v>2.1</v>
      </c>
      <c r="Q115" s="517">
        <v>0</v>
      </c>
      <c r="R115" s="518">
        <v>0</v>
      </c>
      <c r="S115" s="329">
        <v>0</v>
      </c>
      <c r="T115" s="518">
        <v>0</v>
      </c>
      <c r="U115" s="517">
        <v>0</v>
      </c>
      <c r="V115" s="518">
        <v>0</v>
      </c>
      <c r="W115" s="113"/>
      <c r="X115" s="283">
        <v>-15</v>
      </c>
      <c r="Y115" s="264"/>
      <c r="Z115" s="282">
        <v>0</v>
      </c>
      <c r="AA115" s="293">
        <v>0</v>
      </c>
      <c r="AB115" s="284"/>
      <c r="AC115" s="265">
        <v>102</v>
      </c>
      <c r="AD115" s="294">
        <v>84</v>
      </c>
      <c r="AE115" s="265">
        <v>136</v>
      </c>
      <c r="AF115" s="294">
        <v>50</v>
      </c>
      <c r="AG115" s="265">
        <v>186</v>
      </c>
      <c r="AH115" s="294">
        <v>0</v>
      </c>
      <c r="AI115" s="292">
        <v>186</v>
      </c>
      <c r="AJ115" s="294">
        <v>0</v>
      </c>
      <c r="AK115" s="265">
        <v>186</v>
      </c>
      <c r="AL115" s="294">
        <v>0</v>
      </c>
      <c r="AN115" s="283">
        <v>0</v>
      </c>
      <c r="AO115" s="284"/>
      <c r="AP115" s="282">
        <v>0</v>
      </c>
      <c r="AQ115" s="293">
        <v>0</v>
      </c>
      <c r="AR115" s="284"/>
      <c r="AS115" s="282">
        <v>0</v>
      </c>
      <c r="AT115" s="315">
        <v>0</v>
      </c>
      <c r="AU115" s="282">
        <v>0</v>
      </c>
      <c r="AV115" s="315">
        <v>0</v>
      </c>
      <c r="AW115" s="282">
        <v>0</v>
      </c>
      <c r="AX115" s="315">
        <v>0</v>
      </c>
      <c r="AY115" s="282">
        <v>0</v>
      </c>
      <c r="AZ115" s="315">
        <v>0</v>
      </c>
      <c r="BA115" s="282">
        <v>0</v>
      </c>
      <c r="BB115" s="315">
        <v>0</v>
      </c>
    </row>
    <row r="116" spans="2:54">
      <c r="B116" s="273" t="s">
        <v>65</v>
      </c>
      <c r="C116" s="286" t="s">
        <v>615</v>
      </c>
      <c r="D116" s="189">
        <v>248</v>
      </c>
      <c r="E116" s="520">
        <v>3.25</v>
      </c>
      <c r="F116" s="236" t="s">
        <v>190</v>
      </c>
      <c r="G116" s="236" t="s">
        <v>178</v>
      </c>
      <c r="H116" s="295">
        <v>231</v>
      </c>
      <c r="I116" s="264"/>
      <c r="J116" s="267" t="s">
        <v>15</v>
      </c>
      <c r="K116" s="297" t="s">
        <v>15</v>
      </c>
      <c r="L116" s="298"/>
      <c r="M116" s="237">
        <v>0</v>
      </c>
      <c r="N116" s="314">
        <v>4.0999999999999996</v>
      </c>
      <c r="O116" s="237">
        <v>0</v>
      </c>
      <c r="P116" s="314">
        <v>2.7</v>
      </c>
      <c r="Q116" s="237">
        <v>0</v>
      </c>
      <c r="R116" s="314">
        <v>0</v>
      </c>
      <c r="S116" s="509">
        <v>0</v>
      </c>
      <c r="T116" s="314">
        <v>0</v>
      </c>
      <c r="U116" s="237">
        <v>0</v>
      </c>
      <c r="V116" s="314">
        <v>0</v>
      </c>
      <c r="W116" s="109"/>
      <c r="X116" s="268">
        <v>17</v>
      </c>
      <c r="Y116" s="264"/>
      <c r="Z116" s="267">
        <v>0</v>
      </c>
      <c r="AA116" s="297">
        <v>0</v>
      </c>
      <c r="AB116" s="284"/>
      <c r="AC116" s="267">
        <v>150</v>
      </c>
      <c r="AD116" s="297">
        <v>98</v>
      </c>
      <c r="AE116" s="267">
        <v>183</v>
      </c>
      <c r="AF116" s="297">
        <v>65</v>
      </c>
      <c r="AG116" s="267">
        <v>248</v>
      </c>
      <c r="AH116" s="297">
        <v>0</v>
      </c>
      <c r="AI116" s="296">
        <v>248</v>
      </c>
      <c r="AJ116" s="297">
        <v>0</v>
      </c>
      <c r="AK116" s="267">
        <v>248</v>
      </c>
      <c r="AL116" s="297">
        <v>0</v>
      </c>
      <c r="AN116" s="283">
        <v>-68</v>
      </c>
      <c r="AO116" s="284"/>
      <c r="AP116" s="282">
        <v>0</v>
      </c>
      <c r="AQ116" s="293">
        <v>0</v>
      </c>
      <c r="AR116" s="284"/>
      <c r="AS116" s="282">
        <v>0</v>
      </c>
      <c r="AT116" s="315">
        <v>0</v>
      </c>
      <c r="AU116" s="282">
        <v>0</v>
      </c>
      <c r="AV116" s="315">
        <v>0</v>
      </c>
      <c r="AW116" s="282">
        <v>0</v>
      </c>
      <c r="AX116" s="315">
        <v>0</v>
      </c>
      <c r="AY116" s="282">
        <v>0</v>
      </c>
      <c r="AZ116" s="315">
        <v>0</v>
      </c>
      <c r="BA116" s="282">
        <v>0</v>
      </c>
      <c r="BB116" s="315">
        <v>0</v>
      </c>
    </row>
    <row r="117" spans="2:54" s="109" customFormat="1">
      <c r="B117" s="280" t="s">
        <v>65</v>
      </c>
      <c r="C117" s="281" t="s">
        <v>466</v>
      </c>
      <c r="D117" s="190">
        <v>299</v>
      </c>
      <c r="E117" s="519">
        <v>3.25</v>
      </c>
      <c r="F117" s="233" t="s">
        <v>190</v>
      </c>
      <c r="G117" s="233" t="s">
        <v>178</v>
      </c>
      <c r="H117" s="232">
        <v>337</v>
      </c>
      <c r="I117" s="264"/>
      <c r="J117" s="282" t="s">
        <v>15</v>
      </c>
      <c r="K117" s="293" t="s">
        <v>15</v>
      </c>
      <c r="L117" s="298"/>
      <c r="M117" s="517">
        <v>0</v>
      </c>
      <c r="N117" s="518">
        <v>8.1</v>
      </c>
      <c r="O117" s="517">
        <v>0</v>
      </c>
      <c r="P117" s="518">
        <v>6.8</v>
      </c>
      <c r="Q117" s="517">
        <v>0</v>
      </c>
      <c r="R117" s="518">
        <v>3.4</v>
      </c>
      <c r="S117" s="329">
        <v>0</v>
      </c>
      <c r="T117" s="518">
        <v>1.8</v>
      </c>
      <c r="U117" s="517">
        <v>0</v>
      </c>
      <c r="V117" s="518">
        <v>0</v>
      </c>
      <c r="W117" s="113"/>
      <c r="X117" s="283">
        <v>-38</v>
      </c>
      <c r="Y117" s="264"/>
      <c r="Z117" s="282">
        <v>0</v>
      </c>
      <c r="AA117" s="293">
        <v>0</v>
      </c>
      <c r="AB117" s="284"/>
      <c r="AC117" s="265">
        <v>105</v>
      </c>
      <c r="AD117" s="294">
        <v>194</v>
      </c>
      <c r="AE117" s="265">
        <v>136</v>
      </c>
      <c r="AF117" s="294">
        <v>163</v>
      </c>
      <c r="AG117" s="265">
        <v>217</v>
      </c>
      <c r="AH117" s="294">
        <v>82</v>
      </c>
      <c r="AI117" s="292">
        <v>256</v>
      </c>
      <c r="AJ117" s="294">
        <v>43</v>
      </c>
      <c r="AK117" s="265">
        <v>299</v>
      </c>
      <c r="AL117" s="294">
        <v>0</v>
      </c>
      <c r="AN117" s="283">
        <v>0</v>
      </c>
      <c r="AO117" s="284"/>
      <c r="AP117" s="282">
        <v>0</v>
      </c>
      <c r="AQ117" s="293">
        <v>0</v>
      </c>
      <c r="AR117" s="284"/>
      <c r="AS117" s="282">
        <v>0</v>
      </c>
      <c r="AT117" s="315">
        <v>0</v>
      </c>
      <c r="AU117" s="282">
        <v>0</v>
      </c>
      <c r="AV117" s="315">
        <v>0</v>
      </c>
      <c r="AW117" s="282">
        <v>0</v>
      </c>
      <c r="AX117" s="315">
        <v>0</v>
      </c>
      <c r="AY117" s="282">
        <v>0</v>
      </c>
      <c r="AZ117" s="315">
        <v>0</v>
      </c>
      <c r="BA117" s="282">
        <v>0</v>
      </c>
      <c r="BB117" s="315">
        <v>0</v>
      </c>
    </row>
    <row r="118" spans="2:54">
      <c r="B118" s="273" t="s">
        <v>65</v>
      </c>
      <c r="C118" s="286" t="s">
        <v>513</v>
      </c>
      <c r="D118" s="189">
        <v>358</v>
      </c>
      <c r="E118" s="520">
        <v>3.25</v>
      </c>
      <c r="F118" s="236" t="s">
        <v>190</v>
      </c>
      <c r="G118" s="236" t="s">
        <v>178</v>
      </c>
      <c r="H118" s="295">
        <v>389</v>
      </c>
      <c r="I118" s="264"/>
      <c r="J118" s="267" t="s">
        <v>15</v>
      </c>
      <c r="K118" s="297" t="s">
        <v>15</v>
      </c>
      <c r="L118" s="298"/>
      <c r="M118" s="237">
        <v>0</v>
      </c>
      <c r="N118" s="314">
        <v>10</v>
      </c>
      <c r="O118" s="237">
        <v>0</v>
      </c>
      <c r="P118" s="314">
        <v>8.6</v>
      </c>
      <c r="Q118" s="237">
        <v>0</v>
      </c>
      <c r="R118" s="314">
        <v>5.3</v>
      </c>
      <c r="S118" s="509">
        <v>0</v>
      </c>
      <c r="T118" s="314">
        <v>3.7</v>
      </c>
      <c r="U118" s="237">
        <v>0</v>
      </c>
      <c r="V118" s="314">
        <v>0</v>
      </c>
      <c r="W118" s="109"/>
      <c r="X118" s="268">
        <v>-31</v>
      </c>
      <c r="Y118" s="264"/>
      <c r="Z118" s="267">
        <v>0</v>
      </c>
      <c r="AA118" s="297">
        <v>0</v>
      </c>
      <c r="AB118" s="284"/>
      <c r="AC118" s="267">
        <v>118</v>
      </c>
      <c r="AD118" s="297">
        <v>240</v>
      </c>
      <c r="AE118" s="267">
        <v>152</v>
      </c>
      <c r="AF118" s="297">
        <v>206</v>
      </c>
      <c r="AG118" s="267">
        <v>231</v>
      </c>
      <c r="AH118" s="297">
        <v>127</v>
      </c>
      <c r="AI118" s="296">
        <v>269</v>
      </c>
      <c r="AJ118" s="297">
        <v>89</v>
      </c>
      <c r="AK118" s="267">
        <v>358</v>
      </c>
      <c r="AL118" s="297">
        <v>0</v>
      </c>
      <c r="AN118" s="283">
        <v>0</v>
      </c>
      <c r="AO118" s="284"/>
      <c r="AP118" s="282">
        <v>0</v>
      </c>
      <c r="AQ118" s="293">
        <v>0</v>
      </c>
      <c r="AR118" s="284"/>
      <c r="AS118" s="282">
        <v>0</v>
      </c>
      <c r="AT118" s="315">
        <v>0</v>
      </c>
      <c r="AU118" s="282">
        <v>0</v>
      </c>
      <c r="AV118" s="315">
        <v>0</v>
      </c>
      <c r="AW118" s="282">
        <v>0</v>
      </c>
      <c r="AX118" s="315">
        <v>0</v>
      </c>
      <c r="AY118" s="282">
        <v>0</v>
      </c>
      <c r="AZ118" s="315">
        <v>0</v>
      </c>
      <c r="BA118" s="282">
        <v>0</v>
      </c>
      <c r="BB118" s="315">
        <v>0</v>
      </c>
    </row>
    <row r="119" spans="2:54" s="109" customFormat="1">
      <c r="B119" s="280" t="s">
        <v>65</v>
      </c>
      <c r="C119" s="281" t="s">
        <v>514</v>
      </c>
      <c r="D119" s="188">
        <v>442</v>
      </c>
      <c r="E119" s="519">
        <v>3.25</v>
      </c>
      <c r="F119" s="233" t="s">
        <v>190</v>
      </c>
      <c r="G119" s="233" t="s">
        <v>178</v>
      </c>
      <c r="H119" s="232">
        <v>461</v>
      </c>
      <c r="I119" s="264"/>
      <c r="J119" s="282" t="s">
        <v>15</v>
      </c>
      <c r="K119" s="293" t="s">
        <v>15</v>
      </c>
      <c r="L119" s="298"/>
      <c r="M119" s="517">
        <v>0</v>
      </c>
      <c r="N119" s="518">
        <v>10</v>
      </c>
      <c r="O119" s="517">
        <v>0</v>
      </c>
      <c r="P119" s="518">
        <v>8.6</v>
      </c>
      <c r="Q119" s="517">
        <v>0</v>
      </c>
      <c r="R119" s="518">
        <v>5.2</v>
      </c>
      <c r="S119" s="329">
        <v>0</v>
      </c>
      <c r="T119" s="518">
        <v>3.6</v>
      </c>
      <c r="U119" s="517">
        <v>0</v>
      </c>
      <c r="V119" s="518">
        <v>0</v>
      </c>
      <c r="W119" s="113"/>
      <c r="X119" s="283">
        <v>-19</v>
      </c>
      <c r="Y119" s="264"/>
      <c r="Z119" s="282">
        <v>0</v>
      </c>
      <c r="AA119" s="293">
        <v>0</v>
      </c>
      <c r="AB119" s="284"/>
      <c r="AC119" s="265">
        <v>202</v>
      </c>
      <c r="AD119" s="294">
        <v>240</v>
      </c>
      <c r="AE119" s="265">
        <v>236</v>
      </c>
      <c r="AF119" s="294">
        <v>206</v>
      </c>
      <c r="AG119" s="265">
        <v>317</v>
      </c>
      <c r="AH119" s="294">
        <v>125</v>
      </c>
      <c r="AI119" s="292">
        <v>356</v>
      </c>
      <c r="AJ119" s="294">
        <v>86</v>
      </c>
      <c r="AK119" s="265">
        <v>442</v>
      </c>
      <c r="AL119" s="294">
        <v>0</v>
      </c>
      <c r="AN119" s="283">
        <v>-49</v>
      </c>
      <c r="AO119" s="284"/>
      <c r="AP119" s="282">
        <v>0</v>
      </c>
      <c r="AQ119" s="293">
        <v>0</v>
      </c>
      <c r="AR119" s="284"/>
      <c r="AS119" s="282">
        <v>0</v>
      </c>
      <c r="AT119" s="315">
        <v>-1.3000000000000007</v>
      </c>
      <c r="AU119" s="282">
        <v>0</v>
      </c>
      <c r="AV119" s="315">
        <v>-1.3000000000000007</v>
      </c>
      <c r="AW119" s="282">
        <v>0</v>
      </c>
      <c r="AX119" s="315">
        <v>-1.2999999999999998</v>
      </c>
      <c r="AY119" s="282">
        <v>0</v>
      </c>
      <c r="AZ119" s="315">
        <v>-1.3000000000000003</v>
      </c>
      <c r="BA119" s="282">
        <v>0</v>
      </c>
      <c r="BB119" s="315">
        <v>0</v>
      </c>
    </row>
    <row r="120" spans="2:54">
      <c r="B120" s="273" t="s">
        <v>65</v>
      </c>
      <c r="C120" s="286" t="s">
        <v>414</v>
      </c>
      <c r="D120" s="189">
        <v>533</v>
      </c>
      <c r="E120" s="520">
        <v>5.33</v>
      </c>
      <c r="F120" s="236" t="s">
        <v>193</v>
      </c>
      <c r="G120" s="236" t="s">
        <v>178</v>
      </c>
      <c r="H120" s="295">
        <v>511</v>
      </c>
      <c r="I120" s="264"/>
      <c r="J120" s="267" t="s">
        <v>15</v>
      </c>
      <c r="K120" s="297" t="s">
        <v>15</v>
      </c>
      <c r="L120" s="298"/>
      <c r="M120" s="237">
        <v>0</v>
      </c>
      <c r="N120" s="314">
        <v>13.9</v>
      </c>
      <c r="O120" s="237">
        <v>0</v>
      </c>
      <c r="P120" s="314">
        <v>12.5</v>
      </c>
      <c r="Q120" s="237">
        <v>0</v>
      </c>
      <c r="R120" s="314">
        <v>9.1999999999999993</v>
      </c>
      <c r="S120" s="509">
        <v>0</v>
      </c>
      <c r="T120" s="314">
        <v>3.5</v>
      </c>
      <c r="U120" s="237">
        <v>0</v>
      </c>
      <c r="V120" s="314">
        <v>0</v>
      </c>
      <c r="W120" s="109"/>
      <c r="X120" s="268">
        <v>22</v>
      </c>
      <c r="Y120" s="264"/>
      <c r="Z120" s="267">
        <v>0</v>
      </c>
      <c r="AA120" s="297">
        <v>0</v>
      </c>
      <c r="AB120" s="284"/>
      <c r="AC120" s="267">
        <v>199</v>
      </c>
      <c r="AD120" s="297">
        <v>334</v>
      </c>
      <c r="AE120" s="267">
        <v>233</v>
      </c>
      <c r="AF120" s="297">
        <v>300</v>
      </c>
      <c r="AG120" s="267">
        <v>312</v>
      </c>
      <c r="AH120" s="297">
        <v>221</v>
      </c>
      <c r="AI120" s="296">
        <v>449</v>
      </c>
      <c r="AJ120" s="297">
        <v>84</v>
      </c>
      <c r="AK120" s="267">
        <v>533</v>
      </c>
      <c r="AL120" s="297">
        <v>0</v>
      </c>
      <c r="AN120" s="283">
        <v>0</v>
      </c>
      <c r="AO120" s="284"/>
      <c r="AP120" s="282">
        <v>0</v>
      </c>
      <c r="AQ120" s="293">
        <v>0</v>
      </c>
      <c r="AR120" s="284"/>
      <c r="AS120" s="282">
        <v>0</v>
      </c>
      <c r="AT120" s="315">
        <v>0</v>
      </c>
      <c r="AU120" s="282">
        <v>0</v>
      </c>
      <c r="AV120" s="315">
        <v>0</v>
      </c>
      <c r="AW120" s="282">
        <v>0</v>
      </c>
      <c r="AX120" s="315">
        <v>0</v>
      </c>
      <c r="AY120" s="282">
        <v>0</v>
      </c>
      <c r="AZ120" s="315">
        <v>0</v>
      </c>
      <c r="BA120" s="282">
        <v>0</v>
      </c>
      <c r="BB120" s="315">
        <v>0</v>
      </c>
    </row>
    <row r="121" spans="2:54" s="109" customFormat="1">
      <c r="B121" s="280" t="s">
        <v>65</v>
      </c>
      <c r="C121" s="281" t="s">
        <v>635</v>
      </c>
      <c r="D121" s="188">
        <v>921</v>
      </c>
      <c r="E121" s="519">
        <v>5.33</v>
      </c>
      <c r="F121" s="233" t="s">
        <v>193</v>
      </c>
      <c r="G121" s="233" t="s">
        <v>178</v>
      </c>
      <c r="H121" s="232">
        <v>1114</v>
      </c>
      <c r="I121" s="264"/>
      <c r="J121" s="282" t="s">
        <v>15</v>
      </c>
      <c r="K121" s="293" t="s">
        <v>15</v>
      </c>
      <c r="L121" s="298"/>
      <c r="M121" s="517" t="s">
        <v>15</v>
      </c>
      <c r="N121" s="518" t="s">
        <v>15</v>
      </c>
      <c r="O121" s="517">
        <v>49</v>
      </c>
      <c r="P121" s="518">
        <v>23.9</v>
      </c>
      <c r="Q121" s="517">
        <v>39</v>
      </c>
      <c r="R121" s="518">
        <v>21</v>
      </c>
      <c r="S121" s="329">
        <v>0</v>
      </c>
      <c r="T121" s="518">
        <v>20</v>
      </c>
      <c r="U121" s="517">
        <v>0</v>
      </c>
      <c r="V121" s="518">
        <v>15.1</v>
      </c>
      <c r="W121" s="113"/>
      <c r="X121" s="283">
        <v>-193</v>
      </c>
      <c r="Y121" s="264"/>
      <c r="Z121" s="282">
        <v>0</v>
      </c>
      <c r="AA121" s="293">
        <v>0</v>
      </c>
      <c r="AB121" s="284"/>
      <c r="AC121" s="265">
        <v>0</v>
      </c>
      <c r="AD121" s="294">
        <v>0</v>
      </c>
      <c r="AE121" s="265">
        <v>298</v>
      </c>
      <c r="AF121" s="294">
        <v>574</v>
      </c>
      <c r="AG121" s="265">
        <v>378</v>
      </c>
      <c r="AH121" s="294">
        <v>504</v>
      </c>
      <c r="AI121" s="292">
        <v>441</v>
      </c>
      <c r="AJ121" s="294">
        <v>480</v>
      </c>
      <c r="AK121" s="265">
        <v>559</v>
      </c>
      <c r="AL121" s="294">
        <v>362</v>
      </c>
      <c r="AN121" s="283">
        <v>0</v>
      </c>
      <c r="AO121" s="284"/>
      <c r="AP121" s="282">
        <v>0</v>
      </c>
      <c r="AQ121" s="293">
        <v>0</v>
      </c>
      <c r="AR121" s="284"/>
      <c r="AS121" s="282">
        <v>0</v>
      </c>
      <c r="AT121" s="315">
        <v>0</v>
      </c>
      <c r="AU121" s="282" t="e">
        <v>#N/A</v>
      </c>
      <c r="AV121" s="315" t="e">
        <v>#N/A</v>
      </c>
      <c r="AW121" s="282" t="e">
        <v>#N/A</v>
      </c>
      <c r="AX121" s="315" t="e">
        <v>#N/A</v>
      </c>
      <c r="AY121" s="282" t="e">
        <v>#N/A</v>
      </c>
      <c r="AZ121" s="315" t="e">
        <v>#N/A</v>
      </c>
      <c r="BA121" s="282" t="e">
        <v>#N/A</v>
      </c>
      <c r="BB121" s="315" t="e">
        <v>#N/A</v>
      </c>
    </row>
    <row r="122" spans="2:54">
      <c r="B122" s="273" t="s">
        <v>65</v>
      </c>
      <c r="C122" s="286" t="s">
        <v>616</v>
      </c>
      <c r="D122" s="189">
        <v>801</v>
      </c>
      <c r="E122" s="520">
        <v>5.33</v>
      </c>
      <c r="F122" s="236" t="s">
        <v>193</v>
      </c>
      <c r="G122" s="236" t="s">
        <v>178</v>
      </c>
      <c r="H122" s="295">
        <v>812</v>
      </c>
      <c r="I122" s="264"/>
      <c r="J122" s="267" t="s">
        <v>15</v>
      </c>
      <c r="K122" s="297" t="s">
        <v>15</v>
      </c>
      <c r="L122" s="298"/>
      <c r="M122" s="237" t="s">
        <v>15</v>
      </c>
      <c r="N122" s="314" t="s">
        <v>15</v>
      </c>
      <c r="O122" s="237">
        <v>19</v>
      </c>
      <c r="P122" s="314">
        <v>21.7</v>
      </c>
      <c r="Q122" s="237">
        <v>0</v>
      </c>
      <c r="R122" s="314">
        <v>19.100000000000001</v>
      </c>
      <c r="S122" s="509">
        <v>0</v>
      </c>
      <c r="T122" s="314">
        <v>17.5</v>
      </c>
      <c r="U122" s="237">
        <v>0</v>
      </c>
      <c r="V122" s="314">
        <v>12.8</v>
      </c>
      <c r="W122" s="109"/>
      <c r="X122" s="268">
        <v>-11</v>
      </c>
      <c r="Y122" s="264"/>
      <c r="Z122" s="267">
        <v>0</v>
      </c>
      <c r="AA122" s="297">
        <v>0</v>
      </c>
      <c r="AB122" s="284"/>
      <c r="AC122" s="267">
        <v>0</v>
      </c>
      <c r="AD122" s="297">
        <v>0</v>
      </c>
      <c r="AE122" s="267">
        <v>261</v>
      </c>
      <c r="AF122" s="297">
        <v>521</v>
      </c>
      <c r="AG122" s="267">
        <v>343</v>
      </c>
      <c r="AH122" s="297">
        <v>458</v>
      </c>
      <c r="AI122" s="296">
        <v>381</v>
      </c>
      <c r="AJ122" s="297">
        <v>420</v>
      </c>
      <c r="AK122" s="267">
        <v>494</v>
      </c>
      <c r="AL122" s="297">
        <v>307</v>
      </c>
      <c r="AN122" s="283">
        <v>0</v>
      </c>
      <c r="AO122" s="284"/>
      <c r="AP122" s="282">
        <v>0</v>
      </c>
      <c r="AQ122" s="293">
        <v>0</v>
      </c>
      <c r="AR122" s="284"/>
      <c r="AS122" s="282">
        <v>0</v>
      </c>
      <c r="AT122" s="315">
        <v>0</v>
      </c>
      <c r="AU122" s="282">
        <v>0</v>
      </c>
      <c r="AV122" s="315">
        <v>0</v>
      </c>
      <c r="AW122" s="282">
        <v>0</v>
      </c>
      <c r="AX122" s="315">
        <v>0</v>
      </c>
      <c r="AY122" s="282">
        <v>0</v>
      </c>
      <c r="AZ122" s="315">
        <v>0</v>
      </c>
      <c r="BA122" s="282">
        <v>0</v>
      </c>
      <c r="BB122" s="315">
        <v>0</v>
      </c>
    </row>
    <row r="123" spans="2:54" s="109" customFormat="1">
      <c r="B123" s="280" t="s">
        <v>65</v>
      </c>
      <c r="C123" s="281" t="s">
        <v>483</v>
      </c>
      <c r="D123" s="188">
        <v>1487</v>
      </c>
      <c r="E123" s="519">
        <v>5.33</v>
      </c>
      <c r="F123" s="233" t="s">
        <v>193</v>
      </c>
      <c r="G123" s="233" t="s">
        <v>178</v>
      </c>
      <c r="H123" s="232">
        <v>1487</v>
      </c>
      <c r="I123" s="264"/>
      <c r="J123" s="282" t="s">
        <v>15</v>
      </c>
      <c r="K123" s="293" t="s">
        <v>15</v>
      </c>
      <c r="L123" s="298"/>
      <c r="M123" s="517" t="s">
        <v>15</v>
      </c>
      <c r="N123" s="518" t="s">
        <v>15</v>
      </c>
      <c r="O123" s="517">
        <v>129</v>
      </c>
      <c r="P123" s="518">
        <v>38.799999999999997</v>
      </c>
      <c r="Q123" s="517">
        <v>99</v>
      </c>
      <c r="R123" s="518">
        <v>36.799999999999997</v>
      </c>
      <c r="S123" s="329">
        <v>49</v>
      </c>
      <c r="T123" s="518">
        <v>36.200000000000003</v>
      </c>
      <c r="U123" s="517">
        <v>29</v>
      </c>
      <c r="V123" s="518">
        <v>32.200000000000003</v>
      </c>
      <c r="W123" s="113"/>
      <c r="X123" s="283">
        <v>0</v>
      </c>
      <c r="Y123" s="264"/>
      <c r="Z123" s="282">
        <v>0</v>
      </c>
      <c r="AA123" s="293">
        <v>0</v>
      </c>
      <c r="AB123" s="284"/>
      <c r="AC123" s="265">
        <v>0</v>
      </c>
      <c r="AD123" s="294">
        <v>0</v>
      </c>
      <c r="AE123" s="265">
        <v>427</v>
      </c>
      <c r="AF123" s="294">
        <v>931</v>
      </c>
      <c r="AG123" s="265">
        <v>505</v>
      </c>
      <c r="AH123" s="294">
        <v>883</v>
      </c>
      <c r="AI123" s="292">
        <v>569</v>
      </c>
      <c r="AJ123" s="294">
        <v>869</v>
      </c>
      <c r="AK123" s="265">
        <v>685</v>
      </c>
      <c r="AL123" s="294">
        <v>773</v>
      </c>
      <c r="AN123" s="283">
        <v>0</v>
      </c>
      <c r="AO123" s="284"/>
      <c r="AP123" s="282">
        <v>0</v>
      </c>
      <c r="AQ123" s="293">
        <v>0</v>
      </c>
      <c r="AR123" s="284"/>
      <c r="AS123" s="282">
        <v>0</v>
      </c>
      <c r="AT123" s="315">
        <v>0</v>
      </c>
      <c r="AU123" s="282">
        <v>0</v>
      </c>
      <c r="AV123" s="315">
        <v>0</v>
      </c>
      <c r="AW123" s="282">
        <v>0</v>
      </c>
      <c r="AX123" s="315">
        <v>0</v>
      </c>
      <c r="AY123" s="282">
        <v>0</v>
      </c>
      <c r="AZ123" s="315">
        <v>0</v>
      </c>
      <c r="BA123" s="282">
        <v>0</v>
      </c>
      <c r="BB123" s="315">
        <v>0</v>
      </c>
    </row>
    <row r="124" spans="2:54">
      <c r="B124" s="273" t="s">
        <v>65</v>
      </c>
      <c r="C124" s="286" t="s">
        <v>636</v>
      </c>
      <c r="D124" s="189">
        <v>1487</v>
      </c>
      <c r="E124" s="520">
        <v>5.33</v>
      </c>
      <c r="F124" s="236" t="s">
        <v>193</v>
      </c>
      <c r="G124" s="236" t="s">
        <v>178</v>
      </c>
      <c r="H124" s="295">
        <v>1729</v>
      </c>
      <c r="I124" s="264"/>
      <c r="J124" s="267" t="s">
        <v>15</v>
      </c>
      <c r="K124" s="297" t="s">
        <v>15</v>
      </c>
      <c r="L124" s="298"/>
      <c r="M124" s="237" t="s">
        <v>15</v>
      </c>
      <c r="N124" s="314" t="s">
        <v>15</v>
      </c>
      <c r="O124" s="237">
        <v>139</v>
      </c>
      <c r="P124" s="314">
        <v>47.1</v>
      </c>
      <c r="Q124" s="237">
        <v>129</v>
      </c>
      <c r="R124" s="314">
        <v>44.1</v>
      </c>
      <c r="S124" s="509">
        <v>108.99999999999999</v>
      </c>
      <c r="T124" s="314">
        <v>42.3</v>
      </c>
      <c r="U124" s="237">
        <v>89</v>
      </c>
      <c r="V124" s="314">
        <v>38.299999999999997</v>
      </c>
      <c r="W124" s="109"/>
      <c r="X124" s="268">
        <v>-242</v>
      </c>
      <c r="Y124" s="264"/>
      <c r="Z124" s="267">
        <v>0</v>
      </c>
      <c r="AA124" s="297">
        <v>0</v>
      </c>
      <c r="AB124" s="284"/>
      <c r="AC124" s="267">
        <v>0</v>
      </c>
      <c r="AD124" s="297">
        <v>0</v>
      </c>
      <c r="AE124" s="267">
        <v>218</v>
      </c>
      <c r="AF124" s="297">
        <v>1130</v>
      </c>
      <c r="AG124" s="267">
        <v>300</v>
      </c>
      <c r="AH124" s="297">
        <v>1058</v>
      </c>
      <c r="AI124" s="296">
        <v>363</v>
      </c>
      <c r="AJ124" s="297">
        <v>1015</v>
      </c>
      <c r="AK124" s="267">
        <v>479</v>
      </c>
      <c r="AL124" s="297">
        <v>919</v>
      </c>
      <c r="AN124" s="283">
        <v>0</v>
      </c>
      <c r="AO124" s="284"/>
      <c r="AP124" s="282">
        <v>0</v>
      </c>
      <c r="AQ124" s="293">
        <v>0</v>
      </c>
      <c r="AR124" s="284"/>
      <c r="AS124" s="282">
        <v>0</v>
      </c>
      <c r="AT124" s="315">
        <v>0</v>
      </c>
      <c r="AU124" s="282" t="e">
        <v>#N/A</v>
      </c>
      <c r="AV124" s="315" t="e">
        <v>#N/A</v>
      </c>
      <c r="AW124" s="282" t="e">
        <v>#N/A</v>
      </c>
      <c r="AX124" s="315" t="e">
        <v>#N/A</v>
      </c>
      <c r="AY124" s="282" t="e">
        <v>#N/A</v>
      </c>
      <c r="AZ124" s="315" t="e">
        <v>#N/A</v>
      </c>
      <c r="BA124" s="282" t="e">
        <v>#N/A</v>
      </c>
      <c r="BB124" s="315" t="e">
        <v>#N/A</v>
      </c>
    </row>
    <row r="125" spans="2:54" s="109" customFormat="1">
      <c r="B125" s="280" t="s">
        <v>65</v>
      </c>
      <c r="C125" s="281" t="s">
        <v>352</v>
      </c>
      <c r="D125" s="188">
        <v>938</v>
      </c>
      <c r="E125" s="519">
        <v>3.25</v>
      </c>
      <c r="F125" s="233" t="s">
        <v>190</v>
      </c>
      <c r="G125" s="233" t="s">
        <v>178</v>
      </c>
      <c r="H125" s="232">
        <v>690</v>
      </c>
      <c r="I125" s="264"/>
      <c r="J125" s="282" t="s">
        <v>15</v>
      </c>
      <c r="K125" s="293" t="s">
        <v>15</v>
      </c>
      <c r="L125" s="298"/>
      <c r="M125" s="517">
        <v>39</v>
      </c>
      <c r="N125" s="518">
        <v>18.100000000000001</v>
      </c>
      <c r="O125" s="517">
        <v>19</v>
      </c>
      <c r="P125" s="518">
        <v>17.3</v>
      </c>
      <c r="Q125" s="517">
        <v>0</v>
      </c>
      <c r="R125" s="518">
        <v>14.8</v>
      </c>
      <c r="S125" s="329">
        <v>0</v>
      </c>
      <c r="T125" s="518">
        <v>12.1</v>
      </c>
      <c r="U125" s="517">
        <v>0</v>
      </c>
      <c r="V125" s="518">
        <v>7.1</v>
      </c>
      <c r="W125" s="113"/>
      <c r="X125" s="283">
        <v>248</v>
      </c>
      <c r="Y125" s="264"/>
      <c r="Z125" s="282">
        <v>0</v>
      </c>
      <c r="AA125" s="293">
        <v>0</v>
      </c>
      <c r="AB125" s="284"/>
      <c r="AC125" s="265">
        <v>465</v>
      </c>
      <c r="AD125" s="294">
        <v>434</v>
      </c>
      <c r="AE125" s="265">
        <v>504</v>
      </c>
      <c r="AF125" s="294">
        <v>415</v>
      </c>
      <c r="AG125" s="265">
        <v>583</v>
      </c>
      <c r="AH125" s="294">
        <v>355</v>
      </c>
      <c r="AI125" s="292">
        <v>648</v>
      </c>
      <c r="AJ125" s="294">
        <v>290</v>
      </c>
      <c r="AK125" s="265">
        <v>768</v>
      </c>
      <c r="AL125" s="294">
        <v>170</v>
      </c>
      <c r="AN125" s="283">
        <v>-60</v>
      </c>
      <c r="AO125" s="284"/>
      <c r="AP125" s="282">
        <v>0</v>
      </c>
      <c r="AQ125" s="293">
        <v>0</v>
      </c>
      <c r="AR125" s="284"/>
      <c r="AS125" s="282">
        <v>0</v>
      </c>
      <c r="AT125" s="315">
        <v>-2.1999999999999993</v>
      </c>
      <c r="AU125" s="282">
        <v>0</v>
      </c>
      <c r="AV125" s="315">
        <v>-2.0999999999999979</v>
      </c>
      <c r="AW125" s="282">
        <v>0</v>
      </c>
      <c r="AX125" s="315">
        <v>-2.0999999999999979</v>
      </c>
      <c r="AY125" s="282">
        <v>0</v>
      </c>
      <c r="AZ125" s="315">
        <v>-2.0999999999999996</v>
      </c>
      <c r="BA125" s="282">
        <v>0</v>
      </c>
      <c r="BB125" s="315">
        <v>-2.2000000000000011</v>
      </c>
    </row>
    <row r="126" spans="2:54">
      <c r="B126" s="273" t="s">
        <v>65</v>
      </c>
      <c r="C126" s="286" t="s">
        <v>485</v>
      </c>
      <c r="D126" s="189">
        <v>842</v>
      </c>
      <c r="E126" s="520">
        <v>3.25</v>
      </c>
      <c r="F126" s="236" t="s">
        <v>190</v>
      </c>
      <c r="G126" s="236" t="s">
        <v>178</v>
      </c>
      <c r="H126" s="295">
        <v>788</v>
      </c>
      <c r="I126" s="264"/>
      <c r="J126" s="267" t="s">
        <v>15</v>
      </c>
      <c r="K126" s="297" t="s">
        <v>15</v>
      </c>
      <c r="L126" s="298"/>
      <c r="M126" s="237" t="s">
        <v>15</v>
      </c>
      <c r="N126" s="314" t="s">
        <v>15</v>
      </c>
      <c r="O126" s="237">
        <v>30</v>
      </c>
      <c r="P126" s="314">
        <v>20.3</v>
      </c>
      <c r="Q126" s="237">
        <v>0</v>
      </c>
      <c r="R126" s="314">
        <v>18.3</v>
      </c>
      <c r="S126" s="509">
        <v>0</v>
      </c>
      <c r="T126" s="314">
        <v>15.6</v>
      </c>
      <c r="U126" s="237">
        <v>0</v>
      </c>
      <c r="V126" s="314">
        <v>10.7</v>
      </c>
      <c r="W126" s="109"/>
      <c r="X126" s="268">
        <v>54</v>
      </c>
      <c r="Y126" s="264"/>
      <c r="Z126" s="267">
        <v>0</v>
      </c>
      <c r="AA126" s="297">
        <v>0</v>
      </c>
      <c r="AB126" s="284"/>
      <c r="AC126" s="267">
        <v>0</v>
      </c>
      <c r="AD126" s="297">
        <v>0</v>
      </c>
      <c r="AE126" s="267">
        <v>325</v>
      </c>
      <c r="AF126" s="297">
        <v>487</v>
      </c>
      <c r="AG126" s="267">
        <v>403</v>
      </c>
      <c r="AH126" s="297">
        <v>439</v>
      </c>
      <c r="AI126" s="296">
        <v>468</v>
      </c>
      <c r="AJ126" s="297">
        <v>374</v>
      </c>
      <c r="AK126" s="267">
        <v>585</v>
      </c>
      <c r="AL126" s="297">
        <v>257</v>
      </c>
      <c r="AN126" s="283">
        <v>-60</v>
      </c>
      <c r="AO126" s="284"/>
      <c r="AP126" s="282">
        <v>0</v>
      </c>
      <c r="AQ126" s="293">
        <v>0</v>
      </c>
      <c r="AR126" s="284"/>
      <c r="AS126" s="282">
        <v>0</v>
      </c>
      <c r="AT126" s="315">
        <v>0</v>
      </c>
      <c r="AU126" s="282">
        <v>0</v>
      </c>
      <c r="AV126" s="315">
        <v>-2.1999999999999993</v>
      </c>
      <c r="AW126" s="282">
        <v>0</v>
      </c>
      <c r="AX126" s="315">
        <v>-2.0999999999999979</v>
      </c>
      <c r="AY126" s="282">
        <v>0</v>
      </c>
      <c r="AZ126" s="315">
        <v>-2.2000000000000011</v>
      </c>
      <c r="BA126" s="282">
        <v>0</v>
      </c>
      <c r="BB126" s="315">
        <v>-2.1000000000000014</v>
      </c>
    </row>
    <row r="127" spans="2:54" s="109" customFormat="1">
      <c r="B127" s="280" t="s">
        <v>65</v>
      </c>
      <c r="C127" s="281" t="s">
        <v>486</v>
      </c>
      <c r="D127" s="188">
        <v>902</v>
      </c>
      <c r="E127" s="519">
        <v>3.25</v>
      </c>
      <c r="F127" s="233" t="s">
        <v>190</v>
      </c>
      <c r="G127" s="233" t="s">
        <v>178</v>
      </c>
      <c r="H127" s="232">
        <v>811</v>
      </c>
      <c r="I127" s="264"/>
      <c r="J127" s="282" t="s">
        <v>15</v>
      </c>
      <c r="K127" s="293" t="s">
        <v>15</v>
      </c>
      <c r="L127" s="298"/>
      <c r="M127" s="517" t="s">
        <v>15</v>
      </c>
      <c r="N127" s="518" t="s">
        <v>15</v>
      </c>
      <c r="O127" s="517">
        <v>19</v>
      </c>
      <c r="P127" s="518">
        <v>21.6</v>
      </c>
      <c r="Q127" s="517">
        <v>0</v>
      </c>
      <c r="R127" s="518">
        <v>19.100000000000001</v>
      </c>
      <c r="S127" s="329">
        <v>0</v>
      </c>
      <c r="T127" s="518">
        <v>16.399999999999999</v>
      </c>
      <c r="U127" s="517">
        <v>0</v>
      </c>
      <c r="V127" s="518">
        <v>11.5</v>
      </c>
      <c r="W127" s="113"/>
      <c r="X127" s="283">
        <v>91</v>
      </c>
      <c r="Y127" s="264"/>
      <c r="Z127" s="282">
        <v>0</v>
      </c>
      <c r="AA127" s="293">
        <v>0</v>
      </c>
      <c r="AB127" s="284"/>
      <c r="AC127" s="265">
        <v>0</v>
      </c>
      <c r="AD127" s="294">
        <v>0</v>
      </c>
      <c r="AE127" s="265">
        <v>365</v>
      </c>
      <c r="AF127" s="294">
        <v>518</v>
      </c>
      <c r="AG127" s="265">
        <v>444</v>
      </c>
      <c r="AH127" s="294">
        <v>458</v>
      </c>
      <c r="AI127" s="292">
        <v>508</v>
      </c>
      <c r="AJ127" s="294">
        <v>394</v>
      </c>
      <c r="AK127" s="265">
        <v>626</v>
      </c>
      <c r="AL127" s="294">
        <v>276</v>
      </c>
      <c r="AN127" s="283">
        <v>-143</v>
      </c>
      <c r="AO127" s="284"/>
      <c r="AP127" s="282">
        <v>0</v>
      </c>
      <c r="AQ127" s="293">
        <v>0</v>
      </c>
      <c r="AR127" s="284"/>
      <c r="AS127" s="282">
        <v>0</v>
      </c>
      <c r="AT127" s="315">
        <v>0</v>
      </c>
      <c r="AU127" s="282">
        <v>0</v>
      </c>
      <c r="AV127" s="315">
        <v>0.10000000000000142</v>
      </c>
      <c r="AW127" s="282">
        <v>0</v>
      </c>
      <c r="AX127" s="315">
        <v>0.10000000000000142</v>
      </c>
      <c r="AY127" s="282">
        <v>0</v>
      </c>
      <c r="AZ127" s="315">
        <v>9.9999999999997868E-2</v>
      </c>
      <c r="BA127" s="282">
        <v>0</v>
      </c>
      <c r="BB127" s="315">
        <v>9.9999999999999645E-2</v>
      </c>
    </row>
    <row r="128" spans="2:54">
      <c r="B128" s="273" t="s">
        <v>65</v>
      </c>
      <c r="C128" s="286" t="s">
        <v>602</v>
      </c>
      <c r="D128" s="189">
        <v>686</v>
      </c>
      <c r="E128" s="520">
        <v>3.25</v>
      </c>
      <c r="F128" s="236" t="s">
        <v>190</v>
      </c>
      <c r="G128" s="236" t="s">
        <v>178</v>
      </c>
      <c r="H128" s="295">
        <v>758</v>
      </c>
      <c r="I128" s="264"/>
      <c r="J128" s="267" t="s">
        <v>15</v>
      </c>
      <c r="K128" s="297" t="s">
        <v>15</v>
      </c>
      <c r="L128" s="298"/>
      <c r="M128" s="237">
        <v>39</v>
      </c>
      <c r="N128" s="314">
        <v>20.5</v>
      </c>
      <c r="O128" s="237">
        <v>19</v>
      </c>
      <c r="P128" s="314">
        <v>19.7</v>
      </c>
      <c r="Q128" s="237">
        <v>0</v>
      </c>
      <c r="R128" s="314">
        <v>17.2</v>
      </c>
      <c r="S128" s="509">
        <v>0</v>
      </c>
      <c r="T128" s="314">
        <v>14.5</v>
      </c>
      <c r="U128" s="237">
        <v>0</v>
      </c>
      <c r="V128" s="314">
        <v>9.6</v>
      </c>
      <c r="W128" s="109"/>
      <c r="X128" s="268">
        <v>-72</v>
      </c>
      <c r="Y128" s="264"/>
      <c r="Z128" s="267">
        <v>0</v>
      </c>
      <c r="AA128" s="297">
        <v>0</v>
      </c>
      <c r="AB128" s="284"/>
      <c r="AC128" s="267">
        <v>155</v>
      </c>
      <c r="AD128" s="297">
        <v>492</v>
      </c>
      <c r="AE128" s="267">
        <v>194</v>
      </c>
      <c r="AF128" s="297">
        <v>473</v>
      </c>
      <c r="AG128" s="267">
        <v>273</v>
      </c>
      <c r="AH128" s="297">
        <v>413</v>
      </c>
      <c r="AI128" s="296">
        <v>338</v>
      </c>
      <c r="AJ128" s="297">
        <v>348</v>
      </c>
      <c r="AK128" s="267">
        <v>456</v>
      </c>
      <c r="AL128" s="297">
        <v>230</v>
      </c>
      <c r="AN128" s="283">
        <v>-48</v>
      </c>
      <c r="AO128" s="284"/>
      <c r="AP128" s="282">
        <v>0</v>
      </c>
      <c r="AQ128" s="293">
        <v>0</v>
      </c>
      <c r="AR128" s="284"/>
      <c r="AS128" s="282">
        <v>0</v>
      </c>
      <c r="AT128" s="315">
        <v>-1.8000000000000007</v>
      </c>
      <c r="AU128" s="282">
        <v>0</v>
      </c>
      <c r="AV128" s="315">
        <v>-1.6999999999999993</v>
      </c>
      <c r="AW128" s="282">
        <v>0</v>
      </c>
      <c r="AX128" s="315">
        <v>-1.6999999999999993</v>
      </c>
      <c r="AY128" s="282">
        <v>0</v>
      </c>
      <c r="AZ128" s="315">
        <v>-1.6999999999999993</v>
      </c>
      <c r="BA128" s="282">
        <v>0</v>
      </c>
      <c r="BB128" s="315">
        <v>-1.7000000000000011</v>
      </c>
    </row>
    <row r="129" spans="2:54" s="109" customFormat="1">
      <c r="B129" s="280" t="s">
        <v>65</v>
      </c>
      <c r="C129" s="281" t="s">
        <v>487</v>
      </c>
      <c r="D129" s="188">
        <v>1556</v>
      </c>
      <c r="E129" s="519">
        <v>3.25</v>
      </c>
      <c r="F129" s="233" t="s">
        <v>190</v>
      </c>
      <c r="G129" s="233" t="s">
        <v>178</v>
      </c>
      <c r="H129" s="232">
        <v>1568</v>
      </c>
      <c r="I129" s="264"/>
      <c r="J129" s="282" t="s">
        <v>15</v>
      </c>
      <c r="K129" s="293" t="s">
        <v>15</v>
      </c>
      <c r="L129" s="298"/>
      <c r="M129" s="517" t="s">
        <v>15</v>
      </c>
      <c r="N129" s="518" t="s">
        <v>15</v>
      </c>
      <c r="O129" s="517">
        <v>139</v>
      </c>
      <c r="P129" s="518">
        <v>41.3</v>
      </c>
      <c r="Q129" s="517">
        <v>129</v>
      </c>
      <c r="R129" s="518">
        <v>38.4</v>
      </c>
      <c r="S129" s="329">
        <v>108.99999999999999</v>
      </c>
      <c r="T129" s="518">
        <v>36.5</v>
      </c>
      <c r="U129" s="517">
        <v>89</v>
      </c>
      <c r="V129" s="518">
        <v>32.5</v>
      </c>
      <c r="W129" s="113"/>
      <c r="X129" s="283">
        <v>-12</v>
      </c>
      <c r="Y129" s="264"/>
      <c r="Z129" s="282">
        <v>0</v>
      </c>
      <c r="AA129" s="293">
        <v>0</v>
      </c>
      <c r="AB129" s="284"/>
      <c r="AC129" s="265">
        <v>0</v>
      </c>
      <c r="AD129" s="294">
        <v>0</v>
      </c>
      <c r="AE129" s="265">
        <v>426</v>
      </c>
      <c r="AF129" s="294">
        <v>991</v>
      </c>
      <c r="AG129" s="265">
        <v>505</v>
      </c>
      <c r="AH129" s="294">
        <v>922</v>
      </c>
      <c r="AI129" s="292">
        <v>571</v>
      </c>
      <c r="AJ129" s="294">
        <v>876</v>
      </c>
      <c r="AK129" s="265">
        <v>687</v>
      </c>
      <c r="AL129" s="294">
        <v>780</v>
      </c>
      <c r="AN129" s="283">
        <v>0</v>
      </c>
      <c r="AO129" s="284"/>
      <c r="AP129" s="282">
        <v>0</v>
      </c>
      <c r="AQ129" s="293">
        <v>0</v>
      </c>
      <c r="AR129" s="284"/>
      <c r="AS129" s="282">
        <v>0</v>
      </c>
      <c r="AT129" s="315">
        <v>0</v>
      </c>
      <c r="AU129" s="282">
        <v>0</v>
      </c>
      <c r="AV129" s="315">
        <v>0</v>
      </c>
      <c r="AW129" s="282">
        <v>0</v>
      </c>
      <c r="AX129" s="315">
        <v>0</v>
      </c>
      <c r="AY129" s="282">
        <v>0</v>
      </c>
      <c r="AZ129" s="315">
        <v>0</v>
      </c>
      <c r="BA129" s="282">
        <v>0</v>
      </c>
      <c r="BB129" s="315">
        <v>0</v>
      </c>
    </row>
    <row r="130" spans="2:54">
      <c r="B130" s="273" t="s">
        <v>65</v>
      </c>
      <c r="C130" s="286" t="s">
        <v>488</v>
      </c>
      <c r="D130" s="189">
        <v>1279</v>
      </c>
      <c r="E130" s="520">
        <v>3.25</v>
      </c>
      <c r="F130" s="236" t="s">
        <v>190</v>
      </c>
      <c r="G130" s="236" t="s">
        <v>178</v>
      </c>
      <c r="H130" s="295">
        <v>1366</v>
      </c>
      <c r="I130" s="264"/>
      <c r="J130" s="267" t="s">
        <v>15</v>
      </c>
      <c r="K130" s="297" t="s">
        <v>15</v>
      </c>
      <c r="L130" s="298"/>
      <c r="M130" s="237" t="s">
        <v>15</v>
      </c>
      <c r="N130" s="314" t="s">
        <v>15</v>
      </c>
      <c r="O130" s="237">
        <v>49</v>
      </c>
      <c r="P130" s="314">
        <v>32.700000000000003</v>
      </c>
      <c r="Q130" s="237">
        <v>39</v>
      </c>
      <c r="R130" s="314">
        <v>29.8</v>
      </c>
      <c r="S130" s="509">
        <v>0</v>
      </c>
      <c r="T130" s="314">
        <v>28.8</v>
      </c>
      <c r="U130" s="237">
        <v>0</v>
      </c>
      <c r="V130" s="314">
        <v>23.9</v>
      </c>
      <c r="W130" s="109"/>
      <c r="X130" s="268">
        <v>-87</v>
      </c>
      <c r="Y130" s="264"/>
      <c r="Z130" s="267">
        <v>0</v>
      </c>
      <c r="AA130" s="297">
        <v>0</v>
      </c>
      <c r="AB130" s="284"/>
      <c r="AC130" s="267">
        <v>0</v>
      </c>
      <c r="AD130" s="297">
        <v>0</v>
      </c>
      <c r="AE130" s="267">
        <v>445</v>
      </c>
      <c r="AF130" s="297">
        <v>785</v>
      </c>
      <c r="AG130" s="267">
        <v>525</v>
      </c>
      <c r="AH130" s="297">
        <v>715</v>
      </c>
      <c r="AI130" s="296">
        <v>588</v>
      </c>
      <c r="AJ130" s="297">
        <v>691</v>
      </c>
      <c r="AK130" s="267">
        <v>705</v>
      </c>
      <c r="AL130" s="297">
        <v>574</v>
      </c>
      <c r="AN130" s="283">
        <v>0</v>
      </c>
      <c r="AO130" s="284"/>
      <c r="AP130" s="282">
        <v>0</v>
      </c>
      <c r="AQ130" s="293">
        <v>0</v>
      </c>
      <c r="AR130" s="284"/>
      <c r="AS130" s="282">
        <v>0</v>
      </c>
      <c r="AT130" s="315">
        <v>0</v>
      </c>
      <c r="AU130" s="282">
        <v>0</v>
      </c>
      <c r="AV130" s="315">
        <v>0</v>
      </c>
      <c r="AW130" s="282">
        <v>0</v>
      </c>
      <c r="AX130" s="315">
        <v>0</v>
      </c>
      <c r="AY130" s="282">
        <v>0</v>
      </c>
      <c r="AZ130" s="315">
        <v>0</v>
      </c>
      <c r="BA130" s="282">
        <v>0</v>
      </c>
      <c r="BB130" s="315">
        <v>0</v>
      </c>
    </row>
    <row r="131" spans="2:54" s="109" customFormat="1">
      <c r="B131" s="280" t="s">
        <v>65</v>
      </c>
      <c r="C131" s="281" t="s">
        <v>489</v>
      </c>
      <c r="D131" s="188">
        <v>1372</v>
      </c>
      <c r="E131" s="519">
        <v>3.25</v>
      </c>
      <c r="F131" s="233" t="s">
        <v>190</v>
      </c>
      <c r="G131" s="233" t="s">
        <v>178</v>
      </c>
      <c r="H131" s="232">
        <v>1477</v>
      </c>
      <c r="I131" s="264"/>
      <c r="J131" s="282" t="s">
        <v>15</v>
      </c>
      <c r="K131" s="293" t="s">
        <v>15</v>
      </c>
      <c r="L131" s="298"/>
      <c r="M131" s="517" t="s">
        <v>15</v>
      </c>
      <c r="N131" s="518" t="s">
        <v>15</v>
      </c>
      <c r="O131" s="517">
        <v>129</v>
      </c>
      <c r="P131" s="518">
        <v>38.4</v>
      </c>
      <c r="Q131" s="517">
        <v>99</v>
      </c>
      <c r="R131" s="518">
        <v>36.4</v>
      </c>
      <c r="S131" s="329">
        <v>49</v>
      </c>
      <c r="T131" s="518">
        <v>35.9</v>
      </c>
      <c r="U131" s="517">
        <v>29</v>
      </c>
      <c r="V131" s="518">
        <v>31.8</v>
      </c>
      <c r="W131" s="113"/>
      <c r="X131" s="283">
        <v>-105</v>
      </c>
      <c r="Y131" s="264"/>
      <c r="Z131" s="282">
        <v>0</v>
      </c>
      <c r="AA131" s="293">
        <v>0</v>
      </c>
      <c r="AB131" s="284"/>
      <c r="AC131" s="265">
        <v>0</v>
      </c>
      <c r="AD131" s="294">
        <v>0</v>
      </c>
      <c r="AE131" s="265">
        <v>321</v>
      </c>
      <c r="AF131" s="294">
        <v>922</v>
      </c>
      <c r="AG131" s="265">
        <v>399</v>
      </c>
      <c r="AH131" s="294">
        <v>874</v>
      </c>
      <c r="AI131" s="292">
        <v>461</v>
      </c>
      <c r="AJ131" s="294">
        <v>862</v>
      </c>
      <c r="AK131" s="265">
        <v>580</v>
      </c>
      <c r="AL131" s="294">
        <v>763</v>
      </c>
      <c r="AN131" s="283">
        <v>0</v>
      </c>
      <c r="AO131" s="284"/>
      <c r="AP131" s="282">
        <v>0</v>
      </c>
      <c r="AQ131" s="293">
        <v>0</v>
      </c>
      <c r="AR131" s="284"/>
      <c r="AS131" s="282">
        <v>0</v>
      </c>
      <c r="AT131" s="315">
        <v>0</v>
      </c>
      <c r="AU131" s="282">
        <v>0</v>
      </c>
      <c r="AV131" s="315">
        <v>0</v>
      </c>
      <c r="AW131" s="282">
        <v>0</v>
      </c>
      <c r="AX131" s="315">
        <v>0</v>
      </c>
      <c r="AY131" s="282">
        <v>0</v>
      </c>
      <c r="AZ131" s="315">
        <v>0</v>
      </c>
      <c r="BA131" s="282">
        <v>0</v>
      </c>
      <c r="BB131" s="315">
        <v>0</v>
      </c>
    </row>
    <row r="132" spans="2:54">
      <c r="B132" s="273" t="s">
        <v>65</v>
      </c>
      <c r="C132" s="286" t="s">
        <v>490</v>
      </c>
      <c r="D132" s="189">
        <v>1047</v>
      </c>
      <c r="E132" s="520">
        <v>3.25</v>
      </c>
      <c r="F132" s="236" t="s">
        <v>190</v>
      </c>
      <c r="G132" s="236" t="s">
        <v>178</v>
      </c>
      <c r="H132" s="295">
        <v>1266</v>
      </c>
      <c r="I132" s="264"/>
      <c r="J132" s="267" t="s">
        <v>15</v>
      </c>
      <c r="K132" s="297" t="s">
        <v>15</v>
      </c>
      <c r="L132" s="298"/>
      <c r="M132" s="237" t="s">
        <v>15</v>
      </c>
      <c r="N132" s="314" t="s">
        <v>15</v>
      </c>
      <c r="O132" s="237">
        <v>39</v>
      </c>
      <c r="P132" s="314">
        <v>24.4</v>
      </c>
      <c r="Q132" s="237">
        <v>39</v>
      </c>
      <c r="R132" s="314">
        <v>21</v>
      </c>
      <c r="S132" s="509">
        <v>0</v>
      </c>
      <c r="T132" s="314">
        <v>20</v>
      </c>
      <c r="U132" s="237">
        <v>0</v>
      </c>
      <c r="V132" s="314">
        <v>15.1</v>
      </c>
      <c r="W132" s="109"/>
      <c r="X132" s="268">
        <v>-219</v>
      </c>
      <c r="Y132" s="264"/>
      <c r="Z132" s="267">
        <v>0</v>
      </c>
      <c r="AA132" s="297">
        <v>0</v>
      </c>
      <c r="AB132" s="284"/>
      <c r="AC132" s="267">
        <v>0</v>
      </c>
      <c r="AD132" s="297">
        <v>0</v>
      </c>
      <c r="AE132" s="267">
        <v>422</v>
      </c>
      <c r="AF132" s="297">
        <v>586</v>
      </c>
      <c r="AG132" s="267">
        <v>504</v>
      </c>
      <c r="AH132" s="297">
        <v>504</v>
      </c>
      <c r="AI132" s="296">
        <v>567</v>
      </c>
      <c r="AJ132" s="297">
        <v>480</v>
      </c>
      <c r="AK132" s="267">
        <v>685</v>
      </c>
      <c r="AL132" s="297">
        <v>362</v>
      </c>
      <c r="AN132" s="283">
        <v>0</v>
      </c>
      <c r="AO132" s="284"/>
      <c r="AP132" s="282">
        <v>0</v>
      </c>
      <c r="AQ132" s="293">
        <v>0</v>
      </c>
      <c r="AR132" s="284"/>
      <c r="AS132" s="282">
        <v>0</v>
      </c>
      <c r="AT132" s="315">
        <v>0</v>
      </c>
      <c r="AU132" s="282">
        <v>0</v>
      </c>
      <c r="AV132" s="315">
        <v>-10.399999999999999</v>
      </c>
      <c r="AW132" s="282">
        <v>0</v>
      </c>
      <c r="AX132" s="315">
        <v>-10.399999999999999</v>
      </c>
      <c r="AY132" s="282">
        <v>0</v>
      </c>
      <c r="AZ132" s="315">
        <v>-10.399999999999999</v>
      </c>
      <c r="BA132" s="282">
        <v>0</v>
      </c>
      <c r="BB132" s="315">
        <v>-10.4</v>
      </c>
    </row>
    <row r="133" spans="2:54" s="109" customFormat="1">
      <c r="B133" s="280" t="s">
        <v>65</v>
      </c>
      <c r="C133" s="281" t="s">
        <v>491</v>
      </c>
      <c r="D133" s="188">
        <v>182</v>
      </c>
      <c r="E133" s="519">
        <v>3.75</v>
      </c>
      <c r="F133" s="233" t="s">
        <v>191</v>
      </c>
      <c r="G133" s="233" t="s">
        <v>178</v>
      </c>
      <c r="H133" s="232">
        <v>196</v>
      </c>
      <c r="I133" s="264"/>
      <c r="J133" s="282" t="s">
        <v>15</v>
      </c>
      <c r="K133" s="293" t="s">
        <v>15</v>
      </c>
      <c r="L133" s="298"/>
      <c r="M133" s="517">
        <v>0</v>
      </c>
      <c r="N133" s="518">
        <v>4.5999999999999996</v>
      </c>
      <c r="O133" s="517">
        <v>0</v>
      </c>
      <c r="P133" s="518">
        <v>3.3</v>
      </c>
      <c r="Q133" s="517">
        <v>0</v>
      </c>
      <c r="R133" s="518">
        <v>0</v>
      </c>
      <c r="S133" s="329">
        <v>0</v>
      </c>
      <c r="T133" s="518">
        <v>0</v>
      </c>
      <c r="U133" s="517">
        <v>0</v>
      </c>
      <c r="V133" s="518">
        <v>0</v>
      </c>
      <c r="W133" s="113"/>
      <c r="X133" s="283">
        <v>-14</v>
      </c>
      <c r="Y133" s="264"/>
      <c r="Z133" s="282">
        <v>0</v>
      </c>
      <c r="AA133" s="293">
        <v>0</v>
      </c>
      <c r="AB133" s="284"/>
      <c r="AC133" s="265">
        <v>72</v>
      </c>
      <c r="AD133" s="294">
        <v>110</v>
      </c>
      <c r="AE133" s="265">
        <v>103</v>
      </c>
      <c r="AF133" s="294">
        <v>79</v>
      </c>
      <c r="AG133" s="265">
        <v>182</v>
      </c>
      <c r="AH133" s="294">
        <v>0</v>
      </c>
      <c r="AI133" s="292">
        <v>182</v>
      </c>
      <c r="AJ133" s="294">
        <v>0</v>
      </c>
      <c r="AK133" s="265">
        <v>182</v>
      </c>
      <c r="AL133" s="294">
        <v>0</v>
      </c>
      <c r="AN133" s="283">
        <v>0</v>
      </c>
      <c r="AO133" s="284"/>
      <c r="AP133" s="282">
        <v>0</v>
      </c>
      <c r="AQ133" s="293">
        <v>0</v>
      </c>
      <c r="AR133" s="284"/>
      <c r="AS133" s="282">
        <v>0</v>
      </c>
      <c r="AT133" s="315">
        <v>0</v>
      </c>
      <c r="AU133" s="282">
        <v>0</v>
      </c>
      <c r="AV133" s="315">
        <v>0</v>
      </c>
      <c r="AW133" s="282">
        <v>0</v>
      </c>
      <c r="AX133" s="315">
        <v>0</v>
      </c>
      <c r="AY133" s="282">
        <v>0</v>
      </c>
      <c r="AZ133" s="315">
        <v>0</v>
      </c>
      <c r="BA133" s="282">
        <v>0</v>
      </c>
      <c r="BB133" s="315">
        <v>0</v>
      </c>
    </row>
    <row r="134" spans="2:54">
      <c r="B134" s="273" t="s">
        <v>65</v>
      </c>
      <c r="C134" s="286" t="s">
        <v>492</v>
      </c>
      <c r="D134" s="189">
        <v>310</v>
      </c>
      <c r="E134" s="520">
        <v>3.75</v>
      </c>
      <c r="F134" s="236" t="s">
        <v>191</v>
      </c>
      <c r="G134" s="236" t="s">
        <v>178</v>
      </c>
      <c r="H134" s="295">
        <v>303</v>
      </c>
      <c r="I134" s="264"/>
      <c r="J134" s="267" t="s">
        <v>15</v>
      </c>
      <c r="K134" s="297" t="s">
        <v>15</v>
      </c>
      <c r="L134" s="298"/>
      <c r="M134" s="237">
        <v>0</v>
      </c>
      <c r="N134" s="314">
        <v>7.8</v>
      </c>
      <c r="O134" s="237">
        <v>0</v>
      </c>
      <c r="P134" s="314">
        <v>6.4</v>
      </c>
      <c r="Q134" s="237">
        <v>0</v>
      </c>
      <c r="R134" s="314">
        <v>3</v>
      </c>
      <c r="S134" s="509">
        <v>0</v>
      </c>
      <c r="T134" s="314">
        <v>1.4</v>
      </c>
      <c r="U134" s="237">
        <v>0</v>
      </c>
      <c r="V134" s="314">
        <v>0</v>
      </c>
      <c r="W134" s="109"/>
      <c r="X134" s="268">
        <v>7</v>
      </c>
      <c r="Y134" s="264"/>
      <c r="Z134" s="267">
        <v>0</v>
      </c>
      <c r="AA134" s="297">
        <v>0</v>
      </c>
      <c r="AB134" s="284"/>
      <c r="AC134" s="267">
        <v>123</v>
      </c>
      <c r="AD134" s="297">
        <v>187</v>
      </c>
      <c r="AE134" s="267">
        <v>156</v>
      </c>
      <c r="AF134" s="297">
        <v>154</v>
      </c>
      <c r="AG134" s="267">
        <v>238</v>
      </c>
      <c r="AH134" s="297">
        <v>72</v>
      </c>
      <c r="AI134" s="296">
        <v>276</v>
      </c>
      <c r="AJ134" s="297">
        <v>34</v>
      </c>
      <c r="AK134" s="267">
        <v>310</v>
      </c>
      <c r="AL134" s="297">
        <v>0</v>
      </c>
      <c r="AN134" s="283">
        <v>0</v>
      </c>
      <c r="AO134" s="284"/>
      <c r="AP134" s="282">
        <v>0</v>
      </c>
      <c r="AQ134" s="293">
        <v>0</v>
      </c>
      <c r="AR134" s="284"/>
      <c r="AS134" s="282">
        <v>0</v>
      </c>
      <c r="AT134" s="315">
        <v>0</v>
      </c>
      <c r="AU134" s="282">
        <v>0</v>
      </c>
      <c r="AV134" s="315">
        <v>0</v>
      </c>
      <c r="AW134" s="282">
        <v>0</v>
      </c>
      <c r="AX134" s="315">
        <v>0</v>
      </c>
      <c r="AY134" s="282">
        <v>0</v>
      </c>
      <c r="AZ134" s="315">
        <v>0</v>
      </c>
      <c r="BA134" s="282">
        <v>0</v>
      </c>
      <c r="BB134" s="315">
        <v>0</v>
      </c>
    </row>
    <row r="135" spans="2:54" s="109" customFormat="1">
      <c r="B135" s="280" t="s">
        <v>65</v>
      </c>
      <c r="C135" s="281" t="s">
        <v>493</v>
      </c>
      <c r="D135" s="188">
        <v>310</v>
      </c>
      <c r="E135" s="519">
        <v>3.75</v>
      </c>
      <c r="F135" s="233" t="s">
        <v>191</v>
      </c>
      <c r="G135" s="233" t="s">
        <v>178</v>
      </c>
      <c r="H135" s="232">
        <v>291</v>
      </c>
      <c r="I135" s="264"/>
      <c r="J135" s="282" t="s">
        <v>15</v>
      </c>
      <c r="K135" s="293" t="s">
        <v>15</v>
      </c>
      <c r="L135" s="298"/>
      <c r="M135" s="517">
        <v>0</v>
      </c>
      <c r="N135" s="518">
        <v>7.3</v>
      </c>
      <c r="O135" s="517">
        <v>0</v>
      </c>
      <c r="P135" s="518">
        <v>5.9</v>
      </c>
      <c r="Q135" s="517">
        <v>0</v>
      </c>
      <c r="R135" s="518">
        <v>2.6</v>
      </c>
      <c r="S135" s="329">
        <v>0</v>
      </c>
      <c r="T135" s="518">
        <v>1</v>
      </c>
      <c r="U135" s="517">
        <v>0</v>
      </c>
      <c r="V135" s="518">
        <v>0</v>
      </c>
      <c r="W135" s="113"/>
      <c r="X135" s="283">
        <v>19</v>
      </c>
      <c r="Y135" s="264"/>
      <c r="Z135" s="282">
        <v>0</v>
      </c>
      <c r="AA135" s="293">
        <v>0</v>
      </c>
      <c r="AB135" s="284"/>
      <c r="AC135" s="265">
        <v>135</v>
      </c>
      <c r="AD135" s="294">
        <v>175</v>
      </c>
      <c r="AE135" s="265">
        <v>168</v>
      </c>
      <c r="AF135" s="294">
        <v>142</v>
      </c>
      <c r="AG135" s="265">
        <v>248</v>
      </c>
      <c r="AH135" s="294">
        <v>62</v>
      </c>
      <c r="AI135" s="292">
        <v>286</v>
      </c>
      <c r="AJ135" s="294">
        <v>24</v>
      </c>
      <c r="AK135" s="265">
        <v>310</v>
      </c>
      <c r="AL135" s="294">
        <v>0</v>
      </c>
      <c r="AN135" s="283">
        <v>0</v>
      </c>
      <c r="AO135" s="284"/>
      <c r="AP135" s="282">
        <v>0</v>
      </c>
      <c r="AQ135" s="293">
        <v>0</v>
      </c>
      <c r="AR135" s="284"/>
      <c r="AS135" s="282">
        <v>0</v>
      </c>
      <c r="AT135" s="315">
        <v>0</v>
      </c>
      <c r="AU135" s="282">
        <v>0</v>
      </c>
      <c r="AV135" s="315">
        <v>0</v>
      </c>
      <c r="AW135" s="282">
        <v>0</v>
      </c>
      <c r="AX135" s="315">
        <v>0</v>
      </c>
      <c r="AY135" s="282">
        <v>0</v>
      </c>
      <c r="AZ135" s="315">
        <v>0</v>
      </c>
      <c r="BA135" s="282">
        <v>0</v>
      </c>
      <c r="BB135" s="315">
        <v>0</v>
      </c>
    </row>
    <row r="136" spans="2:54">
      <c r="B136" s="273" t="s">
        <v>65</v>
      </c>
      <c r="C136" s="286" t="s">
        <v>617</v>
      </c>
      <c r="D136" s="189">
        <v>1195</v>
      </c>
      <c r="E136" s="520">
        <v>3.75</v>
      </c>
      <c r="F136" s="236" t="s">
        <v>191</v>
      </c>
      <c r="G136" s="236" t="s">
        <v>178</v>
      </c>
      <c r="H136" s="295">
        <v>1203</v>
      </c>
      <c r="I136" s="264"/>
      <c r="J136" s="267" t="s">
        <v>15</v>
      </c>
      <c r="K136" s="297" t="s">
        <v>15</v>
      </c>
      <c r="L136" s="298"/>
      <c r="M136" s="237" t="s">
        <v>15</v>
      </c>
      <c r="N136" s="314" t="s">
        <v>15</v>
      </c>
      <c r="O136" s="237">
        <v>49</v>
      </c>
      <c r="P136" s="314">
        <v>32.1</v>
      </c>
      <c r="Q136" s="237">
        <v>39</v>
      </c>
      <c r="R136" s="314">
        <v>29.2</v>
      </c>
      <c r="S136" s="509">
        <v>0</v>
      </c>
      <c r="T136" s="314">
        <v>28.2</v>
      </c>
      <c r="U136" s="237">
        <v>0</v>
      </c>
      <c r="V136" s="314">
        <v>23.3</v>
      </c>
      <c r="W136" s="109"/>
      <c r="X136" s="268">
        <v>-8</v>
      </c>
      <c r="Y136" s="264"/>
      <c r="Z136" s="267">
        <v>0</v>
      </c>
      <c r="AA136" s="297">
        <v>0</v>
      </c>
      <c r="AB136" s="284"/>
      <c r="AC136" s="267">
        <v>0</v>
      </c>
      <c r="AD136" s="297">
        <v>0</v>
      </c>
      <c r="AE136" s="267">
        <v>376</v>
      </c>
      <c r="AF136" s="297">
        <v>770</v>
      </c>
      <c r="AG136" s="267">
        <v>455</v>
      </c>
      <c r="AH136" s="297">
        <v>701</v>
      </c>
      <c r="AI136" s="296">
        <v>518</v>
      </c>
      <c r="AJ136" s="297">
        <v>677</v>
      </c>
      <c r="AK136" s="267">
        <v>636</v>
      </c>
      <c r="AL136" s="297">
        <v>559</v>
      </c>
      <c r="AN136" s="283">
        <v>-121</v>
      </c>
      <c r="AO136" s="284"/>
      <c r="AP136" s="282">
        <v>0</v>
      </c>
      <c r="AQ136" s="293">
        <v>0</v>
      </c>
      <c r="AR136" s="284"/>
      <c r="AS136" s="282">
        <v>0</v>
      </c>
      <c r="AT136" s="315">
        <v>0</v>
      </c>
      <c r="AU136" s="282">
        <v>0</v>
      </c>
      <c r="AV136" s="315">
        <v>-4.2999999999999972</v>
      </c>
      <c r="AW136" s="282">
        <v>0</v>
      </c>
      <c r="AX136" s="315">
        <v>-4.3000000000000007</v>
      </c>
      <c r="AY136" s="282">
        <v>0</v>
      </c>
      <c r="AZ136" s="315">
        <v>-4.3000000000000007</v>
      </c>
      <c r="BA136" s="282">
        <v>0</v>
      </c>
      <c r="BB136" s="315">
        <v>-4.3000000000000007</v>
      </c>
    </row>
    <row r="137" spans="2:54" s="109" customFormat="1">
      <c r="B137" s="280" t="s">
        <v>65</v>
      </c>
      <c r="C137" s="281" t="s">
        <v>427</v>
      </c>
      <c r="D137" s="188">
        <v>537</v>
      </c>
      <c r="E137" s="519">
        <v>3.75</v>
      </c>
      <c r="F137" s="233" t="s">
        <v>191</v>
      </c>
      <c r="G137" s="233" t="s">
        <v>178</v>
      </c>
      <c r="H137" s="232">
        <v>468</v>
      </c>
      <c r="I137" s="264"/>
      <c r="J137" s="282" t="s">
        <v>15</v>
      </c>
      <c r="K137" s="293" t="s">
        <v>15</v>
      </c>
      <c r="L137" s="298"/>
      <c r="M137" s="517">
        <v>0</v>
      </c>
      <c r="N137" s="518">
        <v>12.9</v>
      </c>
      <c r="O137" s="517">
        <v>0</v>
      </c>
      <c r="P137" s="518">
        <v>11.5</v>
      </c>
      <c r="Q137" s="517">
        <v>0</v>
      </c>
      <c r="R137" s="518">
        <v>8.1</v>
      </c>
      <c r="S137" s="329">
        <v>0</v>
      </c>
      <c r="T137" s="518">
        <v>6.5</v>
      </c>
      <c r="U137" s="517">
        <v>0</v>
      </c>
      <c r="V137" s="518">
        <v>1.8</v>
      </c>
      <c r="W137" s="113"/>
      <c r="X137" s="283">
        <v>69</v>
      </c>
      <c r="Y137" s="264"/>
      <c r="Z137" s="282">
        <v>0</v>
      </c>
      <c r="AA137" s="293">
        <v>0</v>
      </c>
      <c r="AB137" s="284"/>
      <c r="AC137" s="265">
        <v>227</v>
      </c>
      <c r="AD137" s="294">
        <v>310</v>
      </c>
      <c r="AE137" s="265">
        <v>261</v>
      </c>
      <c r="AF137" s="294">
        <v>276</v>
      </c>
      <c r="AG137" s="265">
        <v>343</v>
      </c>
      <c r="AH137" s="294">
        <v>194</v>
      </c>
      <c r="AI137" s="292">
        <v>381</v>
      </c>
      <c r="AJ137" s="294">
        <v>156</v>
      </c>
      <c r="AK137" s="265">
        <v>494</v>
      </c>
      <c r="AL137" s="294">
        <v>43</v>
      </c>
      <c r="AN137" s="283">
        <v>0</v>
      </c>
      <c r="AO137" s="284"/>
      <c r="AP137" s="282">
        <v>0</v>
      </c>
      <c r="AQ137" s="293">
        <v>0</v>
      </c>
      <c r="AR137" s="284"/>
      <c r="AS137" s="282">
        <v>0</v>
      </c>
      <c r="AT137" s="315">
        <v>0</v>
      </c>
      <c r="AU137" s="282">
        <v>0</v>
      </c>
      <c r="AV137" s="315">
        <v>0</v>
      </c>
      <c r="AW137" s="282">
        <v>0</v>
      </c>
      <c r="AX137" s="315">
        <v>0</v>
      </c>
      <c r="AY137" s="282">
        <v>0</v>
      </c>
      <c r="AZ137" s="315">
        <v>0</v>
      </c>
      <c r="BA137" s="282">
        <v>0</v>
      </c>
      <c r="BB137" s="315">
        <v>0</v>
      </c>
    </row>
    <row r="138" spans="2:54">
      <c r="B138" s="273" t="s">
        <v>65</v>
      </c>
      <c r="C138" s="286" t="s">
        <v>418</v>
      </c>
      <c r="D138" s="189">
        <v>421</v>
      </c>
      <c r="E138" s="520">
        <v>2.5</v>
      </c>
      <c r="F138" s="236" t="s">
        <v>459</v>
      </c>
      <c r="G138" s="236" t="s">
        <v>178</v>
      </c>
      <c r="H138" s="295">
        <v>509</v>
      </c>
      <c r="I138" s="264"/>
      <c r="J138" s="267" t="s">
        <v>15</v>
      </c>
      <c r="K138" s="297" t="s">
        <v>15</v>
      </c>
      <c r="L138" s="298"/>
      <c r="M138" s="237">
        <v>39</v>
      </c>
      <c r="N138" s="314">
        <v>12.4</v>
      </c>
      <c r="O138" s="237">
        <v>19</v>
      </c>
      <c r="P138" s="314">
        <v>11.6</v>
      </c>
      <c r="Q138" s="237">
        <v>0</v>
      </c>
      <c r="R138" s="314">
        <v>9.1</v>
      </c>
      <c r="S138" s="509">
        <v>0</v>
      </c>
      <c r="T138" s="314">
        <v>7.5</v>
      </c>
      <c r="U138" s="237">
        <v>0</v>
      </c>
      <c r="V138" s="314">
        <v>2.8</v>
      </c>
      <c r="W138" s="109"/>
      <c r="X138" s="268">
        <v>-88</v>
      </c>
      <c r="Y138" s="264"/>
      <c r="Z138" s="267">
        <v>0</v>
      </c>
      <c r="AA138" s="297">
        <v>0</v>
      </c>
      <c r="AB138" s="284"/>
      <c r="AC138" s="267">
        <v>84</v>
      </c>
      <c r="AD138" s="297">
        <v>298</v>
      </c>
      <c r="AE138" s="267">
        <v>124</v>
      </c>
      <c r="AF138" s="297">
        <v>278</v>
      </c>
      <c r="AG138" s="267">
        <v>203</v>
      </c>
      <c r="AH138" s="297">
        <v>218</v>
      </c>
      <c r="AI138" s="296">
        <v>241</v>
      </c>
      <c r="AJ138" s="297">
        <v>180</v>
      </c>
      <c r="AK138" s="267">
        <v>354</v>
      </c>
      <c r="AL138" s="297">
        <v>67</v>
      </c>
      <c r="AN138" s="283">
        <v>74</v>
      </c>
      <c r="AO138" s="284"/>
      <c r="AP138" s="282">
        <v>0</v>
      </c>
      <c r="AQ138" s="293">
        <v>0</v>
      </c>
      <c r="AR138" s="284"/>
      <c r="AS138" s="282">
        <v>39</v>
      </c>
      <c r="AT138" s="315">
        <v>0.70000000000000107</v>
      </c>
      <c r="AU138" s="282">
        <v>19</v>
      </c>
      <c r="AV138" s="315">
        <v>1.2999999999999989</v>
      </c>
      <c r="AW138" s="282">
        <v>0</v>
      </c>
      <c r="AX138" s="315">
        <v>2.1999999999999993</v>
      </c>
      <c r="AY138" s="282">
        <v>0</v>
      </c>
      <c r="AZ138" s="315">
        <v>2.2000000000000002</v>
      </c>
      <c r="BA138" s="282">
        <v>0</v>
      </c>
      <c r="BB138" s="315">
        <v>2.8</v>
      </c>
    </row>
    <row r="139" spans="2:54" s="109" customFormat="1">
      <c r="B139" s="280" t="s">
        <v>65</v>
      </c>
      <c r="C139" s="281" t="s">
        <v>566</v>
      </c>
      <c r="D139" s="188">
        <v>315</v>
      </c>
      <c r="E139" s="519">
        <v>2.5</v>
      </c>
      <c r="F139" s="233" t="s">
        <v>459</v>
      </c>
      <c r="G139" s="233" t="s">
        <v>178</v>
      </c>
      <c r="H139" s="232">
        <v>307</v>
      </c>
      <c r="I139" s="264"/>
      <c r="J139" s="282" t="s">
        <v>15</v>
      </c>
      <c r="K139" s="293" t="s">
        <v>15</v>
      </c>
      <c r="L139" s="298"/>
      <c r="M139" s="517">
        <v>0</v>
      </c>
      <c r="N139" s="518">
        <v>7.9</v>
      </c>
      <c r="O139" s="517">
        <v>0</v>
      </c>
      <c r="P139" s="518">
        <v>6.5</v>
      </c>
      <c r="Q139" s="517">
        <v>0</v>
      </c>
      <c r="R139" s="518">
        <v>3.2</v>
      </c>
      <c r="S139" s="329">
        <v>0</v>
      </c>
      <c r="T139" s="518">
        <v>1.6</v>
      </c>
      <c r="U139" s="517">
        <v>0</v>
      </c>
      <c r="V139" s="518">
        <v>0</v>
      </c>
      <c r="W139" s="113"/>
      <c r="X139" s="283">
        <v>8</v>
      </c>
      <c r="Y139" s="264"/>
      <c r="Z139" s="282">
        <v>0</v>
      </c>
      <c r="AA139" s="293">
        <v>0</v>
      </c>
      <c r="AB139" s="284"/>
      <c r="AC139" s="265">
        <v>125</v>
      </c>
      <c r="AD139" s="294">
        <v>190</v>
      </c>
      <c r="AE139" s="265">
        <v>159</v>
      </c>
      <c r="AF139" s="294">
        <v>156</v>
      </c>
      <c r="AG139" s="265">
        <v>238</v>
      </c>
      <c r="AH139" s="294">
        <v>77</v>
      </c>
      <c r="AI139" s="292">
        <v>277</v>
      </c>
      <c r="AJ139" s="294">
        <v>38</v>
      </c>
      <c r="AK139" s="265">
        <v>315</v>
      </c>
      <c r="AL139" s="294">
        <v>0</v>
      </c>
      <c r="AN139" s="283">
        <v>0</v>
      </c>
      <c r="AO139" s="284"/>
      <c r="AP139" s="282">
        <v>0</v>
      </c>
      <c r="AQ139" s="293">
        <v>0</v>
      </c>
      <c r="AR139" s="284"/>
      <c r="AS139" s="282">
        <v>0</v>
      </c>
      <c r="AT139" s="315">
        <v>0</v>
      </c>
      <c r="AU139" s="282">
        <v>0</v>
      </c>
      <c r="AV139" s="315">
        <v>0</v>
      </c>
      <c r="AW139" s="282">
        <v>0</v>
      </c>
      <c r="AX139" s="315">
        <v>0</v>
      </c>
      <c r="AY139" s="282">
        <v>0</v>
      </c>
      <c r="AZ139" s="315">
        <v>0</v>
      </c>
      <c r="BA139" s="282">
        <v>0</v>
      </c>
      <c r="BB139" s="315">
        <v>0</v>
      </c>
    </row>
    <row r="140" spans="2:54">
      <c r="B140" s="273" t="s">
        <v>65</v>
      </c>
      <c r="C140" s="286" t="s">
        <v>567</v>
      </c>
      <c r="D140" s="189">
        <v>373</v>
      </c>
      <c r="E140" s="520">
        <v>2.5</v>
      </c>
      <c r="F140" s="236" t="s">
        <v>459</v>
      </c>
      <c r="G140" s="236" t="s">
        <v>178</v>
      </c>
      <c r="H140" s="295">
        <v>403</v>
      </c>
      <c r="I140" s="264"/>
      <c r="J140" s="267" t="s">
        <v>15</v>
      </c>
      <c r="K140" s="297" t="s">
        <v>15</v>
      </c>
      <c r="L140" s="298"/>
      <c r="M140" s="237">
        <v>0</v>
      </c>
      <c r="N140" s="314">
        <v>10.5</v>
      </c>
      <c r="O140" s="237">
        <v>0</v>
      </c>
      <c r="P140" s="314">
        <v>9.1</v>
      </c>
      <c r="Q140" s="237">
        <v>0</v>
      </c>
      <c r="R140" s="314">
        <v>5.8</v>
      </c>
      <c r="S140" s="509">
        <v>0</v>
      </c>
      <c r="T140" s="314">
        <v>4.2</v>
      </c>
      <c r="U140" s="237">
        <v>0</v>
      </c>
      <c r="V140" s="314">
        <v>0</v>
      </c>
      <c r="W140" s="109"/>
      <c r="X140" s="268">
        <v>-30</v>
      </c>
      <c r="Y140" s="264"/>
      <c r="Z140" s="267">
        <v>0</v>
      </c>
      <c r="AA140" s="297">
        <v>0</v>
      </c>
      <c r="AB140" s="284"/>
      <c r="AC140" s="267">
        <v>121</v>
      </c>
      <c r="AD140" s="297">
        <v>252</v>
      </c>
      <c r="AE140" s="267">
        <v>155</v>
      </c>
      <c r="AF140" s="297">
        <v>218</v>
      </c>
      <c r="AG140" s="267">
        <v>234</v>
      </c>
      <c r="AH140" s="297">
        <v>139</v>
      </c>
      <c r="AI140" s="296">
        <v>272</v>
      </c>
      <c r="AJ140" s="297">
        <v>101</v>
      </c>
      <c r="AK140" s="267">
        <v>373</v>
      </c>
      <c r="AL140" s="297">
        <v>0</v>
      </c>
      <c r="AN140" s="283">
        <v>0</v>
      </c>
      <c r="AO140" s="284"/>
      <c r="AP140" s="282">
        <v>0</v>
      </c>
      <c r="AQ140" s="293">
        <v>0</v>
      </c>
      <c r="AR140" s="284"/>
      <c r="AS140" s="282">
        <v>0</v>
      </c>
      <c r="AT140" s="315">
        <v>0</v>
      </c>
      <c r="AU140" s="282">
        <v>0</v>
      </c>
      <c r="AV140" s="315">
        <v>0</v>
      </c>
      <c r="AW140" s="282">
        <v>0</v>
      </c>
      <c r="AX140" s="315">
        <v>0</v>
      </c>
      <c r="AY140" s="282">
        <v>0</v>
      </c>
      <c r="AZ140" s="315">
        <v>0</v>
      </c>
      <c r="BA140" s="282">
        <v>0</v>
      </c>
      <c r="BB140" s="315">
        <v>0</v>
      </c>
    </row>
    <row r="141" spans="2:54" s="109" customFormat="1">
      <c r="B141" s="280" t="s">
        <v>65</v>
      </c>
      <c r="C141" s="281" t="s">
        <v>568</v>
      </c>
      <c r="D141" s="188">
        <v>338</v>
      </c>
      <c r="E141" s="519">
        <v>2.5</v>
      </c>
      <c r="F141" s="233" t="s">
        <v>459</v>
      </c>
      <c r="G141" s="233" t="s">
        <v>178</v>
      </c>
      <c r="H141" s="232">
        <v>359</v>
      </c>
      <c r="I141" s="264"/>
      <c r="J141" s="282" t="s">
        <v>15</v>
      </c>
      <c r="K141" s="293" t="s">
        <v>15</v>
      </c>
      <c r="L141" s="298"/>
      <c r="M141" s="517">
        <v>0</v>
      </c>
      <c r="N141" s="518">
        <v>8.9</v>
      </c>
      <c r="O141" s="517">
        <v>0</v>
      </c>
      <c r="P141" s="518">
        <v>7.5</v>
      </c>
      <c r="Q141" s="517">
        <v>0</v>
      </c>
      <c r="R141" s="518">
        <v>4.2</v>
      </c>
      <c r="S141" s="329">
        <v>0</v>
      </c>
      <c r="T141" s="518">
        <v>2.6</v>
      </c>
      <c r="U141" s="517">
        <v>0</v>
      </c>
      <c r="V141" s="518">
        <v>0</v>
      </c>
      <c r="W141" s="113"/>
      <c r="X141" s="283">
        <v>-21</v>
      </c>
      <c r="Y141" s="264"/>
      <c r="Z141" s="282">
        <v>0</v>
      </c>
      <c r="AA141" s="293">
        <v>0</v>
      </c>
      <c r="AB141" s="284"/>
      <c r="AC141" s="265">
        <v>124</v>
      </c>
      <c r="AD141" s="294">
        <v>214</v>
      </c>
      <c r="AE141" s="265">
        <v>158</v>
      </c>
      <c r="AF141" s="294">
        <v>180</v>
      </c>
      <c r="AG141" s="265">
        <v>237</v>
      </c>
      <c r="AH141" s="294">
        <v>101</v>
      </c>
      <c r="AI141" s="292">
        <v>276</v>
      </c>
      <c r="AJ141" s="294">
        <v>62</v>
      </c>
      <c r="AK141" s="265">
        <v>338</v>
      </c>
      <c r="AL141" s="294">
        <v>0</v>
      </c>
      <c r="AN141" s="283">
        <v>0</v>
      </c>
      <c r="AO141" s="284"/>
      <c r="AP141" s="282">
        <v>0</v>
      </c>
      <c r="AQ141" s="293">
        <v>0</v>
      </c>
      <c r="AR141" s="284"/>
      <c r="AS141" s="282">
        <v>0</v>
      </c>
      <c r="AT141" s="315">
        <v>0</v>
      </c>
      <c r="AU141" s="282">
        <v>0</v>
      </c>
      <c r="AV141" s="315">
        <v>0</v>
      </c>
      <c r="AW141" s="282">
        <v>0</v>
      </c>
      <c r="AX141" s="315">
        <v>0</v>
      </c>
      <c r="AY141" s="282">
        <v>0</v>
      </c>
      <c r="AZ141" s="315">
        <v>0</v>
      </c>
      <c r="BA141" s="282">
        <v>0</v>
      </c>
      <c r="BB141" s="315">
        <v>0</v>
      </c>
    </row>
    <row r="142" spans="2:54">
      <c r="B142" s="273" t="s">
        <v>65</v>
      </c>
      <c r="C142" s="286" t="s">
        <v>557</v>
      </c>
      <c r="D142" s="189">
        <v>207</v>
      </c>
      <c r="E142" s="520">
        <v>2.5</v>
      </c>
      <c r="F142" s="236" t="s">
        <v>459</v>
      </c>
      <c r="G142" s="236" t="s">
        <v>178</v>
      </c>
      <c r="H142" s="295">
        <v>220</v>
      </c>
      <c r="I142" s="264"/>
      <c r="J142" s="267" t="s">
        <v>15</v>
      </c>
      <c r="K142" s="297" t="s">
        <v>15</v>
      </c>
      <c r="L142" s="298"/>
      <c r="M142" s="237">
        <v>0</v>
      </c>
      <c r="N142" s="314">
        <v>5.5</v>
      </c>
      <c r="O142" s="237">
        <v>0</v>
      </c>
      <c r="P142" s="314">
        <v>4.0999999999999996</v>
      </c>
      <c r="Q142" s="237">
        <v>0</v>
      </c>
      <c r="R142" s="314">
        <v>0</v>
      </c>
      <c r="S142" s="509">
        <v>0</v>
      </c>
      <c r="T142" s="314">
        <v>0</v>
      </c>
      <c r="U142" s="237">
        <v>0</v>
      </c>
      <c r="V142" s="314">
        <v>0</v>
      </c>
      <c r="W142" s="109"/>
      <c r="X142" s="268">
        <v>-13</v>
      </c>
      <c r="Y142" s="264"/>
      <c r="Z142" s="267">
        <v>0</v>
      </c>
      <c r="AA142" s="297">
        <v>0</v>
      </c>
      <c r="AB142" s="284"/>
      <c r="AC142" s="267">
        <v>75</v>
      </c>
      <c r="AD142" s="297">
        <v>132</v>
      </c>
      <c r="AE142" s="267">
        <v>109</v>
      </c>
      <c r="AF142" s="297">
        <v>98</v>
      </c>
      <c r="AG142" s="267">
        <v>207</v>
      </c>
      <c r="AH142" s="297">
        <v>0</v>
      </c>
      <c r="AI142" s="296">
        <v>207</v>
      </c>
      <c r="AJ142" s="297">
        <v>0</v>
      </c>
      <c r="AK142" s="267">
        <v>207</v>
      </c>
      <c r="AL142" s="297">
        <v>0</v>
      </c>
      <c r="AN142" s="283">
        <v>0</v>
      </c>
      <c r="AO142" s="284"/>
      <c r="AP142" s="282">
        <v>0</v>
      </c>
      <c r="AQ142" s="293">
        <v>0</v>
      </c>
      <c r="AR142" s="284"/>
      <c r="AS142" s="282">
        <v>0</v>
      </c>
      <c r="AT142" s="315">
        <v>0</v>
      </c>
      <c r="AU142" s="282">
        <v>0</v>
      </c>
      <c r="AV142" s="315">
        <v>0</v>
      </c>
      <c r="AW142" s="282">
        <v>0</v>
      </c>
      <c r="AX142" s="315">
        <v>0</v>
      </c>
      <c r="AY142" s="282">
        <v>0</v>
      </c>
      <c r="AZ142" s="315">
        <v>0</v>
      </c>
      <c r="BA142" s="282">
        <v>0</v>
      </c>
      <c r="BB142" s="315">
        <v>0</v>
      </c>
    </row>
    <row r="143" spans="2:54" s="109" customFormat="1">
      <c r="B143" s="280" t="s">
        <v>65</v>
      </c>
      <c r="C143" s="281" t="s">
        <v>569</v>
      </c>
      <c r="D143" s="188">
        <v>626</v>
      </c>
      <c r="E143" s="519">
        <v>2.5</v>
      </c>
      <c r="F143" s="233" t="s">
        <v>459</v>
      </c>
      <c r="G143" s="233" t="s">
        <v>178</v>
      </c>
      <c r="H143" s="232">
        <v>636</v>
      </c>
      <c r="I143" s="264"/>
      <c r="J143" s="282" t="s">
        <v>15</v>
      </c>
      <c r="K143" s="293" t="s">
        <v>15</v>
      </c>
      <c r="L143" s="298"/>
      <c r="M143" s="517">
        <v>39</v>
      </c>
      <c r="N143" s="518">
        <v>16.100000000000001</v>
      </c>
      <c r="O143" s="517">
        <v>19</v>
      </c>
      <c r="P143" s="518">
        <v>15.3</v>
      </c>
      <c r="Q143" s="517">
        <v>0</v>
      </c>
      <c r="R143" s="518">
        <v>12.8</v>
      </c>
      <c r="S143" s="329">
        <v>0</v>
      </c>
      <c r="T143" s="518">
        <v>11.2</v>
      </c>
      <c r="U143" s="517">
        <v>0</v>
      </c>
      <c r="V143" s="518">
        <v>6.5</v>
      </c>
      <c r="W143" s="113"/>
      <c r="X143" s="283">
        <v>-10</v>
      </c>
      <c r="Y143" s="264"/>
      <c r="Z143" s="282">
        <v>0</v>
      </c>
      <c r="AA143" s="293">
        <v>0</v>
      </c>
      <c r="AB143" s="284"/>
      <c r="AC143" s="265">
        <v>201</v>
      </c>
      <c r="AD143" s="294">
        <v>386</v>
      </c>
      <c r="AE143" s="265">
        <v>240</v>
      </c>
      <c r="AF143" s="294">
        <v>367</v>
      </c>
      <c r="AG143" s="265">
        <v>319</v>
      </c>
      <c r="AH143" s="294">
        <v>307</v>
      </c>
      <c r="AI143" s="292">
        <v>357</v>
      </c>
      <c r="AJ143" s="294">
        <v>269</v>
      </c>
      <c r="AK143" s="265">
        <v>470</v>
      </c>
      <c r="AL143" s="294">
        <v>156</v>
      </c>
      <c r="AN143" s="283">
        <v>0</v>
      </c>
      <c r="AO143" s="284"/>
      <c r="AP143" s="282">
        <v>0</v>
      </c>
      <c r="AQ143" s="293">
        <v>0</v>
      </c>
      <c r="AR143" s="284"/>
      <c r="AS143" s="282">
        <v>0</v>
      </c>
      <c r="AT143" s="315">
        <v>0</v>
      </c>
      <c r="AU143" s="282">
        <v>0</v>
      </c>
      <c r="AV143" s="315">
        <v>0</v>
      </c>
      <c r="AW143" s="282">
        <v>0</v>
      </c>
      <c r="AX143" s="315">
        <v>0</v>
      </c>
      <c r="AY143" s="282">
        <v>0</v>
      </c>
      <c r="AZ143" s="315">
        <v>0</v>
      </c>
      <c r="BA143" s="282">
        <v>0</v>
      </c>
      <c r="BB143" s="315">
        <v>0</v>
      </c>
    </row>
    <row r="144" spans="2:54">
      <c r="B144" s="273" t="s">
        <v>65</v>
      </c>
      <c r="C144" s="286" t="s">
        <v>500</v>
      </c>
      <c r="D144" s="189">
        <v>343</v>
      </c>
      <c r="E144" s="520">
        <v>3.25</v>
      </c>
      <c r="F144" s="236" t="s">
        <v>190</v>
      </c>
      <c r="G144" s="236" t="s">
        <v>178</v>
      </c>
      <c r="H144" s="295">
        <v>342</v>
      </c>
      <c r="I144" s="264"/>
      <c r="J144" s="267" t="s">
        <v>15</v>
      </c>
      <c r="K144" s="297" t="s">
        <v>15</v>
      </c>
      <c r="L144" s="298"/>
      <c r="M144" s="237">
        <v>0</v>
      </c>
      <c r="N144" s="314">
        <v>7.4</v>
      </c>
      <c r="O144" s="237">
        <v>0</v>
      </c>
      <c r="P144" s="314">
        <v>6.1</v>
      </c>
      <c r="Q144" s="237">
        <v>0</v>
      </c>
      <c r="R144" s="314">
        <v>2.7</v>
      </c>
      <c r="S144" s="509">
        <v>0</v>
      </c>
      <c r="T144" s="314">
        <v>1.1000000000000001</v>
      </c>
      <c r="U144" s="237">
        <v>0</v>
      </c>
      <c r="V144" s="314">
        <v>0</v>
      </c>
      <c r="W144" s="109"/>
      <c r="X144" s="268">
        <v>1</v>
      </c>
      <c r="Y144" s="264"/>
      <c r="Z144" s="267">
        <v>0</v>
      </c>
      <c r="AA144" s="297">
        <v>0</v>
      </c>
      <c r="AB144" s="284"/>
      <c r="AC144" s="267">
        <v>165</v>
      </c>
      <c r="AD144" s="297">
        <v>178</v>
      </c>
      <c r="AE144" s="267">
        <v>197</v>
      </c>
      <c r="AF144" s="297">
        <v>146</v>
      </c>
      <c r="AG144" s="267">
        <v>278</v>
      </c>
      <c r="AH144" s="297">
        <v>65</v>
      </c>
      <c r="AI144" s="296">
        <v>317</v>
      </c>
      <c r="AJ144" s="297">
        <v>26</v>
      </c>
      <c r="AK144" s="267">
        <v>343</v>
      </c>
      <c r="AL144" s="297">
        <v>0</v>
      </c>
      <c r="AN144" s="283">
        <v>0</v>
      </c>
      <c r="AO144" s="284"/>
      <c r="AP144" s="282">
        <v>0</v>
      </c>
      <c r="AQ144" s="293">
        <v>0</v>
      </c>
      <c r="AR144" s="284"/>
      <c r="AS144" s="282">
        <v>0</v>
      </c>
      <c r="AT144" s="315">
        <v>0</v>
      </c>
      <c r="AU144" s="282">
        <v>0</v>
      </c>
      <c r="AV144" s="315">
        <v>0</v>
      </c>
      <c r="AW144" s="282">
        <v>0</v>
      </c>
      <c r="AX144" s="315">
        <v>0</v>
      </c>
      <c r="AY144" s="282">
        <v>0</v>
      </c>
      <c r="AZ144" s="315">
        <v>0</v>
      </c>
      <c r="BA144" s="282">
        <v>0</v>
      </c>
      <c r="BB144" s="315">
        <v>0</v>
      </c>
    </row>
    <row r="145" spans="2:55" s="109" customFormat="1">
      <c r="B145" s="280" t="s">
        <v>65</v>
      </c>
      <c r="C145" s="281" t="s">
        <v>570</v>
      </c>
      <c r="D145" s="188">
        <v>1086</v>
      </c>
      <c r="E145" s="519">
        <v>3.25</v>
      </c>
      <c r="F145" s="233" t="s">
        <v>190</v>
      </c>
      <c r="G145" s="233" t="s">
        <v>178</v>
      </c>
      <c r="H145" s="232">
        <v>1193</v>
      </c>
      <c r="I145" s="264"/>
      <c r="J145" s="282" t="s">
        <v>15</v>
      </c>
      <c r="K145" s="293" t="s">
        <v>15</v>
      </c>
      <c r="L145" s="298"/>
      <c r="M145" s="517" t="s">
        <v>15</v>
      </c>
      <c r="N145" s="518" t="s">
        <v>15</v>
      </c>
      <c r="O145" s="517">
        <v>49</v>
      </c>
      <c r="P145" s="518">
        <v>31.7</v>
      </c>
      <c r="Q145" s="517">
        <v>39</v>
      </c>
      <c r="R145" s="518">
        <v>28.8</v>
      </c>
      <c r="S145" s="329">
        <v>0</v>
      </c>
      <c r="T145" s="518">
        <v>27.8</v>
      </c>
      <c r="U145" s="517">
        <v>0</v>
      </c>
      <c r="V145" s="518">
        <v>22.9</v>
      </c>
      <c r="W145" s="113"/>
      <c r="X145" s="283">
        <v>-107</v>
      </c>
      <c r="Y145" s="264"/>
      <c r="Z145" s="282">
        <v>0</v>
      </c>
      <c r="AA145" s="293">
        <v>0</v>
      </c>
      <c r="AB145" s="284"/>
      <c r="AC145" s="265">
        <v>0</v>
      </c>
      <c r="AD145" s="294">
        <v>0</v>
      </c>
      <c r="AE145" s="265">
        <v>276</v>
      </c>
      <c r="AF145" s="294">
        <v>761</v>
      </c>
      <c r="AG145" s="265">
        <v>356</v>
      </c>
      <c r="AH145" s="294">
        <v>691</v>
      </c>
      <c r="AI145" s="292">
        <v>419</v>
      </c>
      <c r="AJ145" s="294">
        <v>667</v>
      </c>
      <c r="AK145" s="265">
        <v>536</v>
      </c>
      <c r="AL145" s="294">
        <v>550</v>
      </c>
      <c r="AN145" s="283">
        <v>0</v>
      </c>
      <c r="AO145" s="284"/>
      <c r="AP145" s="282">
        <v>0</v>
      </c>
      <c r="AQ145" s="293">
        <v>0</v>
      </c>
      <c r="AR145" s="284"/>
      <c r="AS145" s="282">
        <v>0</v>
      </c>
      <c r="AT145" s="315">
        <v>0</v>
      </c>
      <c r="AU145" s="282">
        <v>0</v>
      </c>
      <c r="AV145" s="315">
        <v>0</v>
      </c>
      <c r="AW145" s="282">
        <v>0</v>
      </c>
      <c r="AX145" s="315">
        <v>0</v>
      </c>
      <c r="AY145" s="282">
        <v>0</v>
      </c>
      <c r="AZ145" s="315">
        <v>0</v>
      </c>
      <c r="BA145" s="282">
        <v>0</v>
      </c>
      <c r="BB145" s="315">
        <v>0</v>
      </c>
    </row>
    <row r="146" spans="2:55" s="109" customFormat="1">
      <c r="B146" s="273" t="s">
        <v>65</v>
      </c>
      <c r="C146" s="286" t="s">
        <v>571</v>
      </c>
      <c r="D146" s="189">
        <v>1179</v>
      </c>
      <c r="E146" s="520">
        <v>3.25</v>
      </c>
      <c r="F146" s="236" t="s">
        <v>190</v>
      </c>
      <c r="G146" s="236" t="s">
        <v>178</v>
      </c>
      <c r="H146" s="295">
        <v>1305</v>
      </c>
      <c r="I146" s="264"/>
      <c r="J146" s="267" t="s">
        <v>15</v>
      </c>
      <c r="K146" s="297" t="s">
        <v>15</v>
      </c>
      <c r="L146" s="298"/>
      <c r="M146" s="237" t="s">
        <v>15</v>
      </c>
      <c r="N146" s="314" t="s">
        <v>15</v>
      </c>
      <c r="O146" s="237">
        <v>49</v>
      </c>
      <c r="P146" s="314">
        <v>35.799999999999997</v>
      </c>
      <c r="Q146" s="237">
        <v>39</v>
      </c>
      <c r="R146" s="314">
        <v>32.799999999999997</v>
      </c>
      <c r="S146" s="509">
        <v>0</v>
      </c>
      <c r="T146" s="314">
        <v>31.8</v>
      </c>
      <c r="U146" s="237">
        <v>0</v>
      </c>
      <c r="V146" s="314">
        <v>26.9</v>
      </c>
      <c r="X146" s="268">
        <v>-126</v>
      </c>
      <c r="Y146" s="264"/>
      <c r="Z146" s="267">
        <v>0</v>
      </c>
      <c r="AA146" s="297">
        <v>0</v>
      </c>
      <c r="AB146" s="284"/>
      <c r="AC146" s="267">
        <v>0</v>
      </c>
      <c r="AD146" s="297">
        <v>0</v>
      </c>
      <c r="AE146" s="267">
        <v>271</v>
      </c>
      <c r="AF146" s="297">
        <v>859</v>
      </c>
      <c r="AG146" s="267">
        <v>353</v>
      </c>
      <c r="AH146" s="297">
        <v>787</v>
      </c>
      <c r="AI146" s="296">
        <v>416</v>
      </c>
      <c r="AJ146" s="297">
        <v>763</v>
      </c>
      <c r="AK146" s="267">
        <v>533</v>
      </c>
      <c r="AL146" s="297">
        <v>646</v>
      </c>
      <c r="AM146" s="113"/>
      <c r="AN146" s="283">
        <v>0</v>
      </c>
      <c r="AO146" s="284"/>
      <c r="AP146" s="282">
        <v>0</v>
      </c>
      <c r="AQ146" s="293">
        <v>0</v>
      </c>
      <c r="AR146" s="284"/>
      <c r="AS146" s="282">
        <v>0</v>
      </c>
      <c r="AT146" s="315">
        <v>0</v>
      </c>
      <c r="AU146" s="282">
        <v>0</v>
      </c>
      <c r="AV146" s="315">
        <v>0</v>
      </c>
      <c r="AW146" s="282">
        <v>0</v>
      </c>
      <c r="AX146" s="315">
        <v>0</v>
      </c>
      <c r="AY146" s="282">
        <v>0</v>
      </c>
      <c r="AZ146" s="315">
        <v>0</v>
      </c>
      <c r="BA146" s="282">
        <v>0</v>
      </c>
      <c r="BB146" s="315">
        <v>0</v>
      </c>
      <c r="BC146" s="113"/>
    </row>
    <row r="147" spans="2:55" s="109" customFormat="1">
      <c r="B147" s="280" t="s">
        <v>65</v>
      </c>
      <c r="C147" s="281" t="s">
        <v>572</v>
      </c>
      <c r="D147" s="188">
        <v>1980</v>
      </c>
      <c r="E147" s="519">
        <v>3.25</v>
      </c>
      <c r="F147" s="233" t="s">
        <v>190</v>
      </c>
      <c r="G147" s="233" t="s">
        <v>178</v>
      </c>
      <c r="H147" s="232">
        <v>2033</v>
      </c>
      <c r="I147" s="264"/>
      <c r="J147" s="282" t="s">
        <v>15</v>
      </c>
      <c r="K147" s="293" t="s">
        <v>15</v>
      </c>
      <c r="L147" s="298"/>
      <c r="M147" s="517" t="s">
        <v>15</v>
      </c>
      <c r="N147" s="518" t="s">
        <v>15</v>
      </c>
      <c r="O147" s="517">
        <v>139</v>
      </c>
      <c r="P147" s="518">
        <v>58</v>
      </c>
      <c r="Q147" s="517">
        <v>129</v>
      </c>
      <c r="R147" s="518">
        <v>55.1</v>
      </c>
      <c r="S147" s="329">
        <v>108.99999999999999</v>
      </c>
      <c r="T147" s="518">
        <v>53.2</v>
      </c>
      <c r="U147" s="517">
        <v>89</v>
      </c>
      <c r="V147" s="518">
        <v>49.2</v>
      </c>
      <c r="W147" s="113"/>
      <c r="X147" s="283">
        <v>-53</v>
      </c>
      <c r="Y147" s="264"/>
      <c r="Z147" s="282">
        <v>0</v>
      </c>
      <c r="AA147" s="293">
        <v>0</v>
      </c>
      <c r="AB147" s="284"/>
      <c r="AC147" s="265">
        <v>0</v>
      </c>
      <c r="AD147" s="294">
        <v>0</v>
      </c>
      <c r="AE147" s="265">
        <v>449</v>
      </c>
      <c r="AF147" s="294">
        <v>1392</v>
      </c>
      <c r="AG147" s="265">
        <v>529</v>
      </c>
      <c r="AH147" s="294">
        <v>1322</v>
      </c>
      <c r="AI147" s="292">
        <v>594</v>
      </c>
      <c r="AJ147" s="294">
        <v>1277</v>
      </c>
      <c r="AK147" s="265">
        <v>710</v>
      </c>
      <c r="AL147" s="294">
        <v>1181</v>
      </c>
      <c r="AN147" s="283">
        <v>0</v>
      </c>
      <c r="AO147" s="284"/>
      <c r="AP147" s="282">
        <v>0</v>
      </c>
      <c r="AQ147" s="293">
        <v>0</v>
      </c>
      <c r="AR147" s="284"/>
      <c r="AS147" s="282">
        <v>0</v>
      </c>
      <c r="AT147" s="315">
        <v>0</v>
      </c>
      <c r="AU147" s="282">
        <v>0</v>
      </c>
      <c r="AV147" s="315">
        <v>0</v>
      </c>
      <c r="AW147" s="282">
        <v>0</v>
      </c>
      <c r="AX147" s="315">
        <v>0</v>
      </c>
      <c r="AY147" s="282">
        <v>0</v>
      </c>
      <c r="AZ147" s="315">
        <v>0</v>
      </c>
      <c r="BA147" s="282">
        <v>0</v>
      </c>
      <c r="BB147" s="315">
        <v>0</v>
      </c>
    </row>
    <row r="148" spans="2:55" s="109" customFormat="1">
      <c r="B148" s="273" t="s">
        <v>65</v>
      </c>
      <c r="C148" s="286" t="s">
        <v>573</v>
      </c>
      <c r="D148" s="189">
        <v>1703</v>
      </c>
      <c r="E148" s="520">
        <v>3.25</v>
      </c>
      <c r="F148" s="236" t="s">
        <v>190</v>
      </c>
      <c r="G148" s="236" t="s">
        <v>178</v>
      </c>
      <c r="H148" s="295">
        <v>1879</v>
      </c>
      <c r="I148" s="264"/>
      <c r="J148" s="267" t="s">
        <v>15</v>
      </c>
      <c r="K148" s="297" t="s">
        <v>15</v>
      </c>
      <c r="L148" s="298"/>
      <c r="M148" s="237" t="s">
        <v>15</v>
      </c>
      <c r="N148" s="314" t="s">
        <v>15</v>
      </c>
      <c r="O148" s="237">
        <v>139</v>
      </c>
      <c r="P148" s="314">
        <v>52.4</v>
      </c>
      <c r="Q148" s="237">
        <v>129</v>
      </c>
      <c r="R148" s="314">
        <v>49.5</v>
      </c>
      <c r="S148" s="509">
        <v>108.99999999999999</v>
      </c>
      <c r="T148" s="314">
        <v>47.7</v>
      </c>
      <c r="U148" s="237">
        <v>89</v>
      </c>
      <c r="V148" s="314">
        <v>43.7</v>
      </c>
      <c r="X148" s="268">
        <v>-176</v>
      </c>
      <c r="Y148" s="264"/>
      <c r="Z148" s="267">
        <v>0</v>
      </c>
      <c r="AA148" s="297">
        <v>0</v>
      </c>
      <c r="AB148" s="284"/>
      <c r="AC148" s="267">
        <v>0</v>
      </c>
      <c r="AD148" s="297">
        <v>0</v>
      </c>
      <c r="AE148" s="267">
        <v>306</v>
      </c>
      <c r="AF148" s="297">
        <v>1258</v>
      </c>
      <c r="AG148" s="267">
        <v>386</v>
      </c>
      <c r="AH148" s="297">
        <v>1188</v>
      </c>
      <c r="AI148" s="296">
        <v>449</v>
      </c>
      <c r="AJ148" s="297">
        <v>1145</v>
      </c>
      <c r="AK148" s="267">
        <v>565</v>
      </c>
      <c r="AL148" s="297">
        <v>1049</v>
      </c>
      <c r="AM148" s="113"/>
      <c r="AN148" s="283">
        <v>0</v>
      </c>
      <c r="AO148" s="284"/>
      <c r="AP148" s="282">
        <v>0</v>
      </c>
      <c r="AQ148" s="293">
        <v>0</v>
      </c>
      <c r="AR148" s="284"/>
      <c r="AS148" s="282">
        <v>0</v>
      </c>
      <c r="AT148" s="315">
        <v>0</v>
      </c>
      <c r="AU148" s="282">
        <v>0</v>
      </c>
      <c r="AV148" s="315">
        <v>0</v>
      </c>
      <c r="AW148" s="282">
        <v>0</v>
      </c>
      <c r="AX148" s="315">
        <v>0</v>
      </c>
      <c r="AY148" s="282">
        <v>0</v>
      </c>
      <c r="AZ148" s="315">
        <v>0</v>
      </c>
      <c r="BA148" s="282">
        <v>0</v>
      </c>
      <c r="BB148" s="315">
        <v>0</v>
      </c>
      <c r="BC148" s="113"/>
    </row>
    <row r="149" spans="2:55" s="109" customFormat="1">
      <c r="B149" s="280" t="s">
        <v>65</v>
      </c>
      <c r="C149" s="281" t="s">
        <v>574</v>
      </c>
      <c r="D149" s="188">
        <v>1796</v>
      </c>
      <c r="E149" s="519">
        <v>3.25</v>
      </c>
      <c r="F149" s="233" t="s">
        <v>190</v>
      </c>
      <c r="G149" s="233" t="s">
        <v>178</v>
      </c>
      <c r="H149" s="232">
        <v>1990</v>
      </c>
      <c r="I149" s="264"/>
      <c r="J149" s="282" t="s">
        <v>15</v>
      </c>
      <c r="K149" s="293" t="s">
        <v>15</v>
      </c>
      <c r="L149" s="298"/>
      <c r="M149" s="517" t="s">
        <v>15</v>
      </c>
      <c r="N149" s="518" t="s">
        <v>15</v>
      </c>
      <c r="O149" s="517">
        <v>139</v>
      </c>
      <c r="P149" s="518">
        <v>56.4</v>
      </c>
      <c r="Q149" s="517">
        <v>129</v>
      </c>
      <c r="R149" s="518">
        <v>53.5</v>
      </c>
      <c r="S149" s="329">
        <v>108.99999999999999</v>
      </c>
      <c r="T149" s="518">
        <v>51.7</v>
      </c>
      <c r="U149" s="517">
        <v>89</v>
      </c>
      <c r="V149" s="518">
        <v>47.7</v>
      </c>
      <c r="W149" s="113"/>
      <c r="X149" s="283">
        <v>-194</v>
      </c>
      <c r="Y149" s="264"/>
      <c r="Z149" s="282">
        <v>0</v>
      </c>
      <c r="AA149" s="293">
        <v>0</v>
      </c>
      <c r="AB149" s="284"/>
      <c r="AC149" s="265">
        <v>0</v>
      </c>
      <c r="AD149" s="294">
        <v>0</v>
      </c>
      <c r="AE149" s="265">
        <v>303</v>
      </c>
      <c r="AF149" s="294">
        <v>1354</v>
      </c>
      <c r="AG149" s="265">
        <v>383</v>
      </c>
      <c r="AH149" s="294">
        <v>1284</v>
      </c>
      <c r="AI149" s="292">
        <v>446</v>
      </c>
      <c r="AJ149" s="294">
        <v>1241</v>
      </c>
      <c r="AK149" s="265">
        <v>562</v>
      </c>
      <c r="AL149" s="294">
        <v>1145</v>
      </c>
      <c r="AN149" s="283">
        <v>0</v>
      </c>
      <c r="AO149" s="284"/>
      <c r="AP149" s="282">
        <v>0</v>
      </c>
      <c r="AQ149" s="293">
        <v>0</v>
      </c>
      <c r="AR149" s="284"/>
      <c r="AS149" s="282">
        <v>0</v>
      </c>
      <c r="AT149" s="315">
        <v>0</v>
      </c>
      <c r="AU149" s="282">
        <v>0</v>
      </c>
      <c r="AV149" s="315">
        <v>0</v>
      </c>
      <c r="AW149" s="282">
        <v>0</v>
      </c>
      <c r="AX149" s="315">
        <v>0</v>
      </c>
      <c r="AY149" s="282">
        <v>0</v>
      </c>
      <c r="AZ149" s="315">
        <v>0</v>
      </c>
      <c r="BA149" s="282">
        <v>0</v>
      </c>
      <c r="BB149" s="315">
        <v>0</v>
      </c>
    </row>
    <row r="150" spans="2:55" s="109" customFormat="1">
      <c r="B150" s="273" t="s">
        <v>65</v>
      </c>
      <c r="C150" s="286" t="s">
        <v>515</v>
      </c>
      <c r="D150" s="189">
        <v>429</v>
      </c>
      <c r="E150" s="520">
        <v>0</v>
      </c>
      <c r="F150" s="236" t="s">
        <v>195</v>
      </c>
      <c r="G150" s="236" t="s">
        <v>178</v>
      </c>
      <c r="H150" s="295">
        <v>429</v>
      </c>
      <c r="I150" s="264"/>
      <c r="J150" s="267" t="s">
        <v>15</v>
      </c>
      <c r="K150" s="297" t="s">
        <v>15</v>
      </c>
      <c r="L150" s="298"/>
      <c r="M150" s="237">
        <v>0</v>
      </c>
      <c r="N150" s="314">
        <v>10.199999999999999</v>
      </c>
      <c r="O150" s="237">
        <v>0</v>
      </c>
      <c r="P150" s="314">
        <v>8.8000000000000007</v>
      </c>
      <c r="Q150" s="237">
        <v>0</v>
      </c>
      <c r="R150" s="314">
        <v>5.5</v>
      </c>
      <c r="S150" s="509">
        <v>0</v>
      </c>
      <c r="T150" s="314">
        <v>3.8</v>
      </c>
      <c r="U150" s="237">
        <v>0</v>
      </c>
      <c r="V150" s="314">
        <v>0</v>
      </c>
      <c r="X150" s="268">
        <v>0</v>
      </c>
      <c r="Y150" s="264"/>
      <c r="Z150" s="267">
        <v>0</v>
      </c>
      <c r="AA150" s="297">
        <v>0</v>
      </c>
      <c r="AB150" s="284"/>
      <c r="AC150" s="267">
        <v>184</v>
      </c>
      <c r="AD150" s="297">
        <v>245</v>
      </c>
      <c r="AE150" s="267">
        <v>218</v>
      </c>
      <c r="AF150" s="297">
        <v>211</v>
      </c>
      <c r="AG150" s="267">
        <v>297</v>
      </c>
      <c r="AH150" s="297">
        <v>132</v>
      </c>
      <c r="AI150" s="296">
        <v>338</v>
      </c>
      <c r="AJ150" s="297">
        <v>91</v>
      </c>
      <c r="AK150" s="267">
        <v>429</v>
      </c>
      <c r="AL150" s="297">
        <v>0</v>
      </c>
      <c r="AM150" s="113"/>
      <c r="AN150" s="283">
        <v>0</v>
      </c>
      <c r="AO150" s="284"/>
      <c r="AP150" s="282">
        <v>0</v>
      </c>
      <c r="AQ150" s="293">
        <v>0</v>
      </c>
      <c r="AR150" s="284"/>
      <c r="AS150" s="282">
        <v>0</v>
      </c>
      <c r="AT150" s="315">
        <v>0</v>
      </c>
      <c r="AU150" s="282">
        <v>0</v>
      </c>
      <c r="AV150" s="315">
        <v>0</v>
      </c>
      <c r="AW150" s="282">
        <v>0</v>
      </c>
      <c r="AX150" s="315">
        <v>0</v>
      </c>
      <c r="AY150" s="282">
        <v>0</v>
      </c>
      <c r="AZ150" s="315">
        <v>0</v>
      </c>
      <c r="BA150" s="282">
        <v>0</v>
      </c>
      <c r="BB150" s="315">
        <v>0</v>
      </c>
      <c r="BC150" s="113"/>
    </row>
    <row r="151" spans="2:55" s="109" customFormat="1">
      <c r="B151" s="280" t="s">
        <v>65</v>
      </c>
      <c r="C151" s="281" t="s">
        <v>516</v>
      </c>
      <c r="D151" s="188">
        <v>537</v>
      </c>
      <c r="E151" s="519">
        <v>0</v>
      </c>
      <c r="F151" s="233" t="s">
        <v>195</v>
      </c>
      <c r="G151" s="233" t="s">
        <v>178</v>
      </c>
      <c r="H151" s="232">
        <v>599</v>
      </c>
      <c r="I151" s="264"/>
      <c r="J151" s="282" t="s">
        <v>15</v>
      </c>
      <c r="K151" s="293" t="s">
        <v>15</v>
      </c>
      <c r="L151" s="298"/>
      <c r="M151" s="517" t="s">
        <v>15</v>
      </c>
      <c r="N151" s="518" t="s">
        <v>15</v>
      </c>
      <c r="O151" s="517">
        <v>39</v>
      </c>
      <c r="P151" s="518">
        <v>13.6</v>
      </c>
      <c r="Q151" s="517">
        <v>0</v>
      </c>
      <c r="R151" s="518">
        <v>11.9</v>
      </c>
      <c r="S151" s="329">
        <v>0</v>
      </c>
      <c r="T151" s="518">
        <v>10.3</v>
      </c>
      <c r="U151" s="517">
        <v>0</v>
      </c>
      <c r="V151" s="518">
        <v>5.6</v>
      </c>
      <c r="W151" s="113"/>
      <c r="X151" s="283">
        <v>-62</v>
      </c>
      <c r="Y151" s="264"/>
      <c r="Z151" s="282">
        <v>0</v>
      </c>
      <c r="AA151" s="293">
        <v>0</v>
      </c>
      <c r="AB151" s="284"/>
      <c r="AC151" s="265">
        <v>0</v>
      </c>
      <c r="AD151" s="294">
        <v>0</v>
      </c>
      <c r="AE151" s="265">
        <v>172</v>
      </c>
      <c r="AF151" s="294">
        <v>326</v>
      </c>
      <c r="AG151" s="265">
        <v>251</v>
      </c>
      <c r="AH151" s="294">
        <v>286</v>
      </c>
      <c r="AI151" s="292">
        <v>290</v>
      </c>
      <c r="AJ151" s="294">
        <v>247</v>
      </c>
      <c r="AK151" s="265">
        <v>403</v>
      </c>
      <c r="AL151" s="294">
        <v>134</v>
      </c>
      <c r="AN151" s="283">
        <v>0</v>
      </c>
      <c r="AO151" s="284"/>
      <c r="AP151" s="282">
        <v>0</v>
      </c>
      <c r="AQ151" s="293">
        <v>0</v>
      </c>
      <c r="AR151" s="284"/>
      <c r="AS151" s="282">
        <v>0</v>
      </c>
      <c r="AT151" s="315">
        <v>0</v>
      </c>
      <c r="AU151" s="282">
        <v>0</v>
      </c>
      <c r="AV151" s="315">
        <v>0</v>
      </c>
      <c r="AW151" s="282">
        <v>0</v>
      </c>
      <c r="AX151" s="315">
        <v>0</v>
      </c>
      <c r="AY151" s="282">
        <v>0</v>
      </c>
      <c r="AZ151" s="315">
        <v>0</v>
      </c>
      <c r="BA151" s="282">
        <v>0</v>
      </c>
      <c r="BB151" s="315">
        <v>0</v>
      </c>
    </row>
    <row r="152" spans="2:55" s="109" customFormat="1">
      <c r="B152" s="273" t="s">
        <v>65</v>
      </c>
      <c r="C152" s="286" t="s">
        <v>517</v>
      </c>
      <c r="D152" s="189">
        <v>702</v>
      </c>
      <c r="E152" s="520">
        <v>0</v>
      </c>
      <c r="F152" s="236" t="s">
        <v>195</v>
      </c>
      <c r="G152" s="236" t="s">
        <v>178</v>
      </c>
      <c r="H152" s="295">
        <v>799</v>
      </c>
      <c r="I152" s="264"/>
      <c r="J152" s="267" t="s">
        <v>15</v>
      </c>
      <c r="K152" s="297" t="s">
        <v>15</v>
      </c>
      <c r="L152" s="298"/>
      <c r="M152" s="237" t="s">
        <v>15</v>
      </c>
      <c r="N152" s="314" t="s">
        <v>15</v>
      </c>
      <c r="O152" s="237">
        <v>39</v>
      </c>
      <c r="P152" s="314">
        <v>16.399999999999999</v>
      </c>
      <c r="Q152" s="237">
        <v>0</v>
      </c>
      <c r="R152" s="314">
        <v>14.8</v>
      </c>
      <c r="S152" s="509">
        <v>0</v>
      </c>
      <c r="T152" s="314">
        <v>13.2</v>
      </c>
      <c r="U152" s="237">
        <v>0</v>
      </c>
      <c r="V152" s="314">
        <v>8.5</v>
      </c>
      <c r="X152" s="268">
        <v>-97</v>
      </c>
      <c r="Y152" s="264"/>
      <c r="Z152" s="267">
        <v>0</v>
      </c>
      <c r="AA152" s="297">
        <v>0</v>
      </c>
      <c r="AB152" s="284"/>
      <c r="AC152" s="267">
        <v>0</v>
      </c>
      <c r="AD152" s="297">
        <v>0</v>
      </c>
      <c r="AE152" s="267">
        <v>269</v>
      </c>
      <c r="AF152" s="297">
        <v>394</v>
      </c>
      <c r="AG152" s="267">
        <v>347</v>
      </c>
      <c r="AH152" s="297">
        <v>355</v>
      </c>
      <c r="AI152" s="296">
        <v>385</v>
      </c>
      <c r="AJ152" s="297">
        <v>317</v>
      </c>
      <c r="AK152" s="267">
        <v>498</v>
      </c>
      <c r="AL152" s="297">
        <v>204</v>
      </c>
      <c r="AM152" s="113"/>
      <c r="AN152" s="283">
        <v>0</v>
      </c>
      <c r="AO152" s="284"/>
      <c r="AP152" s="282">
        <v>0</v>
      </c>
      <c r="AQ152" s="293">
        <v>0</v>
      </c>
      <c r="AR152" s="284"/>
      <c r="AS152" s="282">
        <v>0</v>
      </c>
      <c r="AT152" s="315">
        <v>0</v>
      </c>
      <c r="AU152" s="282">
        <v>0</v>
      </c>
      <c r="AV152" s="315">
        <v>-0.90000000000000213</v>
      </c>
      <c r="AW152" s="282">
        <v>0</v>
      </c>
      <c r="AX152" s="315">
        <v>-0.79999999999999893</v>
      </c>
      <c r="AY152" s="282">
        <v>0</v>
      </c>
      <c r="AZ152" s="315">
        <v>-0.80000000000000071</v>
      </c>
      <c r="BA152" s="282">
        <v>0</v>
      </c>
      <c r="BB152" s="315">
        <v>-0.80000000000000071</v>
      </c>
      <c r="BC152" s="113"/>
    </row>
    <row r="153" spans="2:55" s="109" customFormat="1">
      <c r="B153" s="280" t="s">
        <v>65</v>
      </c>
      <c r="C153" s="281" t="s">
        <v>417</v>
      </c>
      <c r="D153" s="188">
        <v>2727</v>
      </c>
      <c r="E153" s="519">
        <v>0</v>
      </c>
      <c r="F153" s="233" t="s">
        <v>195</v>
      </c>
      <c r="G153" s="233" t="s">
        <v>178</v>
      </c>
      <c r="H153" s="232">
        <v>3299</v>
      </c>
      <c r="I153" s="264"/>
      <c r="J153" s="282" t="s">
        <v>15</v>
      </c>
      <c r="K153" s="293" t="s">
        <v>15</v>
      </c>
      <c r="L153" s="298"/>
      <c r="M153" s="517" t="s">
        <v>15</v>
      </c>
      <c r="N153" s="518" t="s">
        <v>15</v>
      </c>
      <c r="O153" s="517">
        <v>139</v>
      </c>
      <c r="P153" s="518">
        <v>72.7</v>
      </c>
      <c r="Q153" s="517">
        <v>89</v>
      </c>
      <c r="R153" s="518">
        <v>71.5</v>
      </c>
      <c r="S153" s="329">
        <v>79</v>
      </c>
      <c r="T153" s="518">
        <v>70.3</v>
      </c>
      <c r="U153" s="517">
        <v>69</v>
      </c>
      <c r="V153" s="518">
        <v>66.099999999999994</v>
      </c>
      <c r="W153" s="113"/>
      <c r="X153" s="283">
        <v>-572</v>
      </c>
      <c r="Y153" s="264"/>
      <c r="Z153" s="282">
        <v>0</v>
      </c>
      <c r="AA153" s="293">
        <v>0</v>
      </c>
      <c r="AB153" s="284"/>
      <c r="AC153" s="265">
        <v>0</v>
      </c>
      <c r="AD153" s="294">
        <v>0</v>
      </c>
      <c r="AE153" s="265">
        <v>843</v>
      </c>
      <c r="AF153" s="294">
        <v>1745</v>
      </c>
      <c r="AG153" s="265">
        <v>922</v>
      </c>
      <c r="AH153" s="294">
        <v>1716</v>
      </c>
      <c r="AI153" s="292">
        <v>961</v>
      </c>
      <c r="AJ153" s="294">
        <v>1687</v>
      </c>
      <c r="AK153" s="265">
        <v>1072</v>
      </c>
      <c r="AL153" s="294">
        <v>1586</v>
      </c>
      <c r="AN153" s="283">
        <v>0</v>
      </c>
      <c r="AO153" s="284"/>
      <c r="AP153" s="282">
        <v>0</v>
      </c>
      <c r="AQ153" s="293">
        <v>0</v>
      </c>
      <c r="AR153" s="284"/>
      <c r="AS153" s="282">
        <v>0</v>
      </c>
      <c r="AT153" s="315">
        <v>0</v>
      </c>
      <c r="AU153" s="282">
        <v>0</v>
      </c>
      <c r="AV153" s="315">
        <v>0</v>
      </c>
      <c r="AW153" s="282">
        <v>0</v>
      </c>
      <c r="AX153" s="315">
        <v>0</v>
      </c>
      <c r="AY153" s="282">
        <v>0</v>
      </c>
      <c r="AZ153" s="315">
        <v>0</v>
      </c>
      <c r="BA153" s="282">
        <v>0</v>
      </c>
      <c r="BB153" s="315">
        <v>0</v>
      </c>
    </row>
    <row r="154" spans="2:55">
      <c r="B154" s="273" t="s">
        <v>65</v>
      </c>
      <c r="C154" s="286" t="s">
        <v>518</v>
      </c>
      <c r="D154" s="189">
        <v>1012</v>
      </c>
      <c r="E154" s="520">
        <v>0</v>
      </c>
      <c r="F154" s="236" t="s">
        <v>195</v>
      </c>
      <c r="G154" s="236" t="s">
        <v>178</v>
      </c>
      <c r="H154" s="295">
        <v>1099</v>
      </c>
      <c r="I154" s="264"/>
      <c r="J154" s="267" t="s">
        <v>15</v>
      </c>
      <c r="K154" s="297" t="s">
        <v>15</v>
      </c>
      <c r="L154" s="298"/>
      <c r="M154" s="237" t="s">
        <v>15</v>
      </c>
      <c r="N154" s="314" t="s">
        <v>15</v>
      </c>
      <c r="O154" s="237">
        <v>139</v>
      </c>
      <c r="P154" s="314">
        <v>22.6</v>
      </c>
      <c r="Q154" s="237">
        <v>89</v>
      </c>
      <c r="R154" s="314">
        <v>21.5</v>
      </c>
      <c r="S154" s="509">
        <v>79</v>
      </c>
      <c r="T154" s="314">
        <v>20.3</v>
      </c>
      <c r="U154" s="237">
        <v>0</v>
      </c>
      <c r="V154" s="314">
        <v>19</v>
      </c>
      <c r="W154" s="109"/>
      <c r="X154" s="268">
        <v>-87</v>
      </c>
      <c r="Y154" s="264"/>
      <c r="Z154" s="267">
        <v>0</v>
      </c>
      <c r="AA154" s="297">
        <v>0</v>
      </c>
      <c r="AB154" s="284"/>
      <c r="AC154" s="267">
        <v>0</v>
      </c>
      <c r="AD154" s="297">
        <v>0</v>
      </c>
      <c r="AE154" s="267">
        <v>331</v>
      </c>
      <c r="AF154" s="297">
        <v>542</v>
      </c>
      <c r="AG154" s="267">
        <v>407</v>
      </c>
      <c r="AH154" s="297">
        <v>516</v>
      </c>
      <c r="AI154" s="296">
        <v>446</v>
      </c>
      <c r="AJ154" s="297">
        <v>487</v>
      </c>
      <c r="AK154" s="267">
        <v>556</v>
      </c>
      <c r="AL154" s="297">
        <v>456</v>
      </c>
      <c r="AN154" s="283">
        <v>0</v>
      </c>
      <c r="AO154" s="284"/>
      <c r="AP154" s="282">
        <v>0</v>
      </c>
      <c r="AQ154" s="293">
        <v>0</v>
      </c>
      <c r="AR154" s="284"/>
      <c r="AS154" s="282">
        <v>0</v>
      </c>
      <c r="AT154" s="315">
        <v>0</v>
      </c>
      <c r="AU154" s="282">
        <v>0</v>
      </c>
      <c r="AV154" s="315">
        <v>0</v>
      </c>
      <c r="AW154" s="282">
        <v>0</v>
      </c>
      <c r="AX154" s="315">
        <v>0</v>
      </c>
      <c r="AY154" s="282">
        <v>0</v>
      </c>
      <c r="AZ154" s="315">
        <v>0</v>
      </c>
      <c r="BA154" s="282">
        <v>0</v>
      </c>
      <c r="BB154" s="315">
        <v>0</v>
      </c>
    </row>
    <row r="155" spans="2:55" s="109" customFormat="1">
      <c r="B155" s="280" t="s">
        <v>180</v>
      </c>
      <c r="C155" s="281" t="s">
        <v>384</v>
      </c>
      <c r="D155" s="188">
        <v>162</v>
      </c>
      <c r="E155" s="519">
        <v>3.25</v>
      </c>
      <c r="F155" s="233" t="s">
        <v>190</v>
      </c>
      <c r="G155" s="233" t="s">
        <v>178</v>
      </c>
      <c r="H155" s="232">
        <v>113</v>
      </c>
      <c r="I155" s="264"/>
      <c r="J155" s="282" t="s">
        <v>15</v>
      </c>
      <c r="K155" s="293" t="s">
        <v>15</v>
      </c>
      <c r="L155" s="298"/>
      <c r="M155" s="517">
        <v>0</v>
      </c>
      <c r="N155" s="518">
        <v>2.6</v>
      </c>
      <c r="O155" s="517">
        <v>0</v>
      </c>
      <c r="P155" s="518">
        <v>1.2</v>
      </c>
      <c r="Q155" s="517">
        <v>0</v>
      </c>
      <c r="R155" s="518">
        <v>0</v>
      </c>
      <c r="S155" s="329">
        <v>0</v>
      </c>
      <c r="T155" s="518">
        <v>0</v>
      </c>
      <c r="U155" s="517">
        <v>0</v>
      </c>
      <c r="V155" s="518">
        <v>0</v>
      </c>
      <c r="W155" s="113"/>
      <c r="X155" s="283">
        <v>49</v>
      </c>
      <c r="Y155" s="264"/>
      <c r="Z155" s="282">
        <v>0</v>
      </c>
      <c r="AA155" s="293">
        <v>0</v>
      </c>
      <c r="AB155" s="284"/>
      <c r="AC155" s="265">
        <v>100</v>
      </c>
      <c r="AD155" s="294">
        <v>62</v>
      </c>
      <c r="AE155" s="265">
        <v>133</v>
      </c>
      <c r="AF155" s="294">
        <v>29</v>
      </c>
      <c r="AG155" s="265">
        <v>162</v>
      </c>
      <c r="AH155" s="294">
        <v>0</v>
      </c>
      <c r="AI155" s="292">
        <v>162</v>
      </c>
      <c r="AJ155" s="294">
        <v>0</v>
      </c>
      <c r="AK155" s="265">
        <v>162</v>
      </c>
      <c r="AL155" s="294">
        <v>0</v>
      </c>
      <c r="AN155" s="283">
        <v>0</v>
      </c>
      <c r="AO155" s="284"/>
      <c r="AP155" s="282">
        <v>0</v>
      </c>
      <c r="AQ155" s="293">
        <v>0</v>
      </c>
      <c r="AR155" s="284"/>
      <c r="AS155" s="282">
        <v>0</v>
      </c>
      <c r="AT155" s="315">
        <v>0</v>
      </c>
      <c r="AU155" s="282">
        <v>0</v>
      </c>
      <c r="AV155" s="315">
        <v>0</v>
      </c>
      <c r="AW155" s="282">
        <v>0</v>
      </c>
      <c r="AX155" s="315">
        <v>0</v>
      </c>
      <c r="AY155" s="282">
        <v>0</v>
      </c>
      <c r="AZ155" s="315">
        <v>0</v>
      </c>
      <c r="BA155" s="282">
        <v>0</v>
      </c>
      <c r="BB155" s="315">
        <v>0</v>
      </c>
    </row>
    <row r="156" spans="2:55">
      <c r="B156" s="273" t="s">
        <v>180</v>
      </c>
      <c r="C156" s="286" t="s">
        <v>519</v>
      </c>
      <c r="D156" s="189">
        <v>161</v>
      </c>
      <c r="E156" s="520">
        <v>3.25</v>
      </c>
      <c r="F156" s="236" t="s">
        <v>190</v>
      </c>
      <c r="G156" s="236" t="s">
        <v>178</v>
      </c>
      <c r="H156" s="295">
        <v>163</v>
      </c>
      <c r="I156" s="264"/>
      <c r="J156" s="267" t="s">
        <v>15</v>
      </c>
      <c r="K156" s="297" t="s">
        <v>15</v>
      </c>
      <c r="L156" s="298"/>
      <c r="M156" s="237">
        <v>0</v>
      </c>
      <c r="N156" s="314">
        <v>3.9</v>
      </c>
      <c r="O156" s="237">
        <v>0</v>
      </c>
      <c r="P156" s="314">
        <v>2.5</v>
      </c>
      <c r="Q156" s="237">
        <v>0</v>
      </c>
      <c r="R156" s="314">
        <v>0</v>
      </c>
      <c r="S156" s="509">
        <v>0</v>
      </c>
      <c r="T156" s="314">
        <v>0</v>
      </c>
      <c r="U156" s="237">
        <v>0</v>
      </c>
      <c r="V156" s="314">
        <v>0</v>
      </c>
      <c r="W156" s="109"/>
      <c r="X156" s="268">
        <v>-2</v>
      </c>
      <c r="Y156" s="264"/>
      <c r="Z156" s="267">
        <v>0</v>
      </c>
      <c r="AA156" s="297">
        <v>0</v>
      </c>
      <c r="AB156" s="284"/>
      <c r="AC156" s="267">
        <v>67</v>
      </c>
      <c r="AD156" s="297">
        <v>94</v>
      </c>
      <c r="AE156" s="267">
        <v>101</v>
      </c>
      <c r="AF156" s="297">
        <v>60</v>
      </c>
      <c r="AG156" s="267">
        <v>161</v>
      </c>
      <c r="AH156" s="297">
        <v>0</v>
      </c>
      <c r="AI156" s="296">
        <v>161</v>
      </c>
      <c r="AJ156" s="297">
        <v>0</v>
      </c>
      <c r="AK156" s="267">
        <v>161</v>
      </c>
      <c r="AL156" s="297">
        <v>0</v>
      </c>
      <c r="AN156" s="283">
        <v>0</v>
      </c>
      <c r="AO156" s="284"/>
      <c r="AP156" s="282">
        <v>0</v>
      </c>
      <c r="AQ156" s="293">
        <v>0</v>
      </c>
      <c r="AR156" s="284"/>
      <c r="AS156" s="282">
        <v>0</v>
      </c>
      <c r="AT156" s="315">
        <v>0</v>
      </c>
      <c r="AU156" s="282">
        <v>0</v>
      </c>
      <c r="AV156" s="315">
        <v>0</v>
      </c>
      <c r="AW156" s="282">
        <v>0</v>
      </c>
      <c r="AX156" s="315">
        <v>0</v>
      </c>
      <c r="AY156" s="282">
        <v>0</v>
      </c>
      <c r="AZ156" s="315">
        <v>0</v>
      </c>
      <c r="BA156" s="282">
        <v>0</v>
      </c>
      <c r="BB156" s="315">
        <v>0</v>
      </c>
    </row>
    <row r="157" spans="2:55" s="109" customFormat="1">
      <c r="B157" s="280" t="s">
        <v>180</v>
      </c>
      <c r="C157" s="281" t="s">
        <v>558</v>
      </c>
      <c r="D157" s="188">
        <v>201</v>
      </c>
      <c r="E157" s="519">
        <v>3.25</v>
      </c>
      <c r="F157" s="233" t="s">
        <v>190</v>
      </c>
      <c r="G157" s="233" t="s">
        <v>178</v>
      </c>
      <c r="H157" s="232">
        <v>225</v>
      </c>
      <c r="I157" s="264"/>
      <c r="J157" s="282" t="s">
        <v>15</v>
      </c>
      <c r="K157" s="293" t="s">
        <v>15</v>
      </c>
      <c r="L157" s="298"/>
      <c r="M157" s="517">
        <v>0</v>
      </c>
      <c r="N157" s="518">
        <v>5.7</v>
      </c>
      <c r="O157" s="517">
        <v>0</v>
      </c>
      <c r="P157" s="518">
        <v>4.3</v>
      </c>
      <c r="Q157" s="517">
        <v>0</v>
      </c>
      <c r="R157" s="518">
        <v>1</v>
      </c>
      <c r="S157" s="329">
        <v>0</v>
      </c>
      <c r="T157" s="518">
        <v>0</v>
      </c>
      <c r="U157" s="517">
        <v>0</v>
      </c>
      <c r="V157" s="518">
        <v>0</v>
      </c>
      <c r="W157" s="113"/>
      <c r="X157" s="283">
        <v>-24</v>
      </c>
      <c r="Y157" s="264"/>
      <c r="Z157" s="282">
        <v>0</v>
      </c>
      <c r="AA157" s="293">
        <v>0</v>
      </c>
      <c r="AB157" s="284"/>
      <c r="AC157" s="265">
        <v>64</v>
      </c>
      <c r="AD157" s="294">
        <v>137</v>
      </c>
      <c r="AE157" s="265">
        <v>98</v>
      </c>
      <c r="AF157" s="294">
        <v>103</v>
      </c>
      <c r="AG157" s="265">
        <v>177</v>
      </c>
      <c r="AH157" s="294">
        <v>24</v>
      </c>
      <c r="AI157" s="292">
        <v>201</v>
      </c>
      <c r="AJ157" s="294">
        <v>0</v>
      </c>
      <c r="AK157" s="265">
        <v>201</v>
      </c>
      <c r="AL157" s="294">
        <v>0</v>
      </c>
      <c r="AN157" s="283">
        <v>0</v>
      </c>
      <c r="AO157" s="284"/>
      <c r="AP157" s="282">
        <v>0</v>
      </c>
      <c r="AQ157" s="293">
        <v>0</v>
      </c>
      <c r="AR157" s="284"/>
      <c r="AS157" s="282">
        <v>0</v>
      </c>
      <c r="AT157" s="315">
        <v>0</v>
      </c>
      <c r="AU157" s="282">
        <v>0</v>
      </c>
      <c r="AV157" s="315">
        <v>0</v>
      </c>
      <c r="AW157" s="282">
        <v>0</v>
      </c>
      <c r="AX157" s="315">
        <v>0</v>
      </c>
      <c r="AY157" s="282">
        <v>0</v>
      </c>
      <c r="AZ157" s="315">
        <v>0</v>
      </c>
      <c r="BA157" s="282">
        <v>0</v>
      </c>
      <c r="BB157" s="315">
        <v>0</v>
      </c>
    </row>
    <row r="158" spans="2:55">
      <c r="B158" s="273" t="s">
        <v>180</v>
      </c>
      <c r="C158" s="286" t="s">
        <v>520</v>
      </c>
      <c r="D158" s="189">
        <v>159</v>
      </c>
      <c r="E158" s="520">
        <v>0</v>
      </c>
      <c r="F158" s="236" t="s">
        <v>195</v>
      </c>
      <c r="G158" s="236" t="s">
        <v>178</v>
      </c>
      <c r="H158" s="295">
        <v>179</v>
      </c>
      <c r="I158" s="264"/>
      <c r="J158" s="267" t="s">
        <v>15</v>
      </c>
      <c r="K158" s="297" t="s">
        <v>15</v>
      </c>
      <c r="L158" s="298"/>
      <c r="M158" s="237">
        <v>0</v>
      </c>
      <c r="N158" s="314">
        <v>4.5</v>
      </c>
      <c r="O158" s="237">
        <v>0</v>
      </c>
      <c r="P158" s="314">
        <v>3.1</v>
      </c>
      <c r="Q158" s="237">
        <v>0</v>
      </c>
      <c r="R158" s="314">
        <v>0</v>
      </c>
      <c r="S158" s="509">
        <v>0</v>
      </c>
      <c r="T158" s="314">
        <v>0</v>
      </c>
      <c r="U158" s="237">
        <v>0</v>
      </c>
      <c r="V158" s="314">
        <v>0</v>
      </c>
      <c r="W158" s="109"/>
      <c r="X158" s="268">
        <v>-20</v>
      </c>
      <c r="Y158" s="264"/>
      <c r="Z158" s="267">
        <v>0</v>
      </c>
      <c r="AA158" s="297">
        <v>0</v>
      </c>
      <c r="AB158" s="284"/>
      <c r="AC158" s="267">
        <v>51</v>
      </c>
      <c r="AD158" s="297">
        <v>108</v>
      </c>
      <c r="AE158" s="267">
        <v>85</v>
      </c>
      <c r="AF158" s="297">
        <v>74</v>
      </c>
      <c r="AG158" s="267">
        <v>159</v>
      </c>
      <c r="AH158" s="297">
        <v>0</v>
      </c>
      <c r="AI158" s="296">
        <v>159</v>
      </c>
      <c r="AJ158" s="297">
        <v>0</v>
      </c>
      <c r="AK158" s="267">
        <v>159</v>
      </c>
      <c r="AL158" s="297">
        <v>0</v>
      </c>
      <c r="AN158" s="283">
        <v>-13</v>
      </c>
      <c r="AO158" s="284"/>
      <c r="AP158" s="282">
        <v>0</v>
      </c>
      <c r="AQ158" s="293">
        <v>0</v>
      </c>
      <c r="AR158" s="284"/>
      <c r="AS158" s="282">
        <v>0</v>
      </c>
      <c r="AT158" s="315">
        <v>0</v>
      </c>
      <c r="AU158" s="282">
        <v>0</v>
      </c>
      <c r="AV158" s="315">
        <v>0</v>
      </c>
      <c r="AW158" s="282">
        <v>0</v>
      </c>
      <c r="AX158" s="315">
        <v>0</v>
      </c>
      <c r="AY158" s="282">
        <v>0</v>
      </c>
      <c r="AZ158" s="315">
        <v>0</v>
      </c>
      <c r="BA158" s="282">
        <v>0</v>
      </c>
      <c r="BB158" s="315">
        <v>0</v>
      </c>
    </row>
    <row r="159" spans="2:55" s="109" customFormat="1">
      <c r="B159" s="280" t="s">
        <v>180</v>
      </c>
      <c r="C159" s="281" t="s">
        <v>428</v>
      </c>
      <c r="D159" s="188">
        <v>49</v>
      </c>
      <c r="E159" s="519">
        <v>1.1000000000000001</v>
      </c>
      <c r="F159" s="233" t="s">
        <v>4</v>
      </c>
      <c r="G159" s="233" t="s">
        <v>15</v>
      </c>
      <c r="H159" s="232" t="s">
        <v>15</v>
      </c>
      <c r="I159" s="264"/>
      <c r="J159" s="282" t="s">
        <v>15</v>
      </c>
      <c r="K159" s="293" t="s">
        <v>15</v>
      </c>
      <c r="L159" s="298"/>
      <c r="M159" s="517" t="s">
        <v>15</v>
      </c>
      <c r="N159" s="518" t="s">
        <v>15</v>
      </c>
      <c r="O159" s="517" t="s">
        <v>15</v>
      </c>
      <c r="P159" s="518" t="s">
        <v>15</v>
      </c>
      <c r="Q159" s="517" t="s">
        <v>15</v>
      </c>
      <c r="R159" s="518" t="s">
        <v>15</v>
      </c>
      <c r="S159" s="329" t="s">
        <v>15</v>
      </c>
      <c r="T159" s="518" t="s">
        <v>15</v>
      </c>
      <c r="U159" s="517" t="s">
        <v>15</v>
      </c>
      <c r="V159" s="518" t="s">
        <v>15</v>
      </c>
      <c r="W159" s="113"/>
      <c r="X159" s="283">
        <v>0</v>
      </c>
      <c r="Y159" s="264"/>
      <c r="Z159" s="282">
        <v>0</v>
      </c>
      <c r="AA159" s="293">
        <v>0</v>
      </c>
      <c r="AB159" s="284"/>
      <c r="AC159" s="265">
        <v>0</v>
      </c>
      <c r="AD159" s="294">
        <v>0</v>
      </c>
      <c r="AE159" s="265">
        <v>0</v>
      </c>
      <c r="AF159" s="294">
        <v>0</v>
      </c>
      <c r="AG159" s="265">
        <v>0</v>
      </c>
      <c r="AH159" s="294">
        <v>0</v>
      </c>
      <c r="AI159" s="292">
        <v>0</v>
      </c>
      <c r="AJ159" s="294">
        <v>0</v>
      </c>
      <c r="AK159" s="265">
        <v>0</v>
      </c>
      <c r="AL159" s="294">
        <v>0</v>
      </c>
      <c r="AN159" s="283">
        <v>0</v>
      </c>
      <c r="AO159" s="284"/>
      <c r="AP159" s="282">
        <v>0</v>
      </c>
      <c r="AQ159" s="293">
        <v>0</v>
      </c>
      <c r="AR159" s="284"/>
      <c r="AS159" s="282">
        <v>0</v>
      </c>
      <c r="AT159" s="315">
        <v>0</v>
      </c>
      <c r="AU159" s="282">
        <v>0</v>
      </c>
      <c r="AV159" s="315">
        <v>0</v>
      </c>
      <c r="AW159" s="282">
        <v>0</v>
      </c>
      <c r="AX159" s="315">
        <v>0</v>
      </c>
      <c r="AY159" s="282">
        <v>0</v>
      </c>
      <c r="AZ159" s="315">
        <v>0</v>
      </c>
      <c r="BA159" s="282">
        <v>0</v>
      </c>
      <c r="BB159" s="315">
        <v>0</v>
      </c>
    </row>
    <row r="160" spans="2:55">
      <c r="B160" s="273" t="s">
        <v>180</v>
      </c>
      <c r="C160" s="286" t="s">
        <v>467</v>
      </c>
      <c r="D160" s="189">
        <v>60</v>
      </c>
      <c r="E160" s="520">
        <v>1.1000000000000001</v>
      </c>
      <c r="F160" s="236" t="s">
        <v>4</v>
      </c>
      <c r="G160" s="236" t="s">
        <v>15</v>
      </c>
      <c r="H160" s="295" t="s">
        <v>15</v>
      </c>
      <c r="I160" s="264"/>
      <c r="J160" s="267" t="s">
        <v>15</v>
      </c>
      <c r="K160" s="297" t="s">
        <v>15</v>
      </c>
      <c r="L160" s="298"/>
      <c r="M160" s="237" t="s">
        <v>15</v>
      </c>
      <c r="N160" s="314" t="s">
        <v>15</v>
      </c>
      <c r="O160" s="237" t="s">
        <v>15</v>
      </c>
      <c r="P160" s="314" t="s">
        <v>15</v>
      </c>
      <c r="Q160" s="237" t="s">
        <v>15</v>
      </c>
      <c r="R160" s="314" t="s">
        <v>15</v>
      </c>
      <c r="S160" s="509" t="s">
        <v>15</v>
      </c>
      <c r="T160" s="314" t="s">
        <v>15</v>
      </c>
      <c r="U160" s="237" t="s">
        <v>15</v>
      </c>
      <c r="V160" s="314" t="s">
        <v>15</v>
      </c>
      <c r="W160" s="109"/>
      <c r="X160" s="268">
        <v>0</v>
      </c>
      <c r="Y160" s="264"/>
      <c r="Z160" s="267">
        <v>0</v>
      </c>
      <c r="AA160" s="297">
        <v>0</v>
      </c>
      <c r="AB160" s="284"/>
      <c r="AC160" s="267">
        <v>0</v>
      </c>
      <c r="AD160" s="297">
        <v>0</v>
      </c>
      <c r="AE160" s="267">
        <v>0</v>
      </c>
      <c r="AF160" s="297">
        <v>0</v>
      </c>
      <c r="AG160" s="267">
        <v>0</v>
      </c>
      <c r="AH160" s="297">
        <v>0</v>
      </c>
      <c r="AI160" s="296">
        <v>0</v>
      </c>
      <c r="AJ160" s="297">
        <v>0</v>
      </c>
      <c r="AK160" s="267">
        <v>0</v>
      </c>
      <c r="AL160" s="297">
        <v>0</v>
      </c>
      <c r="AN160" s="283">
        <v>0</v>
      </c>
      <c r="AO160" s="284"/>
      <c r="AP160" s="282">
        <v>0</v>
      </c>
      <c r="AQ160" s="293">
        <v>0</v>
      </c>
      <c r="AR160" s="284"/>
      <c r="AS160" s="282">
        <v>0</v>
      </c>
      <c r="AT160" s="315">
        <v>0</v>
      </c>
      <c r="AU160" s="282">
        <v>0</v>
      </c>
      <c r="AV160" s="315">
        <v>0</v>
      </c>
      <c r="AW160" s="282">
        <v>0</v>
      </c>
      <c r="AX160" s="315">
        <v>0</v>
      </c>
      <c r="AY160" s="282">
        <v>0</v>
      </c>
      <c r="AZ160" s="315">
        <v>0</v>
      </c>
      <c r="BA160" s="282">
        <v>0</v>
      </c>
      <c r="BB160" s="315">
        <v>0</v>
      </c>
    </row>
    <row r="161" spans="2:54" s="109" customFormat="1">
      <c r="B161" s="280" t="s">
        <v>180</v>
      </c>
      <c r="C161" s="281" t="s">
        <v>429</v>
      </c>
      <c r="D161" s="188">
        <v>132</v>
      </c>
      <c r="E161" s="519">
        <v>3.75</v>
      </c>
      <c r="F161" s="233" t="s">
        <v>191</v>
      </c>
      <c r="G161" s="233" t="s">
        <v>178</v>
      </c>
      <c r="H161" s="232">
        <v>122</v>
      </c>
      <c r="I161" s="264"/>
      <c r="J161" s="282" t="s">
        <v>15</v>
      </c>
      <c r="K161" s="293" t="s">
        <v>15</v>
      </c>
      <c r="L161" s="298"/>
      <c r="M161" s="517">
        <v>0</v>
      </c>
      <c r="N161" s="518">
        <v>2.9</v>
      </c>
      <c r="O161" s="517">
        <v>0</v>
      </c>
      <c r="P161" s="518">
        <v>1.5</v>
      </c>
      <c r="Q161" s="517">
        <v>0</v>
      </c>
      <c r="R161" s="518">
        <v>0</v>
      </c>
      <c r="S161" s="329">
        <v>0</v>
      </c>
      <c r="T161" s="518">
        <v>0</v>
      </c>
      <c r="U161" s="517">
        <v>0</v>
      </c>
      <c r="V161" s="518">
        <v>0</v>
      </c>
      <c r="W161" s="113"/>
      <c r="X161" s="283">
        <v>10</v>
      </c>
      <c r="Y161" s="264"/>
      <c r="Z161" s="282">
        <v>0</v>
      </c>
      <c r="AA161" s="293">
        <v>0</v>
      </c>
      <c r="AB161" s="284"/>
      <c r="AC161" s="265">
        <v>62</v>
      </c>
      <c r="AD161" s="294">
        <v>70</v>
      </c>
      <c r="AE161" s="265">
        <v>96</v>
      </c>
      <c r="AF161" s="294">
        <v>36</v>
      </c>
      <c r="AG161" s="265">
        <v>132</v>
      </c>
      <c r="AH161" s="294">
        <v>0</v>
      </c>
      <c r="AI161" s="292">
        <v>132</v>
      </c>
      <c r="AJ161" s="294">
        <v>0</v>
      </c>
      <c r="AK161" s="265">
        <v>132</v>
      </c>
      <c r="AL161" s="294">
        <v>0</v>
      </c>
      <c r="AN161" s="283">
        <v>0</v>
      </c>
      <c r="AO161" s="284"/>
      <c r="AP161" s="282">
        <v>0</v>
      </c>
      <c r="AQ161" s="293">
        <v>0</v>
      </c>
      <c r="AR161" s="284"/>
      <c r="AS161" s="282">
        <v>0</v>
      </c>
      <c r="AT161" s="315">
        <v>0</v>
      </c>
      <c r="AU161" s="282">
        <v>0</v>
      </c>
      <c r="AV161" s="315">
        <v>0</v>
      </c>
      <c r="AW161" s="282">
        <v>0</v>
      </c>
      <c r="AX161" s="315">
        <v>0</v>
      </c>
      <c r="AY161" s="282">
        <v>0</v>
      </c>
      <c r="AZ161" s="315">
        <v>0</v>
      </c>
      <c r="BA161" s="282">
        <v>0</v>
      </c>
      <c r="BB161" s="315">
        <v>0</v>
      </c>
    </row>
    <row r="162" spans="2:54">
      <c r="B162" s="273" t="s">
        <v>181</v>
      </c>
      <c r="C162" s="286" t="s">
        <v>484</v>
      </c>
      <c r="D162" s="189">
        <v>1072</v>
      </c>
      <c r="E162" s="520">
        <v>3.25</v>
      </c>
      <c r="F162" s="236" t="s">
        <v>190</v>
      </c>
      <c r="G162" s="236" t="s">
        <v>178</v>
      </c>
      <c r="H162" s="295">
        <v>832</v>
      </c>
      <c r="I162" s="264"/>
      <c r="J162" s="267" t="s">
        <v>15</v>
      </c>
      <c r="K162" s="297" t="s">
        <v>15</v>
      </c>
      <c r="L162" s="298"/>
      <c r="M162" s="237" t="s">
        <v>15</v>
      </c>
      <c r="N162" s="314" t="s">
        <v>15</v>
      </c>
      <c r="O162" s="237">
        <v>19</v>
      </c>
      <c r="P162" s="314">
        <v>22.4</v>
      </c>
      <c r="Q162" s="237">
        <v>0</v>
      </c>
      <c r="R162" s="314">
        <v>19.8</v>
      </c>
      <c r="S162" s="509">
        <v>0</v>
      </c>
      <c r="T162" s="314">
        <v>17.2</v>
      </c>
      <c r="U162" s="237">
        <v>0</v>
      </c>
      <c r="V162" s="314">
        <v>12.2</v>
      </c>
      <c r="W162" s="109"/>
      <c r="X162" s="268">
        <v>240</v>
      </c>
      <c r="Y162" s="264"/>
      <c r="Z162" s="267">
        <v>0</v>
      </c>
      <c r="AA162" s="297">
        <v>0</v>
      </c>
      <c r="AB162" s="284"/>
      <c r="AC162" s="267">
        <v>0</v>
      </c>
      <c r="AD162" s="297">
        <v>0</v>
      </c>
      <c r="AE162" s="267">
        <v>515</v>
      </c>
      <c r="AF162" s="297">
        <v>538</v>
      </c>
      <c r="AG162" s="267">
        <v>597</v>
      </c>
      <c r="AH162" s="297">
        <v>475</v>
      </c>
      <c r="AI162" s="296">
        <v>659</v>
      </c>
      <c r="AJ162" s="297">
        <v>413</v>
      </c>
      <c r="AK162" s="267">
        <v>779</v>
      </c>
      <c r="AL162" s="297">
        <v>293</v>
      </c>
      <c r="AN162" s="283">
        <v>0</v>
      </c>
      <c r="AO162" s="284"/>
      <c r="AP162" s="282">
        <v>0</v>
      </c>
      <c r="AQ162" s="293">
        <v>0</v>
      </c>
      <c r="AR162" s="284"/>
      <c r="AS162" s="282">
        <v>0</v>
      </c>
      <c r="AT162" s="315">
        <v>0</v>
      </c>
      <c r="AU162" s="282">
        <v>0</v>
      </c>
      <c r="AV162" s="315">
        <v>0</v>
      </c>
      <c r="AW162" s="282">
        <v>0</v>
      </c>
      <c r="AX162" s="315">
        <v>0</v>
      </c>
      <c r="AY162" s="282">
        <v>0</v>
      </c>
      <c r="AZ162" s="315">
        <v>0</v>
      </c>
      <c r="BA162" s="282">
        <v>0</v>
      </c>
      <c r="BB162" s="315">
        <v>0</v>
      </c>
    </row>
    <row r="163" spans="2:54" s="109" customFormat="1">
      <c r="B163" s="280" t="s">
        <v>181</v>
      </c>
      <c r="C163" s="281" t="s">
        <v>501</v>
      </c>
      <c r="D163" s="188">
        <v>1402</v>
      </c>
      <c r="E163" s="519">
        <v>3.25</v>
      </c>
      <c r="F163" s="233" t="s">
        <v>190</v>
      </c>
      <c r="G163" s="233" t="s">
        <v>178</v>
      </c>
      <c r="H163" s="232">
        <v>1212</v>
      </c>
      <c r="I163" s="264"/>
      <c r="J163" s="282" t="s">
        <v>15</v>
      </c>
      <c r="K163" s="293" t="s">
        <v>15</v>
      </c>
      <c r="L163" s="298"/>
      <c r="M163" s="517" t="s">
        <v>15</v>
      </c>
      <c r="N163" s="518" t="s">
        <v>15</v>
      </c>
      <c r="O163" s="517">
        <v>49</v>
      </c>
      <c r="P163" s="518">
        <v>32.4</v>
      </c>
      <c r="Q163" s="517">
        <v>39</v>
      </c>
      <c r="R163" s="518">
        <v>29.5</v>
      </c>
      <c r="S163" s="329">
        <v>0</v>
      </c>
      <c r="T163" s="518">
        <v>28.5</v>
      </c>
      <c r="U163" s="517">
        <v>0</v>
      </c>
      <c r="V163" s="518">
        <v>23.6</v>
      </c>
      <c r="W163" s="113"/>
      <c r="X163" s="283">
        <v>190</v>
      </c>
      <c r="Y163" s="264"/>
      <c r="Z163" s="282">
        <v>0</v>
      </c>
      <c r="AA163" s="293">
        <v>0</v>
      </c>
      <c r="AB163" s="284"/>
      <c r="AC163" s="265">
        <v>0</v>
      </c>
      <c r="AD163" s="294">
        <v>0</v>
      </c>
      <c r="AE163" s="265">
        <v>575</v>
      </c>
      <c r="AF163" s="294">
        <v>778</v>
      </c>
      <c r="AG163" s="265">
        <v>655</v>
      </c>
      <c r="AH163" s="294">
        <v>708</v>
      </c>
      <c r="AI163" s="292">
        <v>718</v>
      </c>
      <c r="AJ163" s="294">
        <v>684</v>
      </c>
      <c r="AK163" s="265">
        <v>836</v>
      </c>
      <c r="AL163" s="294">
        <v>566</v>
      </c>
      <c r="AN163" s="283">
        <v>0</v>
      </c>
      <c r="AO163" s="284"/>
      <c r="AP163" s="282">
        <v>0</v>
      </c>
      <c r="AQ163" s="293">
        <v>0</v>
      </c>
      <c r="AR163" s="284"/>
      <c r="AS163" s="282">
        <v>0</v>
      </c>
      <c r="AT163" s="315">
        <v>0</v>
      </c>
      <c r="AU163" s="282">
        <v>0</v>
      </c>
      <c r="AV163" s="315">
        <v>0</v>
      </c>
      <c r="AW163" s="282">
        <v>0</v>
      </c>
      <c r="AX163" s="315">
        <v>0</v>
      </c>
      <c r="AY163" s="282">
        <v>0</v>
      </c>
      <c r="AZ163" s="315">
        <v>0</v>
      </c>
      <c r="BA163" s="282">
        <v>0</v>
      </c>
      <c r="BB163" s="315">
        <v>0</v>
      </c>
    </row>
    <row r="164" spans="2:54">
      <c r="B164" s="273" t="s">
        <v>181</v>
      </c>
      <c r="C164" s="286" t="s">
        <v>603</v>
      </c>
      <c r="D164" s="189">
        <v>174</v>
      </c>
      <c r="E164" s="520">
        <v>3.25</v>
      </c>
      <c r="F164" s="236" t="s">
        <v>190</v>
      </c>
      <c r="G164" s="236" t="s">
        <v>178</v>
      </c>
      <c r="H164" s="295">
        <v>107</v>
      </c>
      <c r="I164" s="264"/>
      <c r="J164" s="267" t="s">
        <v>15</v>
      </c>
      <c r="K164" s="297" t="s">
        <v>15</v>
      </c>
      <c r="L164" s="298"/>
      <c r="M164" s="237">
        <v>0</v>
      </c>
      <c r="N164" s="314">
        <v>2.2999999999999998</v>
      </c>
      <c r="O164" s="237">
        <v>0</v>
      </c>
      <c r="P164" s="314">
        <v>0</v>
      </c>
      <c r="Q164" s="237">
        <v>0</v>
      </c>
      <c r="R164" s="314">
        <v>0</v>
      </c>
      <c r="S164" s="509">
        <v>0</v>
      </c>
      <c r="T164" s="314">
        <v>0</v>
      </c>
      <c r="U164" s="237">
        <v>0</v>
      </c>
      <c r="V164" s="314">
        <v>0</v>
      </c>
      <c r="W164" s="109"/>
      <c r="X164" s="268">
        <v>67</v>
      </c>
      <c r="Y164" s="264"/>
      <c r="Z164" s="267">
        <v>0</v>
      </c>
      <c r="AA164" s="297">
        <v>0</v>
      </c>
      <c r="AB164" s="284"/>
      <c r="AC164" s="267">
        <v>119</v>
      </c>
      <c r="AD164" s="297">
        <v>55</v>
      </c>
      <c r="AE164" s="267">
        <v>174</v>
      </c>
      <c r="AF164" s="297">
        <v>0</v>
      </c>
      <c r="AG164" s="267">
        <v>174</v>
      </c>
      <c r="AH164" s="297">
        <v>0</v>
      </c>
      <c r="AI164" s="296">
        <v>174</v>
      </c>
      <c r="AJ164" s="297">
        <v>0</v>
      </c>
      <c r="AK164" s="267">
        <v>174</v>
      </c>
      <c r="AL164" s="297">
        <v>0</v>
      </c>
      <c r="AN164" s="283">
        <v>0</v>
      </c>
      <c r="AO164" s="284"/>
      <c r="AP164" s="282">
        <v>0</v>
      </c>
      <c r="AQ164" s="293">
        <v>0</v>
      </c>
      <c r="AR164" s="284"/>
      <c r="AS164" s="282">
        <v>0</v>
      </c>
      <c r="AT164" s="315">
        <v>0</v>
      </c>
      <c r="AU164" s="282">
        <v>0</v>
      </c>
      <c r="AV164" s="315">
        <v>0</v>
      </c>
      <c r="AW164" s="282">
        <v>0</v>
      </c>
      <c r="AX164" s="315">
        <v>0</v>
      </c>
      <c r="AY164" s="282">
        <v>0</v>
      </c>
      <c r="AZ164" s="315">
        <v>0</v>
      </c>
      <c r="BA164" s="282">
        <v>0</v>
      </c>
      <c r="BB164" s="315">
        <v>0</v>
      </c>
    </row>
    <row r="165" spans="2:54" s="109" customFormat="1">
      <c r="B165" s="280" t="s">
        <v>181</v>
      </c>
      <c r="C165" s="281" t="s">
        <v>604</v>
      </c>
      <c r="D165" s="188">
        <v>638</v>
      </c>
      <c r="E165" s="519">
        <v>3.25</v>
      </c>
      <c r="F165" s="233" t="s">
        <v>190</v>
      </c>
      <c r="G165" s="233" t="s">
        <v>178</v>
      </c>
      <c r="H165" s="232">
        <v>614</v>
      </c>
      <c r="I165" s="264"/>
      <c r="J165" s="282" t="s">
        <v>15</v>
      </c>
      <c r="K165" s="293" t="s">
        <v>15</v>
      </c>
      <c r="L165" s="298"/>
      <c r="M165" s="517">
        <v>39</v>
      </c>
      <c r="N165" s="518">
        <v>15.4</v>
      </c>
      <c r="O165" s="517">
        <v>19</v>
      </c>
      <c r="P165" s="518">
        <v>14.5</v>
      </c>
      <c r="Q165" s="517">
        <v>0</v>
      </c>
      <c r="R165" s="518">
        <v>12</v>
      </c>
      <c r="S165" s="329">
        <v>0</v>
      </c>
      <c r="T165" s="518">
        <v>10.4</v>
      </c>
      <c r="U165" s="517">
        <v>0</v>
      </c>
      <c r="V165" s="518">
        <v>5.7</v>
      </c>
      <c r="W165" s="113"/>
      <c r="X165" s="283">
        <v>24</v>
      </c>
      <c r="Y165" s="264"/>
      <c r="Z165" s="282">
        <v>0</v>
      </c>
      <c r="AA165" s="293">
        <v>0</v>
      </c>
      <c r="AB165" s="284"/>
      <c r="AC165" s="265">
        <v>229</v>
      </c>
      <c r="AD165" s="294">
        <v>370</v>
      </c>
      <c r="AE165" s="265">
        <v>271</v>
      </c>
      <c r="AF165" s="294">
        <v>348</v>
      </c>
      <c r="AG165" s="265">
        <v>350</v>
      </c>
      <c r="AH165" s="294">
        <v>288</v>
      </c>
      <c r="AI165" s="292">
        <v>388</v>
      </c>
      <c r="AJ165" s="294">
        <v>250</v>
      </c>
      <c r="AK165" s="265">
        <v>501</v>
      </c>
      <c r="AL165" s="294">
        <v>137</v>
      </c>
      <c r="AN165" s="283">
        <v>0</v>
      </c>
      <c r="AO165" s="284"/>
      <c r="AP165" s="282">
        <v>0</v>
      </c>
      <c r="AQ165" s="293">
        <v>0</v>
      </c>
      <c r="AR165" s="284"/>
      <c r="AS165" s="282">
        <v>0</v>
      </c>
      <c r="AT165" s="315">
        <v>0</v>
      </c>
      <c r="AU165" s="282">
        <v>0</v>
      </c>
      <c r="AV165" s="315">
        <v>0</v>
      </c>
      <c r="AW165" s="282">
        <v>0</v>
      </c>
      <c r="AX165" s="315">
        <v>0</v>
      </c>
      <c r="AY165" s="282">
        <v>0</v>
      </c>
      <c r="AZ165" s="315">
        <v>0</v>
      </c>
      <c r="BA165" s="282">
        <v>0</v>
      </c>
      <c r="BB165" s="315">
        <v>0</v>
      </c>
    </row>
    <row r="166" spans="2:54">
      <c r="B166" s="273" t="s">
        <v>181</v>
      </c>
      <c r="C166" s="286" t="s">
        <v>605</v>
      </c>
      <c r="D166" s="189">
        <v>801</v>
      </c>
      <c r="E166" s="520">
        <v>3.25</v>
      </c>
      <c r="F166" s="236" t="s">
        <v>190</v>
      </c>
      <c r="G166" s="236" t="s">
        <v>178</v>
      </c>
      <c r="H166" s="295">
        <v>744</v>
      </c>
      <c r="I166" s="264"/>
      <c r="J166" s="267" t="s">
        <v>15</v>
      </c>
      <c r="K166" s="297" t="s">
        <v>15</v>
      </c>
      <c r="L166" s="298"/>
      <c r="M166" s="237">
        <v>39</v>
      </c>
      <c r="N166" s="314">
        <v>20</v>
      </c>
      <c r="O166" s="237">
        <v>19</v>
      </c>
      <c r="P166" s="314">
        <v>19.2</v>
      </c>
      <c r="Q166" s="237">
        <v>0</v>
      </c>
      <c r="R166" s="314">
        <v>16.7</v>
      </c>
      <c r="S166" s="509">
        <v>0</v>
      </c>
      <c r="T166" s="314">
        <v>14</v>
      </c>
      <c r="U166" s="237">
        <v>0</v>
      </c>
      <c r="V166" s="314">
        <v>9.1</v>
      </c>
      <c r="W166" s="109"/>
      <c r="X166" s="268">
        <v>57</v>
      </c>
      <c r="Y166" s="264"/>
      <c r="Z166" s="267">
        <v>0</v>
      </c>
      <c r="AA166" s="297">
        <v>0</v>
      </c>
      <c r="AB166" s="284"/>
      <c r="AC166" s="267">
        <v>282</v>
      </c>
      <c r="AD166" s="297">
        <v>480</v>
      </c>
      <c r="AE166" s="267">
        <v>321</v>
      </c>
      <c r="AF166" s="297">
        <v>461</v>
      </c>
      <c r="AG166" s="267">
        <v>400</v>
      </c>
      <c r="AH166" s="297">
        <v>401</v>
      </c>
      <c r="AI166" s="296">
        <v>465</v>
      </c>
      <c r="AJ166" s="297">
        <v>336</v>
      </c>
      <c r="AK166" s="267">
        <v>583</v>
      </c>
      <c r="AL166" s="297">
        <v>218</v>
      </c>
      <c r="AN166" s="283">
        <v>0</v>
      </c>
      <c r="AO166" s="284"/>
      <c r="AP166" s="282">
        <v>0</v>
      </c>
      <c r="AQ166" s="293">
        <v>0</v>
      </c>
      <c r="AR166" s="284"/>
      <c r="AS166" s="282">
        <v>0</v>
      </c>
      <c r="AT166" s="315">
        <v>0</v>
      </c>
      <c r="AU166" s="282">
        <v>0</v>
      </c>
      <c r="AV166" s="315">
        <v>0</v>
      </c>
      <c r="AW166" s="282">
        <v>0</v>
      </c>
      <c r="AX166" s="315">
        <v>0</v>
      </c>
      <c r="AY166" s="282">
        <v>0</v>
      </c>
      <c r="AZ166" s="315">
        <v>0</v>
      </c>
      <c r="BA166" s="282">
        <v>0</v>
      </c>
      <c r="BB166" s="315">
        <v>0</v>
      </c>
    </row>
    <row r="167" spans="2:54" s="109" customFormat="1">
      <c r="B167" s="280" t="s">
        <v>181</v>
      </c>
      <c r="C167" s="281" t="s">
        <v>606</v>
      </c>
      <c r="D167" s="188">
        <v>895</v>
      </c>
      <c r="E167" s="519">
        <v>3.25</v>
      </c>
      <c r="F167" s="233" t="s">
        <v>190</v>
      </c>
      <c r="G167" s="233" t="s">
        <v>178</v>
      </c>
      <c r="H167" s="232">
        <v>921</v>
      </c>
      <c r="I167" s="264"/>
      <c r="J167" s="282" t="s">
        <v>15</v>
      </c>
      <c r="K167" s="293" t="s">
        <v>15</v>
      </c>
      <c r="L167" s="298"/>
      <c r="M167" s="517">
        <v>39</v>
      </c>
      <c r="N167" s="518">
        <v>20.3</v>
      </c>
      <c r="O167" s="517">
        <v>19</v>
      </c>
      <c r="P167" s="518">
        <v>19.5</v>
      </c>
      <c r="Q167" s="517">
        <v>0</v>
      </c>
      <c r="R167" s="518">
        <v>17</v>
      </c>
      <c r="S167" s="329">
        <v>0</v>
      </c>
      <c r="T167" s="518">
        <v>15.4</v>
      </c>
      <c r="U167" s="517">
        <v>0</v>
      </c>
      <c r="V167" s="518">
        <v>10.7</v>
      </c>
      <c r="W167" s="113"/>
      <c r="X167" s="283">
        <v>-26</v>
      </c>
      <c r="Y167" s="264"/>
      <c r="Z167" s="282">
        <v>0</v>
      </c>
      <c r="AA167" s="293">
        <v>0</v>
      </c>
      <c r="AB167" s="284"/>
      <c r="AC167" s="265">
        <v>369</v>
      </c>
      <c r="AD167" s="294">
        <v>487</v>
      </c>
      <c r="AE167" s="265">
        <v>408</v>
      </c>
      <c r="AF167" s="294">
        <v>468</v>
      </c>
      <c r="AG167" s="265">
        <v>487</v>
      </c>
      <c r="AH167" s="294">
        <v>408</v>
      </c>
      <c r="AI167" s="292">
        <v>525</v>
      </c>
      <c r="AJ167" s="294">
        <v>370</v>
      </c>
      <c r="AK167" s="265">
        <v>638</v>
      </c>
      <c r="AL167" s="294">
        <v>257</v>
      </c>
      <c r="AN167" s="283">
        <v>0</v>
      </c>
      <c r="AO167" s="284"/>
      <c r="AP167" s="282">
        <v>0</v>
      </c>
      <c r="AQ167" s="293">
        <v>0</v>
      </c>
      <c r="AR167" s="284"/>
      <c r="AS167" s="282">
        <v>0</v>
      </c>
      <c r="AT167" s="315">
        <v>0</v>
      </c>
      <c r="AU167" s="282">
        <v>0</v>
      </c>
      <c r="AV167" s="315">
        <v>0</v>
      </c>
      <c r="AW167" s="282">
        <v>0</v>
      </c>
      <c r="AX167" s="315">
        <v>0</v>
      </c>
      <c r="AY167" s="282">
        <v>0</v>
      </c>
      <c r="AZ167" s="315">
        <v>0</v>
      </c>
      <c r="BA167" s="282">
        <v>0</v>
      </c>
      <c r="BB167" s="315">
        <v>0</v>
      </c>
    </row>
    <row r="168" spans="2:54">
      <c r="B168" s="273" t="s">
        <v>181</v>
      </c>
      <c r="C168" s="286" t="s">
        <v>521</v>
      </c>
      <c r="D168" s="189">
        <v>298</v>
      </c>
      <c r="E168" s="520">
        <v>0</v>
      </c>
      <c r="F168" s="236" t="s">
        <v>195</v>
      </c>
      <c r="G168" s="236" t="s">
        <v>178</v>
      </c>
      <c r="H168" s="295">
        <v>299</v>
      </c>
      <c r="I168" s="264"/>
      <c r="J168" s="267" t="s">
        <v>15</v>
      </c>
      <c r="K168" s="297" t="s">
        <v>15</v>
      </c>
      <c r="L168" s="298"/>
      <c r="M168" s="237">
        <v>0</v>
      </c>
      <c r="N168" s="314">
        <v>8.3000000000000007</v>
      </c>
      <c r="O168" s="237">
        <v>0</v>
      </c>
      <c r="P168" s="314">
        <v>6.9</v>
      </c>
      <c r="Q168" s="237">
        <v>0</v>
      </c>
      <c r="R168" s="314">
        <v>3.6</v>
      </c>
      <c r="S168" s="509">
        <v>0</v>
      </c>
      <c r="T168" s="314">
        <v>2</v>
      </c>
      <c r="U168" s="237">
        <v>0</v>
      </c>
      <c r="V168" s="314">
        <v>0</v>
      </c>
      <c r="W168" s="109"/>
      <c r="X168" s="268">
        <v>-1</v>
      </c>
      <c r="Y168" s="264"/>
      <c r="Z168" s="267">
        <v>0</v>
      </c>
      <c r="AA168" s="297">
        <v>0</v>
      </c>
      <c r="AB168" s="284"/>
      <c r="AC168" s="267">
        <v>99</v>
      </c>
      <c r="AD168" s="297">
        <v>199</v>
      </c>
      <c r="AE168" s="267">
        <v>132</v>
      </c>
      <c r="AF168" s="297">
        <v>166</v>
      </c>
      <c r="AG168" s="267">
        <v>212</v>
      </c>
      <c r="AH168" s="297">
        <v>86</v>
      </c>
      <c r="AI168" s="296">
        <v>250</v>
      </c>
      <c r="AJ168" s="297">
        <v>48</v>
      </c>
      <c r="AK168" s="267">
        <v>298</v>
      </c>
      <c r="AL168" s="297">
        <v>0</v>
      </c>
      <c r="AN168" s="283">
        <v>-43</v>
      </c>
      <c r="AO168" s="284"/>
      <c r="AP168" s="282">
        <v>0</v>
      </c>
      <c r="AQ168" s="293">
        <v>0</v>
      </c>
      <c r="AR168" s="284"/>
      <c r="AS168" s="282">
        <v>0</v>
      </c>
      <c r="AT168" s="315">
        <v>0</v>
      </c>
      <c r="AU168" s="282">
        <v>0</v>
      </c>
      <c r="AV168" s="315">
        <v>0</v>
      </c>
      <c r="AW168" s="282">
        <v>0</v>
      </c>
      <c r="AX168" s="315">
        <v>0</v>
      </c>
      <c r="AY168" s="282">
        <v>0</v>
      </c>
      <c r="AZ168" s="315">
        <v>0</v>
      </c>
      <c r="BA168" s="282">
        <v>0</v>
      </c>
      <c r="BB168" s="315">
        <v>0</v>
      </c>
    </row>
    <row r="169" spans="2:54" s="109" customFormat="1">
      <c r="B169" s="280" t="s">
        <v>181</v>
      </c>
      <c r="C169" s="281" t="s">
        <v>530</v>
      </c>
      <c r="D169" s="190">
        <v>445</v>
      </c>
      <c r="E169" s="519">
        <v>0</v>
      </c>
      <c r="F169" s="233" t="s">
        <v>195</v>
      </c>
      <c r="G169" s="233" t="s">
        <v>178</v>
      </c>
      <c r="H169" s="232">
        <v>449</v>
      </c>
      <c r="I169" s="264"/>
      <c r="J169" s="282" t="s">
        <v>15</v>
      </c>
      <c r="K169" s="293" t="s">
        <v>15</v>
      </c>
      <c r="L169" s="298"/>
      <c r="M169" s="517">
        <v>0</v>
      </c>
      <c r="N169" s="518">
        <v>14.9</v>
      </c>
      <c r="O169" s="517">
        <v>0</v>
      </c>
      <c r="P169" s="518">
        <v>13.5</v>
      </c>
      <c r="Q169" s="517">
        <v>0</v>
      </c>
      <c r="R169" s="518">
        <v>10.199999999999999</v>
      </c>
      <c r="S169" s="329">
        <v>0</v>
      </c>
      <c r="T169" s="518">
        <v>8.6</v>
      </c>
      <c r="U169" s="517">
        <v>0</v>
      </c>
      <c r="V169" s="518">
        <v>3.9</v>
      </c>
      <c r="W169" s="113"/>
      <c r="X169" s="283">
        <v>-4</v>
      </c>
      <c r="Y169" s="264"/>
      <c r="Z169" s="282">
        <v>0</v>
      </c>
      <c r="AA169" s="293">
        <v>0</v>
      </c>
      <c r="AB169" s="284"/>
      <c r="AC169" s="265">
        <v>87</v>
      </c>
      <c r="AD169" s="294">
        <v>358</v>
      </c>
      <c r="AE169" s="265">
        <v>121</v>
      </c>
      <c r="AF169" s="294">
        <v>324</v>
      </c>
      <c r="AG169" s="265">
        <v>200</v>
      </c>
      <c r="AH169" s="294">
        <v>245</v>
      </c>
      <c r="AI169" s="292">
        <v>239</v>
      </c>
      <c r="AJ169" s="294">
        <v>206</v>
      </c>
      <c r="AK169" s="265">
        <v>351</v>
      </c>
      <c r="AL169" s="294">
        <v>94</v>
      </c>
      <c r="AN169" s="283">
        <v>-89</v>
      </c>
      <c r="AO169" s="284"/>
      <c r="AP169" s="282">
        <v>0</v>
      </c>
      <c r="AQ169" s="293">
        <v>0</v>
      </c>
      <c r="AR169" s="284"/>
      <c r="AS169" s="282">
        <v>0</v>
      </c>
      <c r="AT169" s="315">
        <v>0</v>
      </c>
      <c r="AU169" s="282">
        <v>0</v>
      </c>
      <c r="AV169" s="315">
        <v>0</v>
      </c>
      <c r="AW169" s="282">
        <v>0</v>
      </c>
      <c r="AX169" s="315">
        <v>0</v>
      </c>
      <c r="AY169" s="282">
        <v>0</v>
      </c>
      <c r="AZ169" s="315">
        <v>0</v>
      </c>
      <c r="BA169" s="282">
        <v>0</v>
      </c>
      <c r="BB169" s="315">
        <v>0</v>
      </c>
    </row>
    <row r="170" spans="2:54">
      <c r="B170" s="273" t="s">
        <v>181</v>
      </c>
      <c r="C170" s="286" t="s">
        <v>522</v>
      </c>
      <c r="D170" s="189">
        <v>577</v>
      </c>
      <c r="E170" s="520">
        <v>0</v>
      </c>
      <c r="F170" s="236" t="s">
        <v>195</v>
      </c>
      <c r="G170" s="236" t="s">
        <v>178</v>
      </c>
      <c r="H170" s="295">
        <v>599</v>
      </c>
      <c r="I170" s="264"/>
      <c r="J170" s="267" t="s">
        <v>15</v>
      </c>
      <c r="K170" s="297" t="s">
        <v>15</v>
      </c>
      <c r="L170" s="298"/>
      <c r="M170" s="237" t="s">
        <v>15</v>
      </c>
      <c r="N170" s="314" t="s">
        <v>15</v>
      </c>
      <c r="O170" s="237">
        <v>39</v>
      </c>
      <c r="P170" s="314">
        <v>14.5</v>
      </c>
      <c r="Q170" s="237">
        <v>0</v>
      </c>
      <c r="R170" s="314">
        <v>12.8</v>
      </c>
      <c r="S170" s="509">
        <v>0</v>
      </c>
      <c r="T170" s="314">
        <v>11.2</v>
      </c>
      <c r="U170" s="237">
        <v>0</v>
      </c>
      <c r="V170" s="314">
        <v>6.5</v>
      </c>
      <c r="W170" s="109"/>
      <c r="X170" s="268">
        <v>-22</v>
      </c>
      <c r="Y170" s="264"/>
      <c r="Z170" s="267">
        <v>0</v>
      </c>
      <c r="AA170" s="297">
        <v>0</v>
      </c>
      <c r="AB170" s="284"/>
      <c r="AC170" s="267">
        <v>0</v>
      </c>
      <c r="AD170" s="297">
        <v>0</v>
      </c>
      <c r="AE170" s="267">
        <v>190</v>
      </c>
      <c r="AF170" s="297">
        <v>348</v>
      </c>
      <c r="AG170" s="267">
        <v>270</v>
      </c>
      <c r="AH170" s="297">
        <v>307</v>
      </c>
      <c r="AI170" s="296">
        <v>308</v>
      </c>
      <c r="AJ170" s="297">
        <v>269</v>
      </c>
      <c r="AK170" s="267">
        <v>421</v>
      </c>
      <c r="AL170" s="297">
        <v>156</v>
      </c>
      <c r="AN170" s="283">
        <v>-38</v>
      </c>
      <c r="AO170" s="284"/>
      <c r="AP170" s="282">
        <v>0</v>
      </c>
      <c r="AQ170" s="293">
        <v>0</v>
      </c>
      <c r="AR170" s="284"/>
      <c r="AS170" s="282">
        <v>0</v>
      </c>
      <c r="AT170" s="315">
        <v>0</v>
      </c>
      <c r="AU170" s="282">
        <v>0</v>
      </c>
      <c r="AV170" s="315">
        <v>0</v>
      </c>
      <c r="AW170" s="282">
        <v>0</v>
      </c>
      <c r="AX170" s="315">
        <v>0</v>
      </c>
      <c r="AY170" s="282">
        <v>0</v>
      </c>
      <c r="AZ170" s="315">
        <v>0</v>
      </c>
      <c r="BA170" s="282">
        <v>0</v>
      </c>
      <c r="BB170" s="315">
        <v>0</v>
      </c>
    </row>
    <row r="171" spans="2:54" s="109" customFormat="1">
      <c r="B171" s="280" t="s">
        <v>181</v>
      </c>
      <c r="C171" s="281" t="s">
        <v>451</v>
      </c>
      <c r="D171" s="188">
        <v>459</v>
      </c>
      <c r="E171" s="519">
        <v>0</v>
      </c>
      <c r="F171" s="233" t="s">
        <v>464</v>
      </c>
      <c r="G171" s="233" t="s">
        <v>178</v>
      </c>
      <c r="H171" s="232">
        <v>367</v>
      </c>
      <c r="I171" s="264"/>
      <c r="J171" s="282" t="s">
        <v>15</v>
      </c>
      <c r="K171" s="293" t="s">
        <v>15</v>
      </c>
      <c r="L171" s="298"/>
      <c r="M171" s="517">
        <v>0</v>
      </c>
      <c r="N171" s="518">
        <v>9.1999999999999993</v>
      </c>
      <c r="O171" s="517">
        <v>0</v>
      </c>
      <c r="P171" s="518">
        <v>7.8</v>
      </c>
      <c r="Q171" s="517">
        <v>0</v>
      </c>
      <c r="R171" s="518">
        <v>4.5</v>
      </c>
      <c r="S171" s="329">
        <v>0</v>
      </c>
      <c r="T171" s="518">
        <v>2.9</v>
      </c>
      <c r="U171" s="517">
        <v>0</v>
      </c>
      <c r="V171" s="518">
        <v>0</v>
      </c>
      <c r="W171" s="113"/>
      <c r="X171" s="283">
        <v>92</v>
      </c>
      <c r="Y171" s="264"/>
      <c r="Z171" s="282">
        <v>0</v>
      </c>
      <c r="AA171" s="293">
        <v>0</v>
      </c>
      <c r="AB171" s="284"/>
      <c r="AC171" s="265">
        <v>238</v>
      </c>
      <c r="AD171" s="294">
        <v>221</v>
      </c>
      <c r="AE171" s="265">
        <v>272</v>
      </c>
      <c r="AF171" s="294">
        <v>187</v>
      </c>
      <c r="AG171" s="265">
        <v>351</v>
      </c>
      <c r="AH171" s="294">
        <v>108</v>
      </c>
      <c r="AI171" s="292">
        <v>389</v>
      </c>
      <c r="AJ171" s="294">
        <v>70</v>
      </c>
      <c r="AK171" s="265">
        <v>459</v>
      </c>
      <c r="AL171" s="294">
        <v>0</v>
      </c>
      <c r="AN171" s="283">
        <v>0</v>
      </c>
      <c r="AO171" s="284"/>
      <c r="AP171" s="282">
        <v>0</v>
      </c>
      <c r="AQ171" s="293">
        <v>0</v>
      </c>
      <c r="AR171" s="284"/>
      <c r="AS171" s="282">
        <v>0</v>
      </c>
      <c r="AT171" s="315">
        <v>0</v>
      </c>
      <c r="AU171" s="282">
        <v>0</v>
      </c>
      <c r="AV171" s="315">
        <v>0</v>
      </c>
      <c r="AW171" s="282">
        <v>0</v>
      </c>
      <c r="AX171" s="315">
        <v>0</v>
      </c>
      <c r="AY171" s="282">
        <v>0</v>
      </c>
      <c r="AZ171" s="315">
        <v>0</v>
      </c>
      <c r="BA171" s="282">
        <v>0</v>
      </c>
      <c r="BB171" s="315">
        <v>0</v>
      </c>
    </row>
    <row r="172" spans="2:54">
      <c r="B172" s="273" t="s">
        <v>181</v>
      </c>
      <c r="C172" s="286" t="s">
        <v>559</v>
      </c>
      <c r="D172" s="189">
        <v>516</v>
      </c>
      <c r="E172" s="520">
        <v>0</v>
      </c>
      <c r="F172" s="236" t="s">
        <v>464</v>
      </c>
      <c r="G172" s="236" t="s">
        <v>178</v>
      </c>
      <c r="H172" s="295">
        <v>466</v>
      </c>
      <c r="I172" s="264"/>
      <c r="J172" s="267" t="s">
        <v>15</v>
      </c>
      <c r="K172" s="297" t="s">
        <v>15</v>
      </c>
      <c r="L172" s="298"/>
      <c r="M172" s="237">
        <v>0</v>
      </c>
      <c r="N172" s="314">
        <v>12.8</v>
      </c>
      <c r="O172" s="237">
        <v>0</v>
      </c>
      <c r="P172" s="314">
        <v>11.4</v>
      </c>
      <c r="Q172" s="237">
        <v>0</v>
      </c>
      <c r="R172" s="314">
        <v>8</v>
      </c>
      <c r="S172" s="509">
        <v>0</v>
      </c>
      <c r="T172" s="314">
        <v>6.4</v>
      </c>
      <c r="U172" s="237">
        <v>0</v>
      </c>
      <c r="V172" s="314">
        <v>1.7</v>
      </c>
      <c r="W172" s="109"/>
      <c r="X172" s="268">
        <v>50</v>
      </c>
      <c r="Y172" s="264"/>
      <c r="Z172" s="267">
        <v>0</v>
      </c>
      <c r="AA172" s="297">
        <v>0</v>
      </c>
      <c r="AB172" s="284"/>
      <c r="AC172" s="267">
        <v>209</v>
      </c>
      <c r="AD172" s="297">
        <v>307</v>
      </c>
      <c r="AE172" s="267">
        <v>242</v>
      </c>
      <c r="AF172" s="297">
        <v>274</v>
      </c>
      <c r="AG172" s="267">
        <v>324</v>
      </c>
      <c r="AH172" s="297">
        <v>192</v>
      </c>
      <c r="AI172" s="296">
        <v>362</v>
      </c>
      <c r="AJ172" s="297">
        <v>154</v>
      </c>
      <c r="AK172" s="267">
        <v>475</v>
      </c>
      <c r="AL172" s="297">
        <v>41</v>
      </c>
      <c r="AN172" s="283">
        <v>0</v>
      </c>
      <c r="AO172" s="284"/>
      <c r="AP172" s="282">
        <v>0</v>
      </c>
      <c r="AQ172" s="293">
        <v>0</v>
      </c>
      <c r="AR172" s="284"/>
      <c r="AS172" s="282">
        <v>0</v>
      </c>
      <c r="AT172" s="315">
        <v>0</v>
      </c>
      <c r="AU172" s="282">
        <v>0</v>
      </c>
      <c r="AV172" s="315">
        <v>0</v>
      </c>
      <c r="AW172" s="282">
        <v>0</v>
      </c>
      <c r="AX172" s="315">
        <v>0</v>
      </c>
      <c r="AY172" s="282">
        <v>0</v>
      </c>
      <c r="AZ172" s="315">
        <v>0</v>
      </c>
      <c r="BA172" s="282">
        <v>0</v>
      </c>
      <c r="BB172" s="315">
        <v>0</v>
      </c>
    </row>
    <row r="173" spans="2:54" s="109" customFormat="1">
      <c r="B173" s="280" t="s">
        <v>181</v>
      </c>
      <c r="C173" s="281" t="s">
        <v>541</v>
      </c>
      <c r="D173" s="188">
        <v>647</v>
      </c>
      <c r="E173" s="519">
        <v>3.75</v>
      </c>
      <c r="F173" s="233" t="s">
        <v>191</v>
      </c>
      <c r="G173" s="233" t="s">
        <v>178</v>
      </c>
      <c r="H173" s="232">
        <v>564</v>
      </c>
      <c r="I173" s="264"/>
      <c r="J173" s="282" t="s">
        <v>15</v>
      </c>
      <c r="K173" s="293" t="s">
        <v>15</v>
      </c>
      <c r="L173" s="298"/>
      <c r="M173" s="517">
        <v>39</v>
      </c>
      <c r="N173" s="518">
        <v>14.4</v>
      </c>
      <c r="O173" s="517">
        <v>19</v>
      </c>
      <c r="P173" s="518">
        <v>13.6</v>
      </c>
      <c r="Q173" s="517">
        <v>0</v>
      </c>
      <c r="R173" s="518">
        <v>11.1</v>
      </c>
      <c r="S173" s="329">
        <v>0</v>
      </c>
      <c r="T173" s="518">
        <v>9.5</v>
      </c>
      <c r="U173" s="517">
        <v>0</v>
      </c>
      <c r="V173" s="518">
        <v>3.5</v>
      </c>
      <c r="W173" s="113"/>
      <c r="X173" s="283">
        <v>83</v>
      </c>
      <c r="Y173" s="264"/>
      <c r="Z173" s="282">
        <v>0</v>
      </c>
      <c r="AA173" s="293">
        <v>0</v>
      </c>
      <c r="AB173" s="284"/>
      <c r="AC173" s="265">
        <v>262</v>
      </c>
      <c r="AD173" s="294">
        <v>346</v>
      </c>
      <c r="AE173" s="265">
        <v>302</v>
      </c>
      <c r="AF173" s="294">
        <v>326</v>
      </c>
      <c r="AG173" s="265">
        <v>381</v>
      </c>
      <c r="AH173" s="294">
        <v>266</v>
      </c>
      <c r="AI173" s="292">
        <v>419</v>
      </c>
      <c r="AJ173" s="294">
        <v>228</v>
      </c>
      <c r="AK173" s="265">
        <v>563</v>
      </c>
      <c r="AL173" s="294">
        <v>84</v>
      </c>
      <c r="AN173" s="283">
        <v>0</v>
      </c>
      <c r="AO173" s="284"/>
      <c r="AP173" s="282">
        <v>0</v>
      </c>
      <c r="AQ173" s="293">
        <v>0</v>
      </c>
      <c r="AR173" s="284"/>
      <c r="AS173" s="282">
        <v>0</v>
      </c>
      <c r="AT173" s="315">
        <v>0</v>
      </c>
      <c r="AU173" s="282">
        <v>0</v>
      </c>
      <c r="AV173" s="315">
        <v>0</v>
      </c>
      <c r="AW173" s="282">
        <v>0</v>
      </c>
      <c r="AX173" s="315">
        <v>0</v>
      </c>
      <c r="AY173" s="282">
        <v>0</v>
      </c>
      <c r="AZ173" s="315">
        <v>0</v>
      </c>
      <c r="BA173" s="282">
        <v>0</v>
      </c>
      <c r="BB173" s="315">
        <v>0</v>
      </c>
    </row>
    <row r="174" spans="2:54">
      <c r="B174" s="273" t="s">
        <v>181</v>
      </c>
      <c r="C174" s="286" t="s">
        <v>430</v>
      </c>
      <c r="D174" s="189">
        <v>208</v>
      </c>
      <c r="E174" s="520">
        <v>3.75</v>
      </c>
      <c r="F174" s="236" t="s">
        <v>191</v>
      </c>
      <c r="G174" s="236" t="s">
        <v>178</v>
      </c>
      <c r="H174" s="295">
        <v>208</v>
      </c>
      <c r="I174" s="264"/>
      <c r="J174" s="267" t="s">
        <v>15</v>
      </c>
      <c r="K174" s="297" t="s">
        <v>15</v>
      </c>
      <c r="L174" s="298"/>
      <c r="M174" s="237">
        <v>0</v>
      </c>
      <c r="N174" s="314">
        <v>5.0999999999999996</v>
      </c>
      <c r="O174" s="237">
        <v>0</v>
      </c>
      <c r="P174" s="314">
        <v>3.7</v>
      </c>
      <c r="Q174" s="237">
        <v>0</v>
      </c>
      <c r="R174" s="314">
        <v>0</v>
      </c>
      <c r="S174" s="509">
        <v>0</v>
      </c>
      <c r="T174" s="314">
        <v>0</v>
      </c>
      <c r="U174" s="237">
        <v>0</v>
      </c>
      <c r="V174" s="314">
        <v>0</v>
      </c>
      <c r="W174" s="109"/>
      <c r="X174" s="268">
        <v>0</v>
      </c>
      <c r="Y174" s="264"/>
      <c r="Z174" s="267">
        <v>0</v>
      </c>
      <c r="AA174" s="297">
        <v>0</v>
      </c>
      <c r="AB174" s="284"/>
      <c r="AC174" s="267">
        <v>86</v>
      </c>
      <c r="AD174" s="297">
        <v>122</v>
      </c>
      <c r="AE174" s="267">
        <v>119</v>
      </c>
      <c r="AF174" s="297">
        <v>89</v>
      </c>
      <c r="AG174" s="267">
        <v>208</v>
      </c>
      <c r="AH174" s="297">
        <v>0</v>
      </c>
      <c r="AI174" s="296">
        <v>208</v>
      </c>
      <c r="AJ174" s="297">
        <v>0</v>
      </c>
      <c r="AK174" s="267">
        <v>208</v>
      </c>
      <c r="AL174" s="297">
        <v>0</v>
      </c>
      <c r="AN174" s="283">
        <v>0</v>
      </c>
      <c r="AO174" s="284"/>
      <c r="AP174" s="282">
        <v>0</v>
      </c>
      <c r="AQ174" s="293">
        <v>0</v>
      </c>
      <c r="AR174" s="284"/>
      <c r="AS174" s="282">
        <v>0</v>
      </c>
      <c r="AT174" s="315">
        <v>0</v>
      </c>
      <c r="AU174" s="282">
        <v>0</v>
      </c>
      <c r="AV174" s="315">
        <v>0</v>
      </c>
      <c r="AW174" s="282">
        <v>0</v>
      </c>
      <c r="AX174" s="315">
        <v>0</v>
      </c>
      <c r="AY174" s="282">
        <v>0</v>
      </c>
      <c r="AZ174" s="315">
        <v>0</v>
      </c>
      <c r="BA174" s="282">
        <v>0</v>
      </c>
      <c r="BB174" s="315">
        <v>0</v>
      </c>
    </row>
    <row r="175" spans="2:54" s="109" customFormat="1">
      <c r="B175" s="280" t="s">
        <v>181</v>
      </c>
      <c r="C175" s="281" t="s">
        <v>452</v>
      </c>
      <c r="D175" s="188">
        <v>174</v>
      </c>
      <c r="E175" s="519">
        <v>3.25</v>
      </c>
      <c r="F175" s="233" t="s">
        <v>190</v>
      </c>
      <c r="G175" s="233" t="s">
        <v>178</v>
      </c>
      <c r="H175" s="232">
        <v>110</v>
      </c>
      <c r="I175" s="264"/>
      <c r="J175" s="282" t="s">
        <v>15</v>
      </c>
      <c r="K175" s="293" t="s">
        <v>15</v>
      </c>
      <c r="L175" s="298"/>
      <c r="M175" s="517">
        <v>0</v>
      </c>
      <c r="N175" s="518">
        <v>2.5</v>
      </c>
      <c r="O175" s="517">
        <v>0</v>
      </c>
      <c r="P175" s="518">
        <v>1.1000000000000001</v>
      </c>
      <c r="Q175" s="517">
        <v>0</v>
      </c>
      <c r="R175" s="518">
        <v>0</v>
      </c>
      <c r="S175" s="329">
        <v>0</v>
      </c>
      <c r="T175" s="518">
        <v>0</v>
      </c>
      <c r="U175" s="517">
        <v>0</v>
      </c>
      <c r="V175" s="518">
        <v>0</v>
      </c>
      <c r="W175" s="113"/>
      <c r="X175" s="283">
        <v>64</v>
      </c>
      <c r="Y175" s="264"/>
      <c r="Z175" s="282">
        <v>0</v>
      </c>
      <c r="AA175" s="293">
        <v>0</v>
      </c>
      <c r="AB175" s="284"/>
      <c r="AC175" s="265">
        <v>114</v>
      </c>
      <c r="AD175" s="294">
        <v>60</v>
      </c>
      <c r="AE175" s="265">
        <v>148</v>
      </c>
      <c r="AF175" s="294">
        <v>26</v>
      </c>
      <c r="AG175" s="265">
        <v>174</v>
      </c>
      <c r="AH175" s="294">
        <v>0</v>
      </c>
      <c r="AI175" s="292">
        <v>174</v>
      </c>
      <c r="AJ175" s="294">
        <v>0</v>
      </c>
      <c r="AK175" s="265">
        <v>174</v>
      </c>
      <c r="AL175" s="294">
        <v>0</v>
      </c>
      <c r="AN175" s="283">
        <v>0</v>
      </c>
      <c r="AO175" s="284"/>
      <c r="AP175" s="282">
        <v>0</v>
      </c>
      <c r="AQ175" s="293">
        <v>0</v>
      </c>
      <c r="AR175" s="284"/>
      <c r="AS175" s="282">
        <v>0</v>
      </c>
      <c r="AT175" s="315">
        <v>0</v>
      </c>
      <c r="AU175" s="282">
        <v>0</v>
      </c>
      <c r="AV175" s="315">
        <v>0</v>
      </c>
      <c r="AW175" s="282">
        <v>0</v>
      </c>
      <c r="AX175" s="315">
        <v>0</v>
      </c>
      <c r="AY175" s="282">
        <v>0</v>
      </c>
      <c r="AZ175" s="315">
        <v>0</v>
      </c>
      <c r="BA175" s="282">
        <v>0</v>
      </c>
      <c r="BB175" s="315">
        <v>0</v>
      </c>
    </row>
    <row r="176" spans="2:54">
      <c r="B176" s="273" t="s">
        <v>181</v>
      </c>
      <c r="C176" s="286" t="s">
        <v>542</v>
      </c>
      <c r="D176" s="189">
        <v>205</v>
      </c>
      <c r="E176" s="520">
        <v>3.25</v>
      </c>
      <c r="F176" s="236" t="s">
        <v>190</v>
      </c>
      <c r="G176" s="236" t="s">
        <v>178</v>
      </c>
      <c r="H176" s="295">
        <v>119</v>
      </c>
      <c r="I176" s="264"/>
      <c r="J176" s="267" t="s">
        <v>15</v>
      </c>
      <c r="K176" s="297" t="s">
        <v>15</v>
      </c>
      <c r="L176" s="298"/>
      <c r="M176" s="237">
        <v>0</v>
      </c>
      <c r="N176" s="314">
        <v>2.8</v>
      </c>
      <c r="O176" s="237">
        <v>0</v>
      </c>
      <c r="P176" s="314">
        <v>1.4</v>
      </c>
      <c r="Q176" s="237">
        <v>0</v>
      </c>
      <c r="R176" s="314">
        <v>0</v>
      </c>
      <c r="S176" s="509">
        <v>0</v>
      </c>
      <c r="T176" s="314">
        <v>0</v>
      </c>
      <c r="U176" s="237">
        <v>0</v>
      </c>
      <c r="V176" s="314">
        <v>0</v>
      </c>
      <c r="W176" s="109"/>
      <c r="X176" s="268">
        <v>86</v>
      </c>
      <c r="Y176" s="264"/>
      <c r="Z176" s="267">
        <v>0</v>
      </c>
      <c r="AA176" s="297">
        <v>0</v>
      </c>
      <c r="AB176" s="284"/>
      <c r="AC176" s="267">
        <v>138</v>
      </c>
      <c r="AD176" s="297">
        <v>67</v>
      </c>
      <c r="AE176" s="267">
        <v>171</v>
      </c>
      <c r="AF176" s="297">
        <v>34</v>
      </c>
      <c r="AG176" s="267">
        <v>205</v>
      </c>
      <c r="AH176" s="297">
        <v>0</v>
      </c>
      <c r="AI176" s="296">
        <v>205</v>
      </c>
      <c r="AJ176" s="297">
        <v>0</v>
      </c>
      <c r="AK176" s="267">
        <v>205</v>
      </c>
      <c r="AL176" s="297">
        <v>0</v>
      </c>
      <c r="AN176" s="283">
        <v>0</v>
      </c>
      <c r="AO176" s="284"/>
      <c r="AP176" s="282">
        <v>0</v>
      </c>
      <c r="AQ176" s="293">
        <v>0</v>
      </c>
      <c r="AR176" s="284"/>
      <c r="AS176" s="282">
        <v>0</v>
      </c>
      <c r="AT176" s="315">
        <v>0</v>
      </c>
      <c r="AU176" s="282">
        <v>0</v>
      </c>
      <c r="AV176" s="315">
        <v>0</v>
      </c>
      <c r="AW176" s="282">
        <v>0</v>
      </c>
      <c r="AX176" s="315">
        <v>0</v>
      </c>
      <c r="AY176" s="282">
        <v>0</v>
      </c>
      <c r="AZ176" s="315">
        <v>0</v>
      </c>
      <c r="BA176" s="282">
        <v>0</v>
      </c>
      <c r="BB176" s="315">
        <v>0</v>
      </c>
    </row>
    <row r="177" spans="2:55" s="109" customFormat="1">
      <c r="B177" s="280" t="s">
        <v>181</v>
      </c>
      <c r="C177" s="281" t="s">
        <v>468</v>
      </c>
      <c r="D177" s="188">
        <v>326</v>
      </c>
      <c r="E177" s="519">
        <v>3.25</v>
      </c>
      <c r="F177" s="233" t="s">
        <v>190</v>
      </c>
      <c r="G177" s="233" t="s">
        <v>178</v>
      </c>
      <c r="H177" s="232">
        <v>217</v>
      </c>
      <c r="I177" s="264"/>
      <c r="J177" s="282" t="s">
        <v>15</v>
      </c>
      <c r="K177" s="293" t="s">
        <v>15</v>
      </c>
      <c r="L177" s="298"/>
      <c r="M177" s="517">
        <v>0</v>
      </c>
      <c r="N177" s="518">
        <v>5.4</v>
      </c>
      <c r="O177" s="517">
        <v>0</v>
      </c>
      <c r="P177" s="518">
        <v>4</v>
      </c>
      <c r="Q177" s="517">
        <v>0</v>
      </c>
      <c r="R177" s="518">
        <v>0</v>
      </c>
      <c r="S177" s="329">
        <v>0</v>
      </c>
      <c r="T177" s="518">
        <v>0</v>
      </c>
      <c r="U177" s="517">
        <v>0</v>
      </c>
      <c r="V177" s="518">
        <v>0</v>
      </c>
      <c r="W177" s="113"/>
      <c r="X177" s="283">
        <v>109</v>
      </c>
      <c r="Y177" s="264"/>
      <c r="Z177" s="282">
        <v>0</v>
      </c>
      <c r="AA177" s="293">
        <v>0</v>
      </c>
      <c r="AB177" s="284"/>
      <c r="AC177" s="265">
        <v>196</v>
      </c>
      <c r="AD177" s="294">
        <v>130</v>
      </c>
      <c r="AE177" s="265">
        <v>230</v>
      </c>
      <c r="AF177" s="294">
        <v>96</v>
      </c>
      <c r="AG177" s="265">
        <v>326</v>
      </c>
      <c r="AH177" s="294">
        <v>0</v>
      </c>
      <c r="AI177" s="292">
        <v>326</v>
      </c>
      <c r="AJ177" s="294">
        <v>0</v>
      </c>
      <c r="AK177" s="265">
        <v>326</v>
      </c>
      <c r="AL177" s="294">
        <v>0</v>
      </c>
      <c r="AN177" s="283">
        <v>-123</v>
      </c>
      <c r="AO177" s="284"/>
      <c r="AP177" s="282">
        <v>0</v>
      </c>
      <c r="AQ177" s="293">
        <v>0</v>
      </c>
      <c r="AR177" s="284"/>
      <c r="AS177" s="282">
        <v>0</v>
      </c>
      <c r="AT177" s="315">
        <v>-0.39999999999999947</v>
      </c>
      <c r="AU177" s="282">
        <v>0</v>
      </c>
      <c r="AV177" s="315">
        <v>-0.5</v>
      </c>
      <c r="AW177" s="282">
        <v>0</v>
      </c>
      <c r="AX177" s="315">
        <v>-1.1000000000000001</v>
      </c>
      <c r="AY177" s="282">
        <v>0</v>
      </c>
      <c r="AZ177" s="315">
        <v>0</v>
      </c>
      <c r="BA177" s="282">
        <v>0</v>
      </c>
      <c r="BB177" s="315">
        <v>0</v>
      </c>
    </row>
    <row r="178" spans="2:55">
      <c r="B178" s="285" t="s">
        <v>181</v>
      </c>
      <c r="C178" s="286" t="s">
        <v>469</v>
      </c>
      <c r="D178" s="189">
        <v>420</v>
      </c>
      <c r="E178" s="520">
        <v>3.25</v>
      </c>
      <c r="F178" s="236" t="s">
        <v>190</v>
      </c>
      <c r="G178" s="236" t="s">
        <v>178</v>
      </c>
      <c r="H178" s="295">
        <v>361</v>
      </c>
      <c r="I178" s="264"/>
      <c r="J178" s="267" t="s">
        <v>15</v>
      </c>
      <c r="K178" s="297" t="s">
        <v>15</v>
      </c>
      <c r="L178" s="298"/>
      <c r="M178" s="237">
        <v>0</v>
      </c>
      <c r="N178" s="314">
        <v>9</v>
      </c>
      <c r="O178" s="237">
        <v>0</v>
      </c>
      <c r="P178" s="314">
        <v>7.6</v>
      </c>
      <c r="Q178" s="237">
        <v>0</v>
      </c>
      <c r="R178" s="314">
        <v>4.3</v>
      </c>
      <c r="S178" s="509">
        <v>0</v>
      </c>
      <c r="T178" s="314">
        <v>2.7</v>
      </c>
      <c r="U178" s="237">
        <v>0</v>
      </c>
      <c r="V178" s="314">
        <v>0</v>
      </c>
      <c r="W178" s="109"/>
      <c r="X178" s="268">
        <v>59</v>
      </c>
      <c r="Y178" s="264"/>
      <c r="Z178" s="267">
        <v>0</v>
      </c>
      <c r="AA178" s="297">
        <v>0</v>
      </c>
      <c r="AB178" s="284"/>
      <c r="AC178" s="267">
        <v>204</v>
      </c>
      <c r="AD178" s="297">
        <v>216</v>
      </c>
      <c r="AE178" s="267">
        <v>238</v>
      </c>
      <c r="AF178" s="297">
        <v>182</v>
      </c>
      <c r="AG178" s="267">
        <v>317</v>
      </c>
      <c r="AH178" s="297">
        <v>103</v>
      </c>
      <c r="AI178" s="296">
        <v>355</v>
      </c>
      <c r="AJ178" s="297">
        <v>65</v>
      </c>
      <c r="AK178" s="267">
        <v>420</v>
      </c>
      <c r="AL178" s="297">
        <v>0</v>
      </c>
      <c r="AN178" s="283">
        <v>0</v>
      </c>
      <c r="AO178" s="284"/>
      <c r="AP178" s="282">
        <v>0</v>
      </c>
      <c r="AQ178" s="293">
        <v>0</v>
      </c>
      <c r="AR178" s="284"/>
      <c r="AS178" s="282">
        <v>0</v>
      </c>
      <c r="AT178" s="315">
        <v>0</v>
      </c>
      <c r="AU178" s="282">
        <v>0</v>
      </c>
      <c r="AV178" s="315">
        <v>0</v>
      </c>
      <c r="AW178" s="282">
        <v>0</v>
      </c>
      <c r="AX178" s="315">
        <v>0</v>
      </c>
      <c r="AY178" s="282">
        <v>0</v>
      </c>
      <c r="AZ178" s="315">
        <v>0</v>
      </c>
      <c r="BA178" s="282">
        <v>0</v>
      </c>
      <c r="BB178" s="315">
        <v>0</v>
      </c>
    </row>
    <row r="179" spans="2:55" s="109" customFormat="1">
      <c r="B179" s="280" t="s">
        <v>181</v>
      </c>
      <c r="C179" s="281" t="s">
        <v>637</v>
      </c>
      <c r="D179" s="188">
        <v>323</v>
      </c>
      <c r="E179" s="519">
        <v>3.25</v>
      </c>
      <c r="F179" s="233" t="s">
        <v>190</v>
      </c>
      <c r="G179" s="233" t="s">
        <v>178</v>
      </c>
      <c r="H179" s="232">
        <v>347</v>
      </c>
      <c r="I179" s="264"/>
      <c r="J179" s="282" t="s">
        <v>15</v>
      </c>
      <c r="K179" s="293" t="s">
        <v>15</v>
      </c>
      <c r="L179" s="298"/>
      <c r="M179" s="517">
        <v>0</v>
      </c>
      <c r="N179" s="518">
        <v>6.8</v>
      </c>
      <c r="O179" s="517">
        <v>0</v>
      </c>
      <c r="P179" s="518">
        <v>5.4</v>
      </c>
      <c r="Q179" s="517">
        <v>0</v>
      </c>
      <c r="R179" s="518">
        <v>2</v>
      </c>
      <c r="S179" s="329">
        <v>0</v>
      </c>
      <c r="T179" s="518">
        <v>0</v>
      </c>
      <c r="U179" s="517">
        <v>0</v>
      </c>
      <c r="V179" s="518">
        <v>0</v>
      </c>
      <c r="W179" s="113"/>
      <c r="X179" s="283">
        <v>-24</v>
      </c>
      <c r="Y179" s="264"/>
      <c r="Z179" s="282">
        <v>0</v>
      </c>
      <c r="AA179" s="293">
        <v>0</v>
      </c>
      <c r="AB179" s="284"/>
      <c r="AC179" s="265">
        <v>160</v>
      </c>
      <c r="AD179" s="294">
        <v>163</v>
      </c>
      <c r="AE179" s="265">
        <v>193</v>
      </c>
      <c r="AF179" s="294">
        <v>130</v>
      </c>
      <c r="AG179" s="265">
        <v>275</v>
      </c>
      <c r="AH179" s="294">
        <v>48</v>
      </c>
      <c r="AI179" s="292">
        <v>323</v>
      </c>
      <c r="AJ179" s="294">
        <v>0</v>
      </c>
      <c r="AK179" s="265">
        <v>323</v>
      </c>
      <c r="AL179" s="294">
        <v>0</v>
      </c>
      <c r="AN179" s="283">
        <v>0</v>
      </c>
      <c r="AO179" s="284"/>
      <c r="AP179" s="282">
        <v>0</v>
      </c>
      <c r="AQ179" s="293">
        <v>0</v>
      </c>
      <c r="AR179" s="284"/>
      <c r="AS179" s="282" t="e">
        <v>#N/A</v>
      </c>
      <c r="AT179" s="315" t="e">
        <v>#N/A</v>
      </c>
      <c r="AU179" s="282" t="e">
        <v>#N/A</v>
      </c>
      <c r="AV179" s="315" t="e">
        <v>#N/A</v>
      </c>
      <c r="AW179" s="282" t="e">
        <v>#N/A</v>
      </c>
      <c r="AX179" s="315" t="e">
        <v>#N/A</v>
      </c>
      <c r="AY179" s="282" t="e">
        <v>#N/A</v>
      </c>
      <c r="AZ179" s="315" t="e">
        <v>#N/A</v>
      </c>
      <c r="BA179" s="282" t="e">
        <v>#N/A</v>
      </c>
      <c r="BB179" s="315" t="e">
        <v>#N/A</v>
      </c>
    </row>
    <row r="180" spans="2:55" s="109" customFormat="1">
      <c r="B180" s="285" t="s">
        <v>181</v>
      </c>
      <c r="C180" s="286" t="s">
        <v>624</v>
      </c>
      <c r="D180" s="189">
        <v>415</v>
      </c>
      <c r="E180" s="520">
        <v>3.25</v>
      </c>
      <c r="F180" s="236" t="s">
        <v>190</v>
      </c>
      <c r="G180" s="236" t="s">
        <v>178</v>
      </c>
      <c r="H180" s="295">
        <v>404</v>
      </c>
      <c r="I180" s="264"/>
      <c r="J180" s="267" t="s">
        <v>15</v>
      </c>
      <c r="K180" s="297" t="s">
        <v>15</v>
      </c>
      <c r="L180" s="298"/>
      <c r="M180" s="237">
        <v>0</v>
      </c>
      <c r="N180" s="314">
        <v>10.5</v>
      </c>
      <c r="O180" s="237">
        <v>0</v>
      </c>
      <c r="P180" s="314">
        <v>9.1</v>
      </c>
      <c r="Q180" s="237">
        <v>0</v>
      </c>
      <c r="R180" s="314">
        <v>5.8</v>
      </c>
      <c r="S180" s="509">
        <v>0</v>
      </c>
      <c r="T180" s="314">
        <v>4.2</v>
      </c>
      <c r="U180" s="237">
        <v>0</v>
      </c>
      <c r="V180" s="314">
        <v>0</v>
      </c>
      <c r="X180" s="268">
        <v>11</v>
      </c>
      <c r="Y180" s="264"/>
      <c r="Z180" s="267">
        <v>0</v>
      </c>
      <c r="AA180" s="297">
        <v>0</v>
      </c>
      <c r="AB180" s="284"/>
      <c r="AC180" s="267">
        <v>163</v>
      </c>
      <c r="AD180" s="297">
        <v>252</v>
      </c>
      <c r="AE180" s="267">
        <v>197</v>
      </c>
      <c r="AF180" s="297">
        <v>218</v>
      </c>
      <c r="AG180" s="267">
        <v>276</v>
      </c>
      <c r="AH180" s="297">
        <v>139</v>
      </c>
      <c r="AI180" s="296">
        <v>314</v>
      </c>
      <c r="AJ180" s="297">
        <v>101</v>
      </c>
      <c r="AK180" s="267">
        <v>415</v>
      </c>
      <c r="AL180" s="297">
        <v>0</v>
      </c>
      <c r="AM180" s="113"/>
      <c r="AN180" s="283">
        <v>0</v>
      </c>
      <c r="AO180" s="284"/>
      <c r="AP180" s="282">
        <v>0</v>
      </c>
      <c r="AQ180" s="293">
        <v>0</v>
      </c>
      <c r="AR180" s="284"/>
      <c r="AS180" s="282">
        <v>0</v>
      </c>
      <c r="AT180" s="315">
        <v>0</v>
      </c>
      <c r="AU180" s="282">
        <v>0</v>
      </c>
      <c r="AV180" s="315">
        <v>0</v>
      </c>
      <c r="AW180" s="282">
        <v>0</v>
      </c>
      <c r="AX180" s="315">
        <v>0</v>
      </c>
      <c r="AY180" s="282">
        <v>0</v>
      </c>
      <c r="AZ180" s="315">
        <v>0</v>
      </c>
      <c r="BA180" s="282">
        <v>0</v>
      </c>
      <c r="BB180" s="315">
        <v>0</v>
      </c>
      <c r="BC180" s="113"/>
    </row>
    <row r="181" spans="2:55">
      <c r="B181" s="280" t="s">
        <v>181</v>
      </c>
      <c r="C181" s="281" t="s">
        <v>625</v>
      </c>
      <c r="D181" s="188">
        <v>516</v>
      </c>
      <c r="E181" s="519">
        <v>3.25</v>
      </c>
      <c r="F181" s="233" t="s">
        <v>190</v>
      </c>
      <c r="G181" s="233" t="s">
        <v>178</v>
      </c>
      <c r="H181" s="232">
        <v>503</v>
      </c>
      <c r="I181" s="264"/>
      <c r="J181" s="282" t="s">
        <v>15</v>
      </c>
      <c r="K181" s="293" t="s">
        <v>15</v>
      </c>
      <c r="L181" s="298"/>
      <c r="M181" s="517">
        <v>39</v>
      </c>
      <c r="N181" s="518">
        <v>12.2</v>
      </c>
      <c r="O181" s="517">
        <v>19</v>
      </c>
      <c r="P181" s="518">
        <v>11.4</v>
      </c>
      <c r="Q181" s="517">
        <v>0</v>
      </c>
      <c r="R181" s="518">
        <v>8.9</v>
      </c>
      <c r="S181" s="329">
        <v>0</v>
      </c>
      <c r="T181" s="518">
        <v>7.3</v>
      </c>
      <c r="U181" s="517">
        <v>0</v>
      </c>
      <c r="V181" s="518">
        <v>2.6</v>
      </c>
      <c r="X181" s="283">
        <v>13</v>
      </c>
      <c r="Y181" s="264"/>
      <c r="Z181" s="282">
        <v>0</v>
      </c>
      <c r="AA181" s="293">
        <v>0</v>
      </c>
      <c r="AB181" s="284"/>
      <c r="AC181" s="265">
        <v>184</v>
      </c>
      <c r="AD181" s="294">
        <v>293</v>
      </c>
      <c r="AE181" s="265">
        <v>223</v>
      </c>
      <c r="AF181" s="294">
        <v>274</v>
      </c>
      <c r="AG181" s="265">
        <v>302</v>
      </c>
      <c r="AH181" s="294">
        <v>214</v>
      </c>
      <c r="AI181" s="292">
        <v>341</v>
      </c>
      <c r="AJ181" s="294">
        <v>175</v>
      </c>
      <c r="AK181" s="265">
        <v>454</v>
      </c>
      <c r="AL181" s="294">
        <v>62</v>
      </c>
      <c r="AM181" s="109"/>
      <c r="AN181" s="283">
        <v>-12</v>
      </c>
      <c r="AO181" s="284"/>
      <c r="AP181" s="282">
        <v>0</v>
      </c>
      <c r="AQ181" s="293">
        <v>0</v>
      </c>
      <c r="AR181" s="284"/>
      <c r="AS181" s="282">
        <v>0</v>
      </c>
      <c r="AT181" s="315">
        <v>-0.5</v>
      </c>
      <c r="AU181" s="282">
        <v>0</v>
      </c>
      <c r="AV181" s="315">
        <v>-0.40000000000000036</v>
      </c>
      <c r="AW181" s="282">
        <v>0</v>
      </c>
      <c r="AX181" s="315">
        <v>-0.40000000000000036</v>
      </c>
      <c r="AY181" s="282">
        <v>0</v>
      </c>
      <c r="AZ181" s="315">
        <v>-0.40000000000000036</v>
      </c>
      <c r="BA181" s="282">
        <v>0</v>
      </c>
      <c r="BB181" s="315">
        <v>-0.39999999999999991</v>
      </c>
      <c r="BC181" s="109"/>
    </row>
    <row r="182" spans="2:55" s="109" customFormat="1">
      <c r="B182" s="285" t="s">
        <v>181</v>
      </c>
      <c r="C182" s="286" t="s">
        <v>543</v>
      </c>
      <c r="D182" s="189">
        <v>327</v>
      </c>
      <c r="E182" s="520">
        <v>3.75</v>
      </c>
      <c r="F182" s="236" t="s">
        <v>191</v>
      </c>
      <c r="G182" s="236" t="s">
        <v>178</v>
      </c>
      <c r="H182" s="295">
        <v>334</v>
      </c>
      <c r="I182" s="264"/>
      <c r="J182" s="267" t="s">
        <v>15</v>
      </c>
      <c r="K182" s="297" t="s">
        <v>15</v>
      </c>
      <c r="L182" s="298"/>
      <c r="M182" s="237">
        <v>0</v>
      </c>
      <c r="N182" s="314">
        <v>8</v>
      </c>
      <c r="O182" s="237">
        <v>0</v>
      </c>
      <c r="P182" s="314">
        <v>6.6</v>
      </c>
      <c r="Q182" s="237">
        <v>0</v>
      </c>
      <c r="R182" s="314">
        <v>3.3</v>
      </c>
      <c r="S182" s="509">
        <v>0</v>
      </c>
      <c r="T182" s="314">
        <v>1.7</v>
      </c>
      <c r="U182" s="237">
        <v>0</v>
      </c>
      <c r="V182" s="314">
        <v>0</v>
      </c>
      <c r="X182" s="268">
        <v>-7</v>
      </c>
      <c r="Y182" s="264"/>
      <c r="Z182" s="267">
        <v>0</v>
      </c>
      <c r="AA182" s="297">
        <v>0</v>
      </c>
      <c r="AB182" s="284"/>
      <c r="AC182" s="267">
        <v>135</v>
      </c>
      <c r="AD182" s="297">
        <v>192</v>
      </c>
      <c r="AE182" s="267">
        <v>169</v>
      </c>
      <c r="AF182" s="297">
        <v>158</v>
      </c>
      <c r="AG182" s="267">
        <v>248</v>
      </c>
      <c r="AH182" s="297">
        <v>79</v>
      </c>
      <c r="AI182" s="296">
        <v>286</v>
      </c>
      <c r="AJ182" s="297">
        <v>41</v>
      </c>
      <c r="AK182" s="267">
        <v>327</v>
      </c>
      <c r="AL182" s="297">
        <v>0</v>
      </c>
      <c r="AM182" s="113"/>
      <c r="AN182" s="283">
        <v>0</v>
      </c>
      <c r="AO182" s="284"/>
      <c r="AP182" s="282">
        <v>0</v>
      </c>
      <c r="AQ182" s="293">
        <v>0</v>
      </c>
      <c r="AR182" s="284"/>
      <c r="AS182" s="282">
        <v>0</v>
      </c>
      <c r="AT182" s="315">
        <v>0</v>
      </c>
      <c r="AU182" s="282">
        <v>0</v>
      </c>
      <c r="AV182" s="315">
        <v>0</v>
      </c>
      <c r="AW182" s="282">
        <v>0</v>
      </c>
      <c r="AX182" s="315">
        <v>0</v>
      </c>
      <c r="AY182" s="282">
        <v>0</v>
      </c>
      <c r="AZ182" s="315">
        <v>0</v>
      </c>
      <c r="BA182" s="282">
        <v>0</v>
      </c>
      <c r="BB182" s="315">
        <v>0</v>
      </c>
      <c r="BC182" s="113"/>
    </row>
    <row r="183" spans="2:55">
      <c r="B183" s="280" t="s">
        <v>181</v>
      </c>
      <c r="C183" s="118" t="s">
        <v>560</v>
      </c>
      <c r="D183" s="188">
        <v>167</v>
      </c>
      <c r="E183" s="519">
        <v>3.75</v>
      </c>
      <c r="F183" s="233" t="s">
        <v>191</v>
      </c>
      <c r="G183" s="233" t="s">
        <v>178</v>
      </c>
      <c r="H183" s="232">
        <v>133</v>
      </c>
      <c r="I183" s="264"/>
      <c r="J183" s="282" t="s">
        <v>15</v>
      </c>
      <c r="K183" s="293" t="s">
        <v>15</v>
      </c>
      <c r="L183" s="298"/>
      <c r="M183" s="517">
        <v>0</v>
      </c>
      <c r="N183" s="518">
        <v>3.3</v>
      </c>
      <c r="O183" s="517">
        <v>0</v>
      </c>
      <c r="P183" s="518">
        <v>1.9</v>
      </c>
      <c r="Q183" s="517">
        <v>0</v>
      </c>
      <c r="R183" s="518">
        <v>0</v>
      </c>
      <c r="S183" s="329">
        <v>0</v>
      </c>
      <c r="T183" s="518">
        <v>0</v>
      </c>
      <c r="U183" s="517">
        <v>0</v>
      </c>
      <c r="V183" s="518">
        <v>0</v>
      </c>
      <c r="X183" s="283">
        <v>34</v>
      </c>
      <c r="Y183" s="264"/>
      <c r="Z183" s="282">
        <v>0</v>
      </c>
      <c r="AA183" s="293">
        <v>0</v>
      </c>
      <c r="AB183" s="284"/>
      <c r="AC183" s="265">
        <v>88</v>
      </c>
      <c r="AD183" s="294">
        <v>79</v>
      </c>
      <c r="AE183" s="265">
        <v>121</v>
      </c>
      <c r="AF183" s="294">
        <v>46</v>
      </c>
      <c r="AG183" s="265">
        <v>167</v>
      </c>
      <c r="AH183" s="294">
        <v>0</v>
      </c>
      <c r="AI183" s="292">
        <v>167</v>
      </c>
      <c r="AJ183" s="294">
        <v>0</v>
      </c>
      <c r="AK183" s="265">
        <v>167</v>
      </c>
      <c r="AL183" s="294">
        <v>0</v>
      </c>
      <c r="AM183" s="109"/>
      <c r="AN183" s="283">
        <v>0</v>
      </c>
      <c r="AO183" s="284"/>
      <c r="AP183" s="282">
        <v>0</v>
      </c>
      <c r="AQ183" s="293">
        <v>0</v>
      </c>
      <c r="AR183" s="284"/>
      <c r="AS183" s="282">
        <v>0</v>
      </c>
      <c r="AT183" s="315">
        <v>0</v>
      </c>
      <c r="AU183" s="282">
        <v>0</v>
      </c>
      <c r="AV183" s="315">
        <v>0</v>
      </c>
      <c r="AW183" s="282">
        <v>0</v>
      </c>
      <c r="AX183" s="315">
        <v>0</v>
      </c>
      <c r="AY183" s="282">
        <v>0</v>
      </c>
      <c r="AZ183" s="315">
        <v>0</v>
      </c>
      <c r="BA183" s="282">
        <v>0</v>
      </c>
      <c r="BB183" s="315">
        <v>0</v>
      </c>
      <c r="BC183" s="109"/>
    </row>
    <row r="184" spans="2:55" s="109" customFormat="1">
      <c r="B184" s="285" t="s">
        <v>181</v>
      </c>
      <c r="C184" s="123" t="s">
        <v>523</v>
      </c>
      <c r="D184" s="189">
        <v>165</v>
      </c>
      <c r="E184" s="520">
        <v>0</v>
      </c>
      <c r="F184" s="236" t="s">
        <v>195</v>
      </c>
      <c r="G184" s="236" t="s">
        <v>178</v>
      </c>
      <c r="H184" s="295">
        <v>169</v>
      </c>
      <c r="I184" s="264"/>
      <c r="J184" s="267" t="s">
        <v>15</v>
      </c>
      <c r="K184" s="297" t="s">
        <v>15</v>
      </c>
      <c r="L184" s="298"/>
      <c r="M184" s="237">
        <v>0</v>
      </c>
      <c r="N184" s="314">
        <v>4.5</v>
      </c>
      <c r="O184" s="237">
        <v>0</v>
      </c>
      <c r="P184" s="314">
        <v>3.1</v>
      </c>
      <c r="Q184" s="237">
        <v>0</v>
      </c>
      <c r="R184" s="314">
        <v>0</v>
      </c>
      <c r="S184" s="509">
        <v>0</v>
      </c>
      <c r="T184" s="314">
        <v>0</v>
      </c>
      <c r="U184" s="237">
        <v>0</v>
      </c>
      <c r="V184" s="314">
        <v>0</v>
      </c>
      <c r="X184" s="268">
        <v>-4</v>
      </c>
      <c r="Y184" s="264"/>
      <c r="Z184" s="267">
        <v>0</v>
      </c>
      <c r="AA184" s="297">
        <v>0</v>
      </c>
      <c r="AB184" s="284"/>
      <c r="AC184" s="267">
        <v>57</v>
      </c>
      <c r="AD184" s="297">
        <v>108</v>
      </c>
      <c r="AE184" s="267">
        <v>91</v>
      </c>
      <c r="AF184" s="297">
        <v>74</v>
      </c>
      <c r="AG184" s="267">
        <v>165</v>
      </c>
      <c r="AH184" s="297">
        <v>0</v>
      </c>
      <c r="AI184" s="296">
        <v>165</v>
      </c>
      <c r="AJ184" s="297">
        <v>0</v>
      </c>
      <c r="AK184" s="267">
        <v>165</v>
      </c>
      <c r="AL184" s="297">
        <v>0</v>
      </c>
      <c r="AM184" s="113"/>
      <c r="AN184" s="283">
        <v>-23</v>
      </c>
      <c r="AO184" s="284"/>
      <c r="AP184" s="282">
        <v>0</v>
      </c>
      <c r="AQ184" s="293">
        <v>0</v>
      </c>
      <c r="AR184" s="284"/>
      <c r="AS184" s="282">
        <v>0</v>
      </c>
      <c r="AT184" s="315">
        <v>0</v>
      </c>
      <c r="AU184" s="282">
        <v>0</v>
      </c>
      <c r="AV184" s="315">
        <v>0</v>
      </c>
      <c r="AW184" s="282">
        <v>0</v>
      </c>
      <c r="AX184" s="315">
        <v>0</v>
      </c>
      <c r="AY184" s="282">
        <v>0</v>
      </c>
      <c r="AZ184" s="315">
        <v>0</v>
      </c>
      <c r="BA184" s="282">
        <v>0</v>
      </c>
      <c r="BB184" s="315">
        <v>0</v>
      </c>
      <c r="BC184" s="113"/>
    </row>
    <row r="185" spans="2:55" ht="13" thickBot="1">
      <c r="B185" s="280" t="s">
        <v>298</v>
      </c>
      <c r="C185" s="281" t="s">
        <v>583</v>
      </c>
      <c r="D185" s="188">
        <v>148</v>
      </c>
      <c r="E185" s="519">
        <v>3.25</v>
      </c>
      <c r="F185" s="233" t="s">
        <v>190</v>
      </c>
      <c r="G185" s="233" t="s">
        <v>178</v>
      </c>
      <c r="H185" s="232">
        <v>117</v>
      </c>
      <c r="I185" s="264"/>
      <c r="J185" s="282" t="s">
        <v>15</v>
      </c>
      <c r="K185" s="293" t="s">
        <v>15</v>
      </c>
      <c r="L185" s="298"/>
      <c r="M185" s="517">
        <v>0</v>
      </c>
      <c r="N185" s="518">
        <v>2.7</v>
      </c>
      <c r="O185" s="517">
        <v>0</v>
      </c>
      <c r="P185" s="518">
        <v>1.3</v>
      </c>
      <c r="Q185" s="517">
        <v>0</v>
      </c>
      <c r="R185" s="518">
        <v>0</v>
      </c>
      <c r="S185" s="329">
        <v>0</v>
      </c>
      <c r="T185" s="518">
        <v>0</v>
      </c>
      <c r="U185" s="517">
        <v>0</v>
      </c>
      <c r="V185" s="518">
        <v>0</v>
      </c>
      <c r="X185" s="283">
        <v>31</v>
      </c>
      <c r="Y185" s="264"/>
      <c r="Z185" s="282">
        <v>0</v>
      </c>
      <c r="AA185" s="293">
        <v>0</v>
      </c>
      <c r="AB185" s="284"/>
      <c r="AC185" s="265">
        <v>83</v>
      </c>
      <c r="AD185" s="294">
        <v>65</v>
      </c>
      <c r="AE185" s="265">
        <v>117</v>
      </c>
      <c r="AF185" s="294">
        <v>31</v>
      </c>
      <c r="AG185" s="265">
        <v>148</v>
      </c>
      <c r="AH185" s="294">
        <v>0</v>
      </c>
      <c r="AI185" s="292">
        <v>148</v>
      </c>
      <c r="AJ185" s="294">
        <v>0</v>
      </c>
      <c r="AK185" s="265">
        <v>148</v>
      </c>
      <c r="AL185" s="294">
        <v>0</v>
      </c>
      <c r="AM185" s="109"/>
      <c r="AN185" s="283">
        <v>0</v>
      </c>
      <c r="AO185" s="284"/>
      <c r="AP185" s="282">
        <v>0</v>
      </c>
      <c r="AQ185" s="293">
        <v>0</v>
      </c>
      <c r="AR185" s="284"/>
      <c r="AS185" s="282">
        <v>0</v>
      </c>
      <c r="AT185" s="315">
        <v>0</v>
      </c>
      <c r="AU185" s="282">
        <v>0</v>
      </c>
      <c r="AV185" s="315">
        <v>0</v>
      </c>
      <c r="AW185" s="282">
        <v>0</v>
      </c>
      <c r="AX185" s="315">
        <v>0</v>
      </c>
      <c r="AY185" s="282">
        <v>0</v>
      </c>
      <c r="AZ185" s="315">
        <v>0</v>
      </c>
      <c r="BA185" s="282">
        <v>0</v>
      </c>
      <c r="BB185" s="315">
        <v>0</v>
      </c>
      <c r="BC185" s="109"/>
    </row>
    <row r="186" spans="2:55">
      <c r="B186" s="521"/>
      <c r="C186" s="521"/>
      <c r="D186" s="521"/>
      <c r="E186" s="521"/>
      <c r="F186" s="521"/>
      <c r="G186" s="521"/>
      <c r="H186" s="521"/>
      <c r="I186" s="264"/>
      <c r="J186" s="521"/>
      <c r="K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  <c r="W186" s="150"/>
      <c r="X186" s="521"/>
      <c r="Z186" s="521"/>
      <c r="AA186" s="521"/>
      <c r="AC186" s="521"/>
      <c r="AD186" s="521"/>
      <c r="AE186" s="521"/>
      <c r="AF186" s="521"/>
      <c r="AG186" s="521"/>
      <c r="AH186" s="521"/>
      <c r="AI186" s="521"/>
      <c r="AJ186" s="521"/>
      <c r="AK186" s="521"/>
      <c r="AL186" s="521"/>
      <c r="AM186" s="150"/>
      <c r="AN186" s="521"/>
      <c r="AO186" s="150"/>
      <c r="AP186" s="521"/>
      <c r="AQ186" s="521"/>
      <c r="AR186" s="150"/>
      <c r="AS186" s="521"/>
      <c r="AT186" s="521"/>
      <c r="AU186" s="521"/>
      <c r="AV186" s="521"/>
      <c r="AW186" s="521"/>
      <c r="AX186" s="521"/>
      <c r="AY186" s="521"/>
      <c r="AZ186" s="521"/>
      <c r="BA186" s="521"/>
      <c r="BB186" s="521"/>
    </row>
    <row r="187" spans="2:55">
      <c r="I187" s="264"/>
      <c r="AO187" s="150"/>
      <c r="AR187" s="150"/>
      <c r="BC187" s="109"/>
    </row>
    <row r="188" spans="2:55">
      <c r="B188" s="586"/>
      <c r="C188" s="586"/>
      <c r="D188" s="586"/>
      <c r="E188" s="586"/>
      <c r="F188" s="586"/>
      <c r="G188" s="586"/>
      <c r="H188" s="586"/>
      <c r="I188" s="264"/>
      <c r="AO188" s="150"/>
      <c r="AR188" s="150"/>
    </row>
    <row r="189" spans="2:55">
      <c r="B189" s="586"/>
      <c r="C189" s="586"/>
      <c r="D189" s="586"/>
      <c r="E189" s="586"/>
      <c r="F189" s="586"/>
      <c r="G189" s="586"/>
      <c r="H189" s="586"/>
      <c r="I189" s="264"/>
      <c r="AO189" s="150"/>
      <c r="AR189" s="150"/>
      <c r="BC189" s="109"/>
    </row>
    <row r="190" spans="2:55">
      <c r="I190" s="264"/>
      <c r="AO190" s="150"/>
      <c r="AR190" s="150"/>
    </row>
    <row r="191" spans="2:55">
      <c r="I191" s="264"/>
      <c r="AO191" s="150"/>
      <c r="AR191" s="150"/>
      <c r="BC191" s="109"/>
    </row>
    <row r="192" spans="2:55">
      <c r="I192" s="113"/>
      <c r="AO192" s="150"/>
      <c r="AR192" s="150"/>
    </row>
    <row r="193" spans="9:55">
      <c r="I193" s="113"/>
      <c r="AO193" s="150"/>
      <c r="AR193" s="150"/>
      <c r="BC193" s="109"/>
    </row>
    <row r="194" spans="9:55">
      <c r="I194" s="113"/>
      <c r="AO194" s="150"/>
      <c r="AR194" s="150"/>
    </row>
    <row r="195" spans="9:55">
      <c r="I195" s="113"/>
      <c r="AO195" s="150"/>
      <c r="AR195" s="150"/>
      <c r="BC195" s="109"/>
    </row>
    <row r="196" spans="9:55">
      <c r="I196" s="113"/>
      <c r="AO196" s="150"/>
      <c r="AR196" s="150"/>
    </row>
    <row r="197" spans="9:55">
      <c r="I197" s="113"/>
      <c r="AO197" s="150"/>
      <c r="AR197" s="150"/>
    </row>
    <row r="198" spans="9:55">
      <c r="I198" s="113"/>
      <c r="AO198" s="150"/>
      <c r="AR198" s="150"/>
    </row>
    <row r="199" spans="9:55">
      <c r="I199" s="264"/>
      <c r="AO199" s="150"/>
      <c r="AR199" s="150"/>
    </row>
    <row r="200" spans="9:55">
      <c r="I200" s="264"/>
      <c r="AO200" s="150"/>
      <c r="AR200" s="150"/>
    </row>
    <row r="201" spans="9:55">
      <c r="I201" s="264"/>
      <c r="AO201" s="150"/>
      <c r="AR201" s="150"/>
    </row>
    <row r="202" spans="9:55">
      <c r="I202" s="264"/>
      <c r="AO202" s="150"/>
      <c r="AR202" s="150"/>
    </row>
    <row r="203" spans="9:55">
      <c r="I203" s="264"/>
      <c r="AO203" s="150"/>
      <c r="AR203" s="150"/>
    </row>
    <row r="204" spans="9:55">
      <c r="I204" s="264"/>
      <c r="AO204" s="150"/>
      <c r="AR204" s="150"/>
    </row>
    <row r="205" spans="9:55">
      <c r="I205" s="264"/>
      <c r="AO205" s="150"/>
      <c r="AR205" s="150"/>
    </row>
    <row r="206" spans="9:55">
      <c r="I206" s="264"/>
      <c r="AO206" s="150"/>
      <c r="AR206" s="150"/>
    </row>
    <row r="207" spans="9:55">
      <c r="I207" s="264"/>
      <c r="AO207" s="150"/>
      <c r="AR207" s="150"/>
    </row>
    <row r="208" spans="9:55">
      <c r="I208" s="264"/>
      <c r="AO208" s="150"/>
      <c r="AR208" s="150"/>
    </row>
    <row r="209" spans="2:44">
      <c r="I209" s="264"/>
      <c r="AO209" s="150"/>
      <c r="AR209" s="150"/>
    </row>
    <row r="210" spans="2:44">
      <c r="I210" s="264"/>
      <c r="AO210" s="150"/>
      <c r="AR210" s="150"/>
    </row>
    <row r="211" spans="2:44" ht="13" thickBot="1">
      <c r="I211" s="264"/>
      <c r="AO211" s="150"/>
      <c r="AR211" s="150"/>
    </row>
    <row r="212" spans="2:44">
      <c r="B212" s="521"/>
      <c r="C212" s="521"/>
      <c r="D212" s="521"/>
      <c r="E212" s="521"/>
      <c r="F212" s="521"/>
      <c r="G212" s="521"/>
      <c r="H212" s="521"/>
      <c r="I212" s="264"/>
      <c r="AO212" s="150"/>
      <c r="AR212" s="150"/>
    </row>
    <row r="213" spans="2:44">
      <c r="I213" s="264"/>
      <c r="AO213" s="150"/>
      <c r="AR213" s="150"/>
    </row>
    <row r="214" spans="2:44">
      <c r="I214" s="264"/>
      <c r="AO214" s="150"/>
      <c r="AR214" s="150"/>
    </row>
    <row r="215" spans="2:44">
      <c r="I215" s="264"/>
      <c r="AO215" s="150"/>
      <c r="AR215" s="150"/>
    </row>
    <row r="216" spans="2:44">
      <c r="I216" s="264"/>
      <c r="AO216" s="150"/>
      <c r="AR216" s="150"/>
    </row>
    <row r="217" spans="2:44">
      <c r="I217" s="264"/>
      <c r="AO217" s="150"/>
      <c r="AR217" s="150"/>
    </row>
    <row r="218" spans="2:44">
      <c r="I218" s="264"/>
      <c r="AO218" s="150"/>
      <c r="AR218" s="150"/>
    </row>
    <row r="219" spans="2:44">
      <c r="I219" s="264"/>
      <c r="AO219" s="150"/>
      <c r="AR219" s="150"/>
    </row>
    <row r="220" spans="2:44">
      <c r="I220" s="264"/>
      <c r="AO220" s="150"/>
      <c r="AR220" s="150"/>
    </row>
    <row r="221" spans="2:44">
      <c r="I221" s="264"/>
      <c r="AO221" s="150"/>
      <c r="AR221" s="150"/>
    </row>
    <row r="222" spans="2:44">
      <c r="I222" s="264"/>
      <c r="AO222" s="150"/>
      <c r="AR222" s="150"/>
    </row>
    <row r="223" spans="2:44">
      <c r="I223" s="264"/>
      <c r="AO223" s="150"/>
      <c r="AR223" s="150"/>
    </row>
    <row r="224" spans="2:44">
      <c r="I224" s="264"/>
      <c r="AO224" s="150"/>
      <c r="AR224" s="150"/>
    </row>
    <row r="225" spans="9:44">
      <c r="I225" s="264"/>
      <c r="AO225" s="150"/>
      <c r="AR225" s="150"/>
    </row>
    <row r="226" spans="9:44">
      <c r="AO226" s="150"/>
      <c r="AR226" s="150"/>
    </row>
    <row r="227" spans="9:44">
      <c r="AO227" s="150"/>
      <c r="AR227" s="150"/>
    </row>
    <row r="228" spans="9:44">
      <c r="AO228" s="150"/>
      <c r="AR228" s="150"/>
    </row>
    <row r="229" spans="9:44">
      <c r="AO229" s="150"/>
      <c r="AR229" s="150"/>
    </row>
    <row r="230" spans="9:44">
      <c r="AO230" s="150"/>
      <c r="AR230" s="150"/>
    </row>
    <row r="231" spans="9:44">
      <c r="AO231" s="150"/>
      <c r="AR231" s="150"/>
    </row>
    <row r="232" spans="9:44">
      <c r="AO232" s="150"/>
      <c r="AR232" s="150"/>
    </row>
    <row r="233" spans="9:44">
      <c r="AO233" s="150"/>
      <c r="AR233" s="150"/>
    </row>
    <row r="234" spans="9:44">
      <c r="AO234" s="150"/>
      <c r="AR234" s="150"/>
    </row>
    <row r="235" spans="9:44">
      <c r="AO235" s="150"/>
      <c r="AR235" s="150"/>
    </row>
    <row r="236" spans="9:44">
      <c r="AO236" s="150"/>
      <c r="AR236" s="150"/>
    </row>
    <row r="237" spans="9:44">
      <c r="AO237" s="150"/>
      <c r="AR237" s="150"/>
    </row>
    <row r="238" spans="9:44">
      <c r="AO238" s="150"/>
      <c r="AR238" s="150"/>
    </row>
    <row r="239" spans="9:44">
      <c r="AO239" s="150"/>
      <c r="AR239" s="150"/>
    </row>
    <row r="240" spans="9:44">
      <c r="AO240" s="150"/>
      <c r="AR240" s="150"/>
    </row>
    <row r="241" spans="41:44">
      <c r="AO241" s="150"/>
      <c r="AR241" s="150"/>
    </row>
    <row r="242" spans="41:44">
      <c r="AO242" s="150"/>
      <c r="AR242" s="150"/>
    </row>
    <row r="243" spans="41:44">
      <c r="AO243" s="150"/>
      <c r="AR243" s="150"/>
    </row>
    <row r="244" spans="41:44">
      <c r="AO244" s="150"/>
      <c r="AR244" s="150"/>
    </row>
    <row r="245" spans="41:44">
      <c r="AO245" s="150"/>
      <c r="AR245" s="150"/>
    </row>
    <row r="246" spans="41:44">
      <c r="AO246" s="150"/>
      <c r="AR246" s="150"/>
    </row>
    <row r="247" spans="41:44">
      <c r="AO247" s="150"/>
      <c r="AR247" s="150"/>
    </row>
    <row r="248" spans="41:44">
      <c r="AO248" s="150"/>
      <c r="AR248" s="150"/>
    </row>
    <row r="249" spans="41:44">
      <c r="AO249" s="150"/>
      <c r="AR249" s="150"/>
    </row>
    <row r="250" spans="41:44">
      <c r="AO250" s="150"/>
      <c r="AR250" s="150"/>
    </row>
    <row r="251" spans="41:44">
      <c r="AO251" s="150"/>
      <c r="AR251" s="150"/>
    </row>
    <row r="252" spans="41:44">
      <c r="AO252" s="150"/>
      <c r="AR252" s="150"/>
    </row>
    <row r="253" spans="41:44">
      <c r="AO253" s="150"/>
      <c r="AR253" s="150"/>
    </row>
    <row r="254" spans="41:44">
      <c r="AO254" s="150"/>
      <c r="AR254" s="150"/>
    </row>
    <row r="255" spans="41:44">
      <c r="AO255" s="150"/>
      <c r="AR255" s="150"/>
    </row>
    <row r="256" spans="41:44">
      <c r="AO256" s="150"/>
      <c r="AR256" s="150"/>
    </row>
    <row r="257" spans="41:44">
      <c r="AO257" s="150"/>
      <c r="AR257" s="150"/>
    </row>
    <row r="258" spans="41:44">
      <c r="AO258" s="150"/>
      <c r="AR258" s="150"/>
    </row>
    <row r="259" spans="41:44">
      <c r="AO259" s="150"/>
      <c r="AR259" s="150"/>
    </row>
    <row r="260" spans="41:44">
      <c r="AO260" s="150"/>
      <c r="AR260" s="150"/>
    </row>
    <row r="261" spans="41:44">
      <c r="AO261" s="150"/>
      <c r="AR261" s="150"/>
    </row>
    <row r="262" spans="41:44">
      <c r="AO262" s="150"/>
      <c r="AR262" s="150"/>
    </row>
    <row r="263" spans="41:44">
      <c r="AO263" s="150"/>
      <c r="AR263" s="150"/>
    </row>
    <row r="264" spans="41:44">
      <c r="AO264" s="150"/>
      <c r="AR264" s="150"/>
    </row>
    <row r="265" spans="41:44">
      <c r="AO265" s="150"/>
      <c r="AR265" s="150"/>
    </row>
    <row r="266" spans="41:44">
      <c r="AO266" s="150"/>
      <c r="AR266" s="150"/>
    </row>
    <row r="267" spans="41:44">
      <c r="AO267" s="150"/>
      <c r="AR267" s="150"/>
    </row>
    <row r="268" spans="41:44">
      <c r="AO268" s="150"/>
      <c r="AR268" s="150"/>
    </row>
    <row r="269" spans="41:44">
      <c r="AO269" s="150"/>
      <c r="AR269" s="150"/>
    </row>
    <row r="270" spans="41:44">
      <c r="AO270" s="150"/>
      <c r="AR270" s="150"/>
    </row>
    <row r="271" spans="41:44">
      <c r="AO271" s="150"/>
      <c r="AR271" s="150"/>
    </row>
    <row r="272" spans="41:44">
      <c r="AO272" s="150"/>
      <c r="AR272" s="150"/>
    </row>
    <row r="273" spans="41:44">
      <c r="AO273" s="150"/>
      <c r="AR273" s="150"/>
    </row>
    <row r="274" spans="41:44">
      <c r="AO274" s="150"/>
      <c r="AR274" s="150"/>
    </row>
    <row r="275" spans="41:44">
      <c r="AO275" s="150"/>
      <c r="AR275" s="150"/>
    </row>
    <row r="276" spans="41:44">
      <c r="AO276" s="150"/>
      <c r="AR276" s="150"/>
    </row>
    <row r="277" spans="41:44">
      <c r="AO277" s="150"/>
      <c r="AR277" s="150"/>
    </row>
    <row r="278" spans="41:44">
      <c r="AO278" s="150"/>
      <c r="AR278" s="150"/>
    </row>
    <row r="279" spans="41:44">
      <c r="AO279" s="150"/>
      <c r="AR279" s="150"/>
    </row>
    <row r="280" spans="41:44">
      <c r="AO280" s="150"/>
      <c r="AR280" s="150"/>
    </row>
    <row r="281" spans="41:44">
      <c r="AO281" s="150"/>
      <c r="AR281" s="150"/>
    </row>
    <row r="282" spans="41:44">
      <c r="AO282" s="150"/>
      <c r="AR282" s="150"/>
    </row>
    <row r="283" spans="41:44">
      <c r="AO283" s="150"/>
      <c r="AR283" s="150"/>
    </row>
    <row r="284" spans="41:44">
      <c r="AO284" s="150"/>
      <c r="AR284" s="150"/>
    </row>
    <row r="285" spans="41:44">
      <c r="AO285" s="150"/>
      <c r="AR285" s="150"/>
    </row>
    <row r="286" spans="41:44">
      <c r="AO286" s="150"/>
      <c r="AR286" s="150"/>
    </row>
    <row r="287" spans="41:44">
      <c r="AO287" s="150"/>
      <c r="AR287" s="150"/>
    </row>
    <row r="288" spans="41:44">
      <c r="AO288" s="150"/>
      <c r="AR288" s="150"/>
    </row>
    <row r="289" spans="41:44">
      <c r="AO289" s="150"/>
      <c r="AR289" s="150"/>
    </row>
    <row r="290" spans="41:44">
      <c r="AO290" s="150"/>
      <c r="AR290" s="150"/>
    </row>
    <row r="291" spans="41:44">
      <c r="AO291" s="150"/>
      <c r="AR291" s="150"/>
    </row>
    <row r="292" spans="41:44">
      <c r="AO292" s="150"/>
      <c r="AR292" s="150"/>
    </row>
    <row r="293" spans="41:44">
      <c r="AO293" s="150"/>
      <c r="AR293" s="150"/>
    </row>
    <row r="294" spans="41:44">
      <c r="AO294" s="150"/>
      <c r="AR294" s="150"/>
    </row>
    <row r="295" spans="41:44">
      <c r="AO295" s="150"/>
      <c r="AR295" s="150"/>
    </row>
    <row r="296" spans="41:44">
      <c r="AO296" s="150"/>
      <c r="AR296" s="150"/>
    </row>
    <row r="297" spans="41:44">
      <c r="AO297" s="150"/>
      <c r="AR297" s="150"/>
    </row>
    <row r="298" spans="41:44">
      <c r="AO298" s="150"/>
      <c r="AR298" s="150"/>
    </row>
    <row r="299" spans="41:44">
      <c r="AO299" s="150"/>
      <c r="AR299" s="150"/>
    </row>
    <row r="300" spans="41:44">
      <c r="AO300" s="150"/>
      <c r="AR300" s="150"/>
    </row>
    <row r="301" spans="41:44">
      <c r="AO301" s="150"/>
      <c r="AR301" s="150"/>
    </row>
    <row r="302" spans="41:44">
      <c r="AO302" s="150"/>
      <c r="AR302" s="150"/>
    </row>
    <row r="303" spans="41:44">
      <c r="AO303" s="150"/>
      <c r="AR303" s="150"/>
    </row>
    <row r="304" spans="41:44">
      <c r="AO304" s="150"/>
      <c r="AR304" s="150"/>
    </row>
    <row r="305" spans="41:44">
      <c r="AO305" s="150"/>
      <c r="AR305" s="150"/>
    </row>
    <row r="306" spans="41:44">
      <c r="AO306" s="150"/>
      <c r="AR306" s="150"/>
    </row>
    <row r="307" spans="41:44">
      <c r="AO307" s="150"/>
      <c r="AR307" s="150"/>
    </row>
    <row r="308" spans="41:44">
      <c r="AO308" s="150"/>
      <c r="AR308" s="150"/>
    </row>
    <row r="309" spans="41:44">
      <c r="AO309" s="150"/>
      <c r="AR309" s="150"/>
    </row>
    <row r="310" spans="41:44">
      <c r="AO310" s="150"/>
      <c r="AR310" s="150"/>
    </row>
    <row r="311" spans="41:44">
      <c r="AO311" s="150"/>
      <c r="AR311" s="150"/>
    </row>
    <row r="312" spans="41:44">
      <c r="AO312" s="150"/>
      <c r="AR312" s="150"/>
    </row>
    <row r="313" spans="41:44">
      <c r="AO313" s="150"/>
      <c r="AR313" s="150"/>
    </row>
    <row r="314" spans="41:44">
      <c r="AO314" s="150"/>
      <c r="AR314" s="150"/>
    </row>
    <row r="315" spans="41:44">
      <c r="AO315" s="150"/>
      <c r="AR315" s="150"/>
    </row>
    <row r="316" spans="41:44">
      <c r="AO316" s="150"/>
      <c r="AR316" s="150"/>
    </row>
    <row r="317" spans="41:44">
      <c r="AO317" s="150"/>
      <c r="AR317" s="150"/>
    </row>
    <row r="318" spans="41:44">
      <c r="AO318" s="150"/>
      <c r="AR318" s="150"/>
    </row>
    <row r="319" spans="41:44">
      <c r="AO319" s="150"/>
      <c r="AR319" s="150"/>
    </row>
    <row r="320" spans="41:44">
      <c r="AO320" s="150"/>
      <c r="AR320" s="150"/>
    </row>
    <row r="321" spans="41:44">
      <c r="AO321" s="150"/>
      <c r="AR321" s="150"/>
    </row>
    <row r="322" spans="41:44">
      <c r="AO322" s="150"/>
      <c r="AR322" s="150"/>
    </row>
    <row r="323" spans="41:44">
      <c r="AO323" s="150"/>
      <c r="AR323" s="150"/>
    </row>
    <row r="324" spans="41:44">
      <c r="AO324" s="150"/>
      <c r="AR324" s="150"/>
    </row>
    <row r="325" spans="41:44">
      <c r="AO325" s="150"/>
      <c r="AR325" s="150"/>
    </row>
    <row r="326" spans="41:44">
      <c r="AO326" s="150"/>
      <c r="AR326" s="150"/>
    </row>
    <row r="327" spans="41:44">
      <c r="AO327" s="150"/>
      <c r="AR327" s="150"/>
    </row>
    <row r="328" spans="41:44">
      <c r="AO328" s="150"/>
      <c r="AR328" s="150"/>
    </row>
    <row r="329" spans="41:44">
      <c r="AO329" s="150"/>
      <c r="AR329" s="150"/>
    </row>
    <row r="330" spans="41:44">
      <c r="AO330" s="150"/>
      <c r="AR330" s="150"/>
    </row>
    <row r="331" spans="41:44">
      <c r="AO331" s="150"/>
      <c r="AR331" s="150"/>
    </row>
    <row r="332" spans="41:44">
      <c r="AO332" s="150"/>
      <c r="AR332" s="150"/>
    </row>
    <row r="333" spans="41:44">
      <c r="AO333" s="150"/>
      <c r="AR333" s="150"/>
    </row>
    <row r="334" spans="41:44">
      <c r="AO334" s="150"/>
      <c r="AR334" s="150"/>
    </row>
    <row r="335" spans="41:44">
      <c r="AO335" s="150"/>
      <c r="AR335" s="150"/>
    </row>
    <row r="336" spans="41:44">
      <c r="AO336" s="150"/>
      <c r="AR336" s="150"/>
    </row>
    <row r="337" spans="41:44">
      <c r="AO337" s="150"/>
      <c r="AR337" s="150"/>
    </row>
    <row r="338" spans="41:44">
      <c r="AO338" s="150"/>
      <c r="AR338" s="150"/>
    </row>
    <row r="339" spans="41:44">
      <c r="AO339" s="150"/>
      <c r="AR339" s="150"/>
    </row>
    <row r="340" spans="41:44">
      <c r="AO340" s="150"/>
      <c r="AR340" s="150"/>
    </row>
    <row r="341" spans="41:44">
      <c r="AO341" s="150"/>
      <c r="AR341" s="150"/>
    </row>
    <row r="342" spans="41:44">
      <c r="AO342" s="150"/>
      <c r="AR342" s="150"/>
    </row>
    <row r="343" spans="41:44">
      <c r="AO343" s="150"/>
      <c r="AR343" s="150"/>
    </row>
    <row r="344" spans="41:44">
      <c r="AO344" s="150"/>
      <c r="AR344" s="150"/>
    </row>
    <row r="345" spans="41:44">
      <c r="AO345" s="150"/>
      <c r="AR345" s="150"/>
    </row>
    <row r="346" spans="41:44">
      <c r="AO346" s="150"/>
      <c r="AR346" s="150"/>
    </row>
  </sheetData>
  <sheetProtection algorithmName="SHA-512" hashValue="e534HuFY+knoY/h8cp1hdytzDhcd0yHT04HKOC1Ywxe+AsY8GDQmRheJHGwJqBWB8nNcpAZFM7dlpgHexZByEg==" saltValue="HovBmrIukBInychTXvSAUg==" spinCount="100000" sheet="1" objects="1" scenarios="1"/>
  <autoFilter ref="A24:WWL24" xr:uid="{00000000-0001-0000-0300-000000000000}"/>
  <mergeCells count="80">
    <mergeCell ref="AC20:AL20"/>
    <mergeCell ref="B18:G22"/>
    <mergeCell ref="H18:H22"/>
    <mergeCell ref="J18:K20"/>
    <mergeCell ref="M18:V18"/>
    <mergeCell ref="X18:X22"/>
    <mergeCell ref="J22:K22"/>
    <mergeCell ref="AK22:AL22"/>
    <mergeCell ref="Z22:AA22"/>
    <mergeCell ref="S22:T22"/>
    <mergeCell ref="AI22:AJ22"/>
    <mergeCell ref="AC22:AD22"/>
    <mergeCell ref="AE22:AF22"/>
    <mergeCell ref="AG22:AH22"/>
    <mergeCell ref="U22:V22"/>
    <mergeCell ref="AC18:AL18"/>
    <mergeCell ref="S14:T14"/>
    <mergeCell ref="S15:T15"/>
    <mergeCell ref="U14:V14"/>
    <mergeCell ref="D16:G16"/>
    <mergeCell ref="J16:K16"/>
    <mergeCell ref="M16:N16"/>
    <mergeCell ref="O16:P16"/>
    <mergeCell ref="Q16:R16"/>
    <mergeCell ref="Z18:AA20"/>
    <mergeCell ref="M20:V20"/>
    <mergeCell ref="S16:T16"/>
    <mergeCell ref="M15:N15"/>
    <mergeCell ref="O15:P15"/>
    <mergeCell ref="Q15:R15"/>
    <mergeCell ref="U16:V16"/>
    <mergeCell ref="U15:V15"/>
    <mergeCell ref="M22:N22"/>
    <mergeCell ref="O22:P22"/>
    <mergeCell ref="Q22:R22"/>
    <mergeCell ref="M14:N14"/>
    <mergeCell ref="Q5:R12"/>
    <mergeCell ref="Q14:R14"/>
    <mergeCell ref="O14:P14"/>
    <mergeCell ref="U5:V12"/>
    <mergeCell ref="D13:G13"/>
    <mergeCell ref="J13:K13"/>
    <mergeCell ref="M13:N13"/>
    <mergeCell ref="O13:P13"/>
    <mergeCell ref="Q13:R13"/>
    <mergeCell ref="U13:V13"/>
    <mergeCell ref="O5:P12"/>
    <mergeCell ref="S5:T12"/>
    <mergeCell ref="S13:T13"/>
    <mergeCell ref="M5:N12"/>
    <mergeCell ref="M2:V2"/>
    <mergeCell ref="D4:G4"/>
    <mergeCell ref="J4:K4"/>
    <mergeCell ref="M4:N4"/>
    <mergeCell ref="O4:P4"/>
    <mergeCell ref="Q4:R4"/>
    <mergeCell ref="U4:V4"/>
    <mergeCell ref="S4:T4"/>
    <mergeCell ref="B5:C16"/>
    <mergeCell ref="D5:G12"/>
    <mergeCell ref="H5:H12"/>
    <mergeCell ref="J5:K12"/>
    <mergeCell ref="B2:G2"/>
    <mergeCell ref="H2:H4"/>
    <mergeCell ref="J2:K2"/>
    <mergeCell ref="D14:G14"/>
    <mergeCell ref="J14:K14"/>
    <mergeCell ref="D15:G15"/>
    <mergeCell ref="J15:K15"/>
    <mergeCell ref="AN16:BB16"/>
    <mergeCell ref="AN18:AN22"/>
    <mergeCell ref="AP18:AQ20"/>
    <mergeCell ref="AS18:BB18"/>
    <mergeCell ref="AS20:BB20"/>
    <mergeCell ref="AP22:AQ22"/>
    <mergeCell ref="AS22:AT22"/>
    <mergeCell ref="AU22:AV22"/>
    <mergeCell ref="AW22:AX22"/>
    <mergeCell ref="AY22:AZ22"/>
    <mergeCell ref="BA22:BB22"/>
  </mergeCells>
  <phoneticPr fontId="86" type="noConversion"/>
  <conditionalFormatting sqref="AS25:AU185 AW25:AW185 AY25:AY185 BA25:BA185 AP25:AQ185 AN25:AN185">
    <cfRule type="cellIs" dxfId="71" priority="9" stopIfTrue="1" operator="lessThan">
      <formula>0</formula>
    </cfRule>
    <cfRule type="cellIs" dxfId="70" priority="10" stopIfTrue="1" operator="greaterThan">
      <formula>0</formula>
    </cfRule>
  </conditionalFormatting>
  <conditionalFormatting sqref="AV25:AV185">
    <cfRule type="cellIs" dxfId="69" priority="7" stopIfTrue="1" operator="lessThan">
      <formula>0</formula>
    </cfRule>
    <cfRule type="cellIs" dxfId="68" priority="8" stopIfTrue="1" operator="greaterThan">
      <formula>0</formula>
    </cfRule>
  </conditionalFormatting>
  <conditionalFormatting sqref="AX25:AX185">
    <cfRule type="cellIs" dxfId="67" priority="5" stopIfTrue="1" operator="lessThan">
      <formula>0</formula>
    </cfRule>
    <cfRule type="cellIs" dxfId="66" priority="6" stopIfTrue="1" operator="greaterThan">
      <formula>0</formula>
    </cfRule>
  </conditionalFormatting>
  <conditionalFormatting sqref="AZ25:AZ185">
    <cfRule type="cellIs" dxfId="65" priority="3" stopIfTrue="1" operator="lessThan">
      <formula>0</formula>
    </cfRule>
    <cfRule type="cellIs" dxfId="64" priority="4" stopIfTrue="1" operator="greaterThan">
      <formula>0</formula>
    </cfRule>
  </conditionalFormatting>
  <conditionalFormatting sqref="BB25:BB185">
    <cfRule type="cellIs" dxfId="63" priority="1" stopIfTrue="1" operator="lessThan">
      <formula>0</formula>
    </cfRule>
    <cfRule type="cellIs" dxfId="62" priority="2" stopIfTrue="1" operator="greaterThan">
      <formula>0</formula>
    </cfRule>
  </conditionalFormatting>
  <pageMargins left="0.74803149606299213" right="0.74803149606299213" top="0.98425196850393704" bottom="0.98425196850393704" header="0" footer="0"/>
  <pageSetup paperSize="8" scale="60" orientation="portrait" r:id="rId1"/>
  <headerFooter alignWithMargins="0">
    <oddFooter>&amp;C&amp;1#&amp;"Calibri"&amp;8&amp;KED7D31Orange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0">
    <pageSetUpPr fitToPage="1"/>
  </sheetPr>
  <dimension ref="B1:AI64"/>
  <sheetViews>
    <sheetView showGridLines="0" topLeftCell="A36" zoomScale="70" zoomScaleNormal="70" workbookViewId="0">
      <selection activeCell="P62" sqref="P62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9.1796875" style="113" customWidth="1"/>
    <col min="9" max="9" width="2.453125" style="150" customWidth="1"/>
    <col min="10" max="10" width="9.54296875" style="113" customWidth="1"/>
    <col min="11" max="11" width="9.453125" style="113" customWidth="1"/>
    <col min="12" max="12" width="1.54296875" style="150" customWidth="1"/>
    <col min="13" max="13" width="8.81640625" style="113" bestFit="1" customWidth="1"/>
    <col min="14" max="14" width="8.453125" style="113" bestFit="1" customWidth="1"/>
    <col min="15" max="15" width="9.54296875" style="113" customWidth="1"/>
    <col min="16" max="16" width="9" style="113" customWidth="1"/>
    <col min="17" max="17" width="8.81640625" style="113" bestFit="1" customWidth="1"/>
    <col min="18" max="18" width="8.453125" style="113" bestFit="1" customWidth="1"/>
    <col min="19" max="19" width="8.81640625" style="113" bestFit="1" customWidth="1"/>
    <col min="20" max="20" width="8.453125" style="113" bestFit="1" customWidth="1"/>
    <col min="21" max="21" width="4.81640625" style="113" customWidth="1"/>
    <col min="22" max="22" width="9.54296875" style="113" customWidth="1"/>
    <col min="23" max="23" width="2.453125" style="150" customWidth="1"/>
    <col min="24" max="25" width="9.54296875" style="113" customWidth="1"/>
    <col min="26" max="26" width="1.54296875" style="150" customWidth="1"/>
    <col min="27" max="34" width="9.54296875" style="113" customWidth="1"/>
    <col min="35" max="229" width="11.453125" style="113"/>
    <col min="230" max="230" width="1.453125" style="113" customWidth="1"/>
    <col min="231" max="231" width="15.81640625" style="113" customWidth="1"/>
    <col min="232" max="232" width="49.81640625" style="113" bestFit="1" customWidth="1"/>
    <col min="233" max="233" width="8.81640625" style="113" bestFit="1" customWidth="1"/>
    <col min="234" max="234" width="8.81640625" style="113" customWidth="1"/>
    <col min="235" max="235" width="8.54296875" style="113" bestFit="1" customWidth="1"/>
    <col min="236" max="236" width="8.81640625" style="113" bestFit="1" customWidth="1"/>
    <col min="237" max="237" width="9.1796875" style="113" customWidth="1"/>
    <col min="238" max="238" width="2.453125" style="113" customWidth="1"/>
    <col min="239" max="239" width="9.54296875" style="113" customWidth="1"/>
    <col min="240" max="240" width="9.453125" style="113" customWidth="1"/>
    <col min="241" max="241" width="1.54296875" style="113" customWidth="1"/>
    <col min="242" max="242" width="8.81640625" style="113" bestFit="1" customWidth="1"/>
    <col min="243" max="243" width="8.453125" style="113" bestFit="1" customWidth="1"/>
    <col min="244" max="244" width="9.54296875" style="113" customWidth="1"/>
    <col min="245" max="245" width="9" style="113" customWidth="1"/>
    <col min="246" max="246" width="8.81640625" style="113" bestFit="1" customWidth="1"/>
    <col min="247" max="247" width="8.453125" style="113" bestFit="1" customWidth="1"/>
    <col min="248" max="248" width="8.81640625" style="113" bestFit="1" customWidth="1"/>
    <col min="249" max="249" width="8.453125" style="113" bestFit="1" customWidth="1"/>
    <col min="250" max="250" width="4.81640625" style="113" customWidth="1"/>
    <col min="251" max="251" width="9.54296875" style="113" customWidth="1"/>
    <col min="252" max="252" width="2.453125" style="113" customWidth="1"/>
    <col min="253" max="254" width="9.54296875" style="113" customWidth="1"/>
    <col min="255" max="255" width="1.54296875" style="113" customWidth="1"/>
    <col min="256" max="263" width="9.54296875" style="113" customWidth="1"/>
    <col min="264" max="265" width="11.453125" style="113"/>
    <col min="266" max="266" width="1.54296875" style="113" customWidth="1"/>
    <col min="267" max="268" width="11.453125" style="113"/>
    <col min="269" max="269" width="1.54296875" style="113" customWidth="1"/>
    <col min="270" max="485" width="11.453125" style="113"/>
    <col min="486" max="486" width="1.453125" style="113" customWidth="1"/>
    <col min="487" max="487" width="15.81640625" style="113" customWidth="1"/>
    <col min="488" max="488" width="49.81640625" style="113" bestFit="1" customWidth="1"/>
    <col min="489" max="489" width="8.81640625" style="113" bestFit="1" customWidth="1"/>
    <col min="490" max="490" width="8.81640625" style="113" customWidth="1"/>
    <col min="491" max="491" width="8.54296875" style="113" bestFit="1" customWidth="1"/>
    <col min="492" max="492" width="8.81640625" style="113" bestFit="1" customWidth="1"/>
    <col min="493" max="493" width="9.1796875" style="113" customWidth="1"/>
    <col min="494" max="494" width="2.453125" style="113" customWidth="1"/>
    <col min="495" max="495" width="9.54296875" style="113" customWidth="1"/>
    <col min="496" max="496" width="9.453125" style="113" customWidth="1"/>
    <col min="497" max="497" width="1.54296875" style="113" customWidth="1"/>
    <col min="498" max="498" width="8.81640625" style="113" bestFit="1" customWidth="1"/>
    <col min="499" max="499" width="8.453125" style="113" bestFit="1" customWidth="1"/>
    <col min="500" max="500" width="9.54296875" style="113" customWidth="1"/>
    <col min="501" max="501" width="9" style="113" customWidth="1"/>
    <col min="502" max="502" width="8.81640625" style="113" bestFit="1" customWidth="1"/>
    <col min="503" max="503" width="8.453125" style="113" bestFit="1" customWidth="1"/>
    <col min="504" max="504" width="8.81640625" style="113" bestFit="1" customWidth="1"/>
    <col min="505" max="505" width="8.453125" style="113" bestFit="1" customWidth="1"/>
    <col min="506" max="506" width="4.81640625" style="113" customWidth="1"/>
    <col min="507" max="507" width="9.54296875" style="113" customWidth="1"/>
    <col min="508" max="508" width="2.453125" style="113" customWidth="1"/>
    <col min="509" max="510" width="9.54296875" style="113" customWidth="1"/>
    <col min="511" max="511" width="1.54296875" style="113" customWidth="1"/>
    <col min="512" max="519" width="9.54296875" style="113" customWidth="1"/>
    <col min="520" max="521" width="11.453125" style="113"/>
    <col min="522" max="522" width="1.54296875" style="113" customWidth="1"/>
    <col min="523" max="524" width="11.453125" style="113"/>
    <col min="525" max="525" width="1.54296875" style="113" customWidth="1"/>
    <col min="526" max="741" width="11.453125" style="113"/>
    <col min="742" max="742" width="1.453125" style="113" customWidth="1"/>
    <col min="743" max="743" width="15.81640625" style="113" customWidth="1"/>
    <col min="744" max="744" width="49.81640625" style="113" bestFit="1" customWidth="1"/>
    <col min="745" max="745" width="8.81640625" style="113" bestFit="1" customWidth="1"/>
    <col min="746" max="746" width="8.81640625" style="113" customWidth="1"/>
    <col min="747" max="747" width="8.54296875" style="113" bestFit="1" customWidth="1"/>
    <col min="748" max="748" width="8.81640625" style="113" bestFit="1" customWidth="1"/>
    <col min="749" max="749" width="9.1796875" style="113" customWidth="1"/>
    <col min="750" max="750" width="2.453125" style="113" customWidth="1"/>
    <col min="751" max="751" width="9.54296875" style="113" customWidth="1"/>
    <col min="752" max="752" width="9.453125" style="113" customWidth="1"/>
    <col min="753" max="753" width="1.54296875" style="113" customWidth="1"/>
    <col min="754" max="754" width="8.81640625" style="113" bestFit="1" customWidth="1"/>
    <col min="755" max="755" width="8.453125" style="113" bestFit="1" customWidth="1"/>
    <col min="756" max="756" width="9.54296875" style="113" customWidth="1"/>
    <col min="757" max="757" width="9" style="113" customWidth="1"/>
    <col min="758" max="758" width="8.81640625" style="113" bestFit="1" customWidth="1"/>
    <col min="759" max="759" width="8.453125" style="113" bestFit="1" customWidth="1"/>
    <col min="760" max="760" width="8.81640625" style="113" bestFit="1" customWidth="1"/>
    <col min="761" max="761" width="8.453125" style="113" bestFit="1" customWidth="1"/>
    <col min="762" max="762" width="4.81640625" style="113" customWidth="1"/>
    <col min="763" max="763" width="9.54296875" style="113" customWidth="1"/>
    <col min="764" max="764" width="2.453125" style="113" customWidth="1"/>
    <col min="765" max="766" width="9.54296875" style="113" customWidth="1"/>
    <col min="767" max="767" width="1.54296875" style="113" customWidth="1"/>
    <col min="768" max="775" width="9.54296875" style="113" customWidth="1"/>
    <col min="776" max="777" width="11.453125" style="113"/>
    <col min="778" max="778" width="1.54296875" style="113" customWidth="1"/>
    <col min="779" max="780" width="11.453125" style="113"/>
    <col min="781" max="781" width="1.54296875" style="113" customWidth="1"/>
    <col min="782" max="997" width="11.453125" style="113"/>
    <col min="998" max="998" width="1.453125" style="113" customWidth="1"/>
    <col min="999" max="999" width="15.81640625" style="113" customWidth="1"/>
    <col min="1000" max="1000" width="49.81640625" style="113" bestFit="1" customWidth="1"/>
    <col min="1001" max="1001" width="8.81640625" style="113" bestFit="1" customWidth="1"/>
    <col min="1002" max="1002" width="8.81640625" style="113" customWidth="1"/>
    <col min="1003" max="1003" width="8.54296875" style="113" bestFit="1" customWidth="1"/>
    <col min="1004" max="1004" width="8.81640625" style="113" bestFit="1" customWidth="1"/>
    <col min="1005" max="1005" width="9.1796875" style="113" customWidth="1"/>
    <col min="1006" max="1006" width="2.453125" style="113" customWidth="1"/>
    <col min="1007" max="1007" width="9.54296875" style="113" customWidth="1"/>
    <col min="1008" max="1008" width="9.453125" style="113" customWidth="1"/>
    <col min="1009" max="1009" width="1.54296875" style="113" customWidth="1"/>
    <col min="1010" max="1010" width="8.81640625" style="113" bestFit="1" customWidth="1"/>
    <col min="1011" max="1011" width="8.453125" style="113" bestFit="1" customWidth="1"/>
    <col min="1012" max="1012" width="9.54296875" style="113" customWidth="1"/>
    <col min="1013" max="1013" width="9" style="113" customWidth="1"/>
    <col min="1014" max="1014" width="8.81640625" style="113" bestFit="1" customWidth="1"/>
    <col min="1015" max="1015" width="8.453125" style="113" bestFit="1" customWidth="1"/>
    <col min="1016" max="1016" width="8.81640625" style="113" bestFit="1" customWidth="1"/>
    <col min="1017" max="1017" width="8.453125" style="113" bestFit="1" customWidth="1"/>
    <col min="1018" max="1018" width="4.81640625" style="113" customWidth="1"/>
    <col min="1019" max="1019" width="9.54296875" style="113" customWidth="1"/>
    <col min="1020" max="1020" width="2.453125" style="113" customWidth="1"/>
    <col min="1021" max="1022" width="9.54296875" style="113" customWidth="1"/>
    <col min="1023" max="1023" width="1.54296875" style="113" customWidth="1"/>
    <col min="1024" max="1031" width="9.54296875" style="113" customWidth="1"/>
    <col min="1032" max="1033" width="11.453125" style="113"/>
    <col min="1034" max="1034" width="1.54296875" style="113" customWidth="1"/>
    <col min="1035" max="1036" width="11.453125" style="113"/>
    <col min="1037" max="1037" width="1.54296875" style="113" customWidth="1"/>
    <col min="1038" max="1253" width="11.453125" style="113"/>
    <col min="1254" max="1254" width="1.453125" style="113" customWidth="1"/>
    <col min="1255" max="1255" width="15.81640625" style="113" customWidth="1"/>
    <col min="1256" max="1256" width="49.81640625" style="113" bestFit="1" customWidth="1"/>
    <col min="1257" max="1257" width="8.81640625" style="113" bestFit="1" customWidth="1"/>
    <col min="1258" max="1258" width="8.81640625" style="113" customWidth="1"/>
    <col min="1259" max="1259" width="8.54296875" style="113" bestFit="1" customWidth="1"/>
    <col min="1260" max="1260" width="8.81640625" style="113" bestFit="1" customWidth="1"/>
    <col min="1261" max="1261" width="9.1796875" style="113" customWidth="1"/>
    <col min="1262" max="1262" width="2.453125" style="113" customWidth="1"/>
    <col min="1263" max="1263" width="9.54296875" style="113" customWidth="1"/>
    <col min="1264" max="1264" width="9.453125" style="113" customWidth="1"/>
    <col min="1265" max="1265" width="1.54296875" style="113" customWidth="1"/>
    <col min="1266" max="1266" width="8.81640625" style="113" bestFit="1" customWidth="1"/>
    <col min="1267" max="1267" width="8.453125" style="113" bestFit="1" customWidth="1"/>
    <col min="1268" max="1268" width="9.54296875" style="113" customWidth="1"/>
    <col min="1269" max="1269" width="9" style="113" customWidth="1"/>
    <col min="1270" max="1270" width="8.81640625" style="113" bestFit="1" customWidth="1"/>
    <col min="1271" max="1271" width="8.453125" style="113" bestFit="1" customWidth="1"/>
    <col min="1272" max="1272" width="8.81640625" style="113" bestFit="1" customWidth="1"/>
    <col min="1273" max="1273" width="8.453125" style="113" bestFit="1" customWidth="1"/>
    <col min="1274" max="1274" width="4.81640625" style="113" customWidth="1"/>
    <col min="1275" max="1275" width="9.54296875" style="113" customWidth="1"/>
    <col min="1276" max="1276" width="2.453125" style="113" customWidth="1"/>
    <col min="1277" max="1278" width="9.54296875" style="113" customWidth="1"/>
    <col min="1279" max="1279" width="1.54296875" style="113" customWidth="1"/>
    <col min="1280" max="1287" width="9.54296875" style="113" customWidth="1"/>
    <col min="1288" max="1289" width="11.453125" style="113"/>
    <col min="1290" max="1290" width="1.54296875" style="113" customWidth="1"/>
    <col min="1291" max="1292" width="11.453125" style="113"/>
    <col min="1293" max="1293" width="1.54296875" style="113" customWidth="1"/>
    <col min="1294" max="1509" width="11.453125" style="113"/>
    <col min="1510" max="1510" width="1.453125" style="113" customWidth="1"/>
    <col min="1511" max="1511" width="15.81640625" style="113" customWidth="1"/>
    <col min="1512" max="1512" width="49.81640625" style="113" bestFit="1" customWidth="1"/>
    <col min="1513" max="1513" width="8.81640625" style="113" bestFit="1" customWidth="1"/>
    <col min="1514" max="1514" width="8.81640625" style="113" customWidth="1"/>
    <col min="1515" max="1515" width="8.54296875" style="113" bestFit="1" customWidth="1"/>
    <col min="1516" max="1516" width="8.81640625" style="113" bestFit="1" customWidth="1"/>
    <col min="1517" max="1517" width="9.1796875" style="113" customWidth="1"/>
    <col min="1518" max="1518" width="2.453125" style="113" customWidth="1"/>
    <col min="1519" max="1519" width="9.54296875" style="113" customWidth="1"/>
    <col min="1520" max="1520" width="9.453125" style="113" customWidth="1"/>
    <col min="1521" max="1521" width="1.54296875" style="113" customWidth="1"/>
    <col min="1522" max="1522" width="8.81640625" style="113" bestFit="1" customWidth="1"/>
    <col min="1523" max="1523" width="8.453125" style="113" bestFit="1" customWidth="1"/>
    <col min="1524" max="1524" width="9.54296875" style="113" customWidth="1"/>
    <col min="1525" max="1525" width="9" style="113" customWidth="1"/>
    <col min="1526" max="1526" width="8.81640625" style="113" bestFit="1" customWidth="1"/>
    <col min="1527" max="1527" width="8.453125" style="113" bestFit="1" customWidth="1"/>
    <col min="1528" max="1528" width="8.81640625" style="113" bestFit="1" customWidth="1"/>
    <col min="1529" max="1529" width="8.453125" style="113" bestFit="1" customWidth="1"/>
    <col min="1530" max="1530" width="4.81640625" style="113" customWidth="1"/>
    <col min="1531" max="1531" width="9.54296875" style="113" customWidth="1"/>
    <col min="1532" max="1532" width="2.453125" style="113" customWidth="1"/>
    <col min="1533" max="1534" width="9.54296875" style="113" customWidth="1"/>
    <col min="1535" max="1535" width="1.54296875" style="113" customWidth="1"/>
    <col min="1536" max="1543" width="9.54296875" style="113" customWidth="1"/>
    <col min="1544" max="1545" width="11.453125" style="113"/>
    <col min="1546" max="1546" width="1.54296875" style="113" customWidth="1"/>
    <col min="1547" max="1548" width="11.453125" style="113"/>
    <col min="1549" max="1549" width="1.54296875" style="113" customWidth="1"/>
    <col min="1550" max="1765" width="11.453125" style="113"/>
    <col min="1766" max="1766" width="1.453125" style="113" customWidth="1"/>
    <col min="1767" max="1767" width="15.81640625" style="113" customWidth="1"/>
    <col min="1768" max="1768" width="49.81640625" style="113" bestFit="1" customWidth="1"/>
    <col min="1769" max="1769" width="8.81640625" style="113" bestFit="1" customWidth="1"/>
    <col min="1770" max="1770" width="8.81640625" style="113" customWidth="1"/>
    <col min="1771" max="1771" width="8.54296875" style="113" bestFit="1" customWidth="1"/>
    <col min="1772" max="1772" width="8.81640625" style="113" bestFit="1" customWidth="1"/>
    <col min="1773" max="1773" width="9.1796875" style="113" customWidth="1"/>
    <col min="1774" max="1774" width="2.453125" style="113" customWidth="1"/>
    <col min="1775" max="1775" width="9.54296875" style="113" customWidth="1"/>
    <col min="1776" max="1776" width="9.453125" style="113" customWidth="1"/>
    <col min="1777" max="1777" width="1.54296875" style="113" customWidth="1"/>
    <col min="1778" max="1778" width="8.81640625" style="113" bestFit="1" customWidth="1"/>
    <col min="1779" max="1779" width="8.453125" style="113" bestFit="1" customWidth="1"/>
    <col min="1780" max="1780" width="9.54296875" style="113" customWidth="1"/>
    <col min="1781" max="1781" width="9" style="113" customWidth="1"/>
    <col min="1782" max="1782" width="8.81640625" style="113" bestFit="1" customWidth="1"/>
    <col min="1783" max="1783" width="8.453125" style="113" bestFit="1" customWidth="1"/>
    <col min="1784" max="1784" width="8.81640625" style="113" bestFit="1" customWidth="1"/>
    <col min="1785" max="1785" width="8.453125" style="113" bestFit="1" customWidth="1"/>
    <col min="1786" max="1786" width="4.81640625" style="113" customWidth="1"/>
    <col min="1787" max="1787" width="9.54296875" style="113" customWidth="1"/>
    <col min="1788" max="1788" width="2.453125" style="113" customWidth="1"/>
    <col min="1789" max="1790" width="9.54296875" style="113" customWidth="1"/>
    <col min="1791" max="1791" width="1.54296875" style="113" customWidth="1"/>
    <col min="1792" max="1799" width="9.54296875" style="113" customWidth="1"/>
    <col min="1800" max="1801" width="11.453125" style="113"/>
    <col min="1802" max="1802" width="1.54296875" style="113" customWidth="1"/>
    <col min="1803" max="1804" width="11.453125" style="113"/>
    <col min="1805" max="1805" width="1.54296875" style="113" customWidth="1"/>
    <col min="1806" max="2021" width="11.453125" style="113"/>
    <col min="2022" max="2022" width="1.453125" style="113" customWidth="1"/>
    <col min="2023" max="2023" width="15.81640625" style="113" customWidth="1"/>
    <col min="2024" max="2024" width="49.81640625" style="113" bestFit="1" customWidth="1"/>
    <col min="2025" max="2025" width="8.81640625" style="113" bestFit="1" customWidth="1"/>
    <col min="2026" max="2026" width="8.81640625" style="113" customWidth="1"/>
    <col min="2027" max="2027" width="8.54296875" style="113" bestFit="1" customWidth="1"/>
    <col min="2028" max="2028" width="8.81640625" style="113" bestFit="1" customWidth="1"/>
    <col min="2029" max="2029" width="9.1796875" style="113" customWidth="1"/>
    <col min="2030" max="2030" width="2.453125" style="113" customWidth="1"/>
    <col min="2031" max="2031" width="9.54296875" style="113" customWidth="1"/>
    <col min="2032" max="2032" width="9.453125" style="113" customWidth="1"/>
    <col min="2033" max="2033" width="1.54296875" style="113" customWidth="1"/>
    <col min="2034" max="2034" width="8.81640625" style="113" bestFit="1" customWidth="1"/>
    <col min="2035" max="2035" width="8.453125" style="113" bestFit="1" customWidth="1"/>
    <col min="2036" max="2036" width="9.54296875" style="113" customWidth="1"/>
    <col min="2037" max="2037" width="9" style="113" customWidth="1"/>
    <col min="2038" max="2038" width="8.81640625" style="113" bestFit="1" customWidth="1"/>
    <col min="2039" max="2039" width="8.453125" style="113" bestFit="1" customWidth="1"/>
    <col min="2040" max="2040" width="8.81640625" style="113" bestFit="1" customWidth="1"/>
    <col min="2041" max="2041" width="8.453125" style="113" bestFit="1" customWidth="1"/>
    <col min="2042" max="2042" width="4.81640625" style="113" customWidth="1"/>
    <col min="2043" max="2043" width="9.54296875" style="113" customWidth="1"/>
    <col min="2044" max="2044" width="2.453125" style="113" customWidth="1"/>
    <col min="2045" max="2046" width="9.54296875" style="113" customWidth="1"/>
    <col min="2047" max="2047" width="1.54296875" style="113" customWidth="1"/>
    <col min="2048" max="2055" width="9.54296875" style="113" customWidth="1"/>
    <col min="2056" max="2057" width="11.453125" style="113"/>
    <col min="2058" max="2058" width="1.54296875" style="113" customWidth="1"/>
    <col min="2059" max="2060" width="11.453125" style="113"/>
    <col min="2061" max="2061" width="1.54296875" style="113" customWidth="1"/>
    <col min="2062" max="2277" width="11.453125" style="113"/>
    <col min="2278" max="2278" width="1.453125" style="113" customWidth="1"/>
    <col min="2279" max="2279" width="15.81640625" style="113" customWidth="1"/>
    <col min="2280" max="2280" width="49.81640625" style="113" bestFit="1" customWidth="1"/>
    <col min="2281" max="2281" width="8.81640625" style="113" bestFit="1" customWidth="1"/>
    <col min="2282" max="2282" width="8.81640625" style="113" customWidth="1"/>
    <col min="2283" max="2283" width="8.54296875" style="113" bestFit="1" customWidth="1"/>
    <col min="2284" max="2284" width="8.81640625" style="113" bestFit="1" customWidth="1"/>
    <col min="2285" max="2285" width="9.1796875" style="113" customWidth="1"/>
    <col min="2286" max="2286" width="2.453125" style="113" customWidth="1"/>
    <col min="2287" max="2287" width="9.54296875" style="113" customWidth="1"/>
    <col min="2288" max="2288" width="9.453125" style="113" customWidth="1"/>
    <col min="2289" max="2289" width="1.54296875" style="113" customWidth="1"/>
    <col min="2290" max="2290" width="8.81640625" style="113" bestFit="1" customWidth="1"/>
    <col min="2291" max="2291" width="8.453125" style="113" bestFit="1" customWidth="1"/>
    <col min="2292" max="2292" width="9.54296875" style="113" customWidth="1"/>
    <col min="2293" max="2293" width="9" style="113" customWidth="1"/>
    <col min="2294" max="2294" width="8.81640625" style="113" bestFit="1" customWidth="1"/>
    <col min="2295" max="2295" width="8.453125" style="113" bestFit="1" customWidth="1"/>
    <col min="2296" max="2296" width="8.81640625" style="113" bestFit="1" customWidth="1"/>
    <col min="2297" max="2297" width="8.453125" style="113" bestFit="1" customWidth="1"/>
    <col min="2298" max="2298" width="4.81640625" style="113" customWidth="1"/>
    <col min="2299" max="2299" width="9.54296875" style="113" customWidth="1"/>
    <col min="2300" max="2300" width="2.453125" style="113" customWidth="1"/>
    <col min="2301" max="2302" width="9.54296875" style="113" customWidth="1"/>
    <col min="2303" max="2303" width="1.54296875" style="113" customWidth="1"/>
    <col min="2304" max="2311" width="9.54296875" style="113" customWidth="1"/>
    <col min="2312" max="2313" width="11.453125" style="113"/>
    <col min="2314" max="2314" width="1.54296875" style="113" customWidth="1"/>
    <col min="2315" max="2316" width="11.453125" style="113"/>
    <col min="2317" max="2317" width="1.54296875" style="113" customWidth="1"/>
    <col min="2318" max="2533" width="11.453125" style="113"/>
    <col min="2534" max="2534" width="1.453125" style="113" customWidth="1"/>
    <col min="2535" max="2535" width="15.81640625" style="113" customWidth="1"/>
    <col min="2536" max="2536" width="49.81640625" style="113" bestFit="1" customWidth="1"/>
    <col min="2537" max="2537" width="8.81640625" style="113" bestFit="1" customWidth="1"/>
    <col min="2538" max="2538" width="8.81640625" style="113" customWidth="1"/>
    <col min="2539" max="2539" width="8.54296875" style="113" bestFit="1" customWidth="1"/>
    <col min="2540" max="2540" width="8.81640625" style="113" bestFit="1" customWidth="1"/>
    <col min="2541" max="2541" width="9.1796875" style="113" customWidth="1"/>
    <col min="2542" max="2542" width="2.453125" style="113" customWidth="1"/>
    <col min="2543" max="2543" width="9.54296875" style="113" customWidth="1"/>
    <col min="2544" max="2544" width="9.453125" style="113" customWidth="1"/>
    <col min="2545" max="2545" width="1.54296875" style="113" customWidth="1"/>
    <col min="2546" max="2546" width="8.81640625" style="113" bestFit="1" customWidth="1"/>
    <col min="2547" max="2547" width="8.453125" style="113" bestFit="1" customWidth="1"/>
    <col min="2548" max="2548" width="9.54296875" style="113" customWidth="1"/>
    <col min="2549" max="2549" width="9" style="113" customWidth="1"/>
    <col min="2550" max="2550" width="8.81640625" style="113" bestFit="1" customWidth="1"/>
    <col min="2551" max="2551" width="8.453125" style="113" bestFit="1" customWidth="1"/>
    <col min="2552" max="2552" width="8.81640625" style="113" bestFit="1" customWidth="1"/>
    <col min="2553" max="2553" width="8.453125" style="113" bestFit="1" customWidth="1"/>
    <col min="2554" max="2554" width="4.81640625" style="113" customWidth="1"/>
    <col min="2555" max="2555" width="9.54296875" style="113" customWidth="1"/>
    <col min="2556" max="2556" width="2.453125" style="113" customWidth="1"/>
    <col min="2557" max="2558" width="9.54296875" style="113" customWidth="1"/>
    <col min="2559" max="2559" width="1.54296875" style="113" customWidth="1"/>
    <col min="2560" max="2567" width="9.54296875" style="113" customWidth="1"/>
    <col min="2568" max="2569" width="11.453125" style="113"/>
    <col min="2570" max="2570" width="1.54296875" style="113" customWidth="1"/>
    <col min="2571" max="2572" width="11.453125" style="113"/>
    <col min="2573" max="2573" width="1.54296875" style="113" customWidth="1"/>
    <col min="2574" max="2789" width="11.453125" style="113"/>
    <col min="2790" max="2790" width="1.453125" style="113" customWidth="1"/>
    <col min="2791" max="2791" width="15.81640625" style="113" customWidth="1"/>
    <col min="2792" max="2792" width="49.81640625" style="113" bestFit="1" customWidth="1"/>
    <col min="2793" max="2793" width="8.81640625" style="113" bestFit="1" customWidth="1"/>
    <col min="2794" max="2794" width="8.81640625" style="113" customWidth="1"/>
    <col min="2795" max="2795" width="8.54296875" style="113" bestFit="1" customWidth="1"/>
    <col min="2796" max="2796" width="8.81640625" style="113" bestFit="1" customWidth="1"/>
    <col min="2797" max="2797" width="9.1796875" style="113" customWidth="1"/>
    <col min="2798" max="2798" width="2.453125" style="113" customWidth="1"/>
    <col min="2799" max="2799" width="9.54296875" style="113" customWidth="1"/>
    <col min="2800" max="2800" width="9.453125" style="113" customWidth="1"/>
    <col min="2801" max="2801" width="1.54296875" style="113" customWidth="1"/>
    <col min="2802" max="2802" width="8.81640625" style="113" bestFit="1" customWidth="1"/>
    <col min="2803" max="2803" width="8.453125" style="113" bestFit="1" customWidth="1"/>
    <col min="2804" max="2804" width="9.54296875" style="113" customWidth="1"/>
    <col min="2805" max="2805" width="9" style="113" customWidth="1"/>
    <col min="2806" max="2806" width="8.81640625" style="113" bestFit="1" customWidth="1"/>
    <col min="2807" max="2807" width="8.453125" style="113" bestFit="1" customWidth="1"/>
    <col min="2808" max="2808" width="8.81640625" style="113" bestFit="1" customWidth="1"/>
    <col min="2809" max="2809" width="8.453125" style="113" bestFit="1" customWidth="1"/>
    <col min="2810" max="2810" width="4.81640625" style="113" customWidth="1"/>
    <col min="2811" max="2811" width="9.54296875" style="113" customWidth="1"/>
    <col min="2812" max="2812" width="2.453125" style="113" customWidth="1"/>
    <col min="2813" max="2814" width="9.54296875" style="113" customWidth="1"/>
    <col min="2815" max="2815" width="1.54296875" style="113" customWidth="1"/>
    <col min="2816" max="2823" width="9.54296875" style="113" customWidth="1"/>
    <col min="2824" max="2825" width="11.453125" style="113"/>
    <col min="2826" max="2826" width="1.54296875" style="113" customWidth="1"/>
    <col min="2827" max="2828" width="11.453125" style="113"/>
    <col min="2829" max="2829" width="1.54296875" style="113" customWidth="1"/>
    <col min="2830" max="3045" width="11.453125" style="113"/>
    <col min="3046" max="3046" width="1.453125" style="113" customWidth="1"/>
    <col min="3047" max="3047" width="15.81640625" style="113" customWidth="1"/>
    <col min="3048" max="3048" width="49.81640625" style="113" bestFit="1" customWidth="1"/>
    <col min="3049" max="3049" width="8.81640625" style="113" bestFit="1" customWidth="1"/>
    <col min="3050" max="3050" width="8.81640625" style="113" customWidth="1"/>
    <col min="3051" max="3051" width="8.54296875" style="113" bestFit="1" customWidth="1"/>
    <col min="3052" max="3052" width="8.81640625" style="113" bestFit="1" customWidth="1"/>
    <col min="3053" max="3053" width="9.1796875" style="113" customWidth="1"/>
    <col min="3054" max="3054" width="2.453125" style="113" customWidth="1"/>
    <col min="3055" max="3055" width="9.54296875" style="113" customWidth="1"/>
    <col min="3056" max="3056" width="9.453125" style="113" customWidth="1"/>
    <col min="3057" max="3057" width="1.54296875" style="113" customWidth="1"/>
    <col min="3058" max="3058" width="8.81640625" style="113" bestFit="1" customWidth="1"/>
    <col min="3059" max="3059" width="8.453125" style="113" bestFit="1" customWidth="1"/>
    <col min="3060" max="3060" width="9.54296875" style="113" customWidth="1"/>
    <col min="3061" max="3061" width="9" style="113" customWidth="1"/>
    <col min="3062" max="3062" width="8.81640625" style="113" bestFit="1" customWidth="1"/>
    <col min="3063" max="3063" width="8.453125" style="113" bestFit="1" customWidth="1"/>
    <col min="3064" max="3064" width="8.81640625" style="113" bestFit="1" customWidth="1"/>
    <col min="3065" max="3065" width="8.453125" style="113" bestFit="1" customWidth="1"/>
    <col min="3066" max="3066" width="4.81640625" style="113" customWidth="1"/>
    <col min="3067" max="3067" width="9.54296875" style="113" customWidth="1"/>
    <col min="3068" max="3068" width="2.453125" style="113" customWidth="1"/>
    <col min="3069" max="3070" width="9.54296875" style="113" customWidth="1"/>
    <col min="3071" max="3071" width="1.54296875" style="113" customWidth="1"/>
    <col min="3072" max="3079" width="9.54296875" style="113" customWidth="1"/>
    <col min="3080" max="3081" width="11.453125" style="113"/>
    <col min="3082" max="3082" width="1.54296875" style="113" customWidth="1"/>
    <col min="3083" max="3084" width="11.453125" style="113"/>
    <col min="3085" max="3085" width="1.54296875" style="113" customWidth="1"/>
    <col min="3086" max="3301" width="11.453125" style="113"/>
    <col min="3302" max="3302" width="1.453125" style="113" customWidth="1"/>
    <col min="3303" max="3303" width="15.81640625" style="113" customWidth="1"/>
    <col min="3304" max="3304" width="49.81640625" style="113" bestFit="1" customWidth="1"/>
    <col min="3305" max="3305" width="8.81640625" style="113" bestFit="1" customWidth="1"/>
    <col min="3306" max="3306" width="8.81640625" style="113" customWidth="1"/>
    <col min="3307" max="3307" width="8.54296875" style="113" bestFit="1" customWidth="1"/>
    <col min="3308" max="3308" width="8.81640625" style="113" bestFit="1" customWidth="1"/>
    <col min="3309" max="3309" width="9.1796875" style="113" customWidth="1"/>
    <col min="3310" max="3310" width="2.453125" style="113" customWidth="1"/>
    <col min="3311" max="3311" width="9.54296875" style="113" customWidth="1"/>
    <col min="3312" max="3312" width="9.453125" style="113" customWidth="1"/>
    <col min="3313" max="3313" width="1.54296875" style="113" customWidth="1"/>
    <col min="3314" max="3314" width="8.81640625" style="113" bestFit="1" customWidth="1"/>
    <col min="3315" max="3315" width="8.453125" style="113" bestFit="1" customWidth="1"/>
    <col min="3316" max="3316" width="9.54296875" style="113" customWidth="1"/>
    <col min="3317" max="3317" width="9" style="113" customWidth="1"/>
    <col min="3318" max="3318" width="8.81640625" style="113" bestFit="1" customWidth="1"/>
    <col min="3319" max="3319" width="8.453125" style="113" bestFit="1" customWidth="1"/>
    <col min="3320" max="3320" width="8.81640625" style="113" bestFit="1" customWidth="1"/>
    <col min="3321" max="3321" width="8.453125" style="113" bestFit="1" customWidth="1"/>
    <col min="3322" max="3322" width="4.81640625" style="113" customWidth="1"/>
    <col min="3323" max="3323" width="9.54296875" style="113" customWidth="1"/>
    <col min="3324" max="3324" width="2.453125" style="113" customWidth="1"/>
    <col min="3325" max="3326" width="9.54296875" style="113" customWidth="1"/>
    <col min="3327" max="3327" width="1.54296875" style="113" customWidth="1"/>
    <col min="3328" max="3335" width="9.54296875" style="113" customWidth="1"/>
    <col min="3336" max="3337" width="11.453125" style="113"/>
    <col min="3338" max="3338" width="1.54296875" style="113" customWidth="1"/>
    <col min="3339" max="3340" width="11.453125" style="113"/>
    <col min="3341" max="3341" width="1.54296875" style="113" customWidth="1"/>
    <col min="3342" max="3557" width="11.453125" style="113"/>
    <col min="3558" max="3558" width="1.453125" style="113" customWidth="1"/>
    <col min="3559" max="3559" width="15.81640625" style="113" customWidth="1"/>
    <col min="3560" max="3560" width="49.81640625" style="113" bestFit="1" customWidth="1"/>
    <col min="3561" max="3561" width="8.81640625" style="113" bestFit="1" customWidth="1"/>
    <col min="3562" max="3562" width="8.81640625" style="113" customWidth="1"/>
    <col min="3563" max="3563" width="8.54296875" style="113" bestFit="1" customWidth="1"/>
    <col min="3564" max="3564" width="8.81640625" style="113" bestFit="1" customWidth="1"/>
    <col min="3565" max="3565" width="9.1796875" style="113" customWidth="1"/>
    <col min="3566" max="3566" width="2.453125" style="113" customWidth="1"/>
    <col min="3567" max="3567" width="9.54296875" style="113" customWidth="1"/>
    <col min="3568" max="3568" width="9.453125" style="113" customWidth="1"/>
    <col min="3569" max="3569" width="1.54296875" style="113" customWidth="1"/>
    <col min="3570" max="3570" width="8.81640625" style="113" bestFit="1" customWidth="1"/>
    <col min="3571" max="3571" width="8.453125" style="113" bestFit="1" customWidth="1"/>
    <col min="3572" max="3572" width="9.54296875" style="113" customWidth="1"/>
    <col min="3573" max="3573" width="9" style="113" customWidth="1"/>
    <col min="3574" max="3574" width="8.81640625" style="113" bestFit="1" customWidth="1"/>
    <col min="3575" max="3575" width="8.453125" style="113" bestFit="1" customWidth="1"/>
    <col min="3576" max="3576" width="8.81640625" style="113" bestFit="1" customWidth="1"/>
    <col min="3577" max="3577" width="8.453125" style="113" bestFit="1" customWidth="1"/>
    <col min="3578" max="3578" width="4.81640625" style="113" customWidth="1"/>
    <col min="3579" max="3579" width="9.54296875" style="113" customWidth="1"/>
    <col min="3580" max="3580" width="2.453125" style="113" customWidth="1"/>
    <col min="3581" max="3582" width="9.54296875" style="113" customWidth="1"/>
    <col min="3583" max="3583" width="1.54296875" style="113" customWidth="1"/>
    <col min="3584" max="3591" width="9.54296875" style="113" customWidth="1"/>
    <col min="3592" max="3593" width="11.453125" style="113"/>
    <col min="3594" max="3594" width="1.54296875" style="113" customWidth="1"/>
    <col min="3595" max="3596" width="11.453125" style="113"/>
    <col min="3597" max="3597" width="1.54296875" style="113" customWidth="1"/>
    <col min="3598" max="3813" width="11.453125" style="113"/>
    <col min="3814" max="3814" width="1.453125" style="113" customWidth="1"/>
    <col min="3815" max="3815" width="15.81640625" style="113" customWidth="1"/>
    <col min="3816" max="3816" width="49.81640625" style="113" bestFit="1" customWidth="1"/>
    <col min="3817" max="3817" width="8.81640625" style="113" bestFit="1" customWidth="1"/>
    <col min="3818" max="3818" width="8.81640625" style="113" customWidth="1"/>
    <col min="3819" max="3819" width="8.54296875" style="113" bestFit="1" customWidth="1"/>
    <col min="3820" max="3820" width="8.81640625" style="113" bestFit="1" customWidth="1"/>
    <col min="3821" max="3821" width="9.1796875" style="113" customWidth="1"/>
    <col min="3822" max="3822" width="2.453125" style="113" customWidth="1"/>
    <col min="3823" max="3823" width="9.54296875" style="113" customWidth="1"/>
    <col min="3824" max="3824" width="9.453125" style="113" customWidth="1"/>
    <col min="3825" max="3825" width="1.54296875" style="113" customWidth="1"/>
    <col min="3826" max="3826" width="8.81640625" style="113" bestFit="1" customWidth="1"/>
    <col min="3827" max="3827" width="8.453125" style="113" bestFit="1" customWidth="1"/>
    <col min="3828" max="3828" width="9.54296875" style="113" customWidth="1"/>
    <col min="3829" max="3829" width="9" style="113" customWidth="1"/>
    <col min="3830" max="3830" width="8.81640625" style="113" bestFit="1" customWidth="1"/>
    <col min="3831" max="3831" width="8.453125" style="113" bestFit="1" customWidth="1"/>
    <col min="3832" max="3832" width="8.81640625" style="113" bestFit="1" customWidth="1"/>
    <col min="3833" max="3833" width="8.453125" style="113" bestFit="1" customWidth="1"/>
    <col min="3834" max="3834" width="4.81640625" style="113" customWidth="1"/>
    <col min="3835" max="3835" width="9.54296875" style="113" customWidth="1"/>
    <col min="3836" max="3836" width="2.453125" style="113" customWidth="1"/>
    <col min="3837" max="3838" width="9.54296875" style="113" customWidth="1"/>
    <col min="3839" max="3839" width="1.54296875" style="113" customWidth="1"/>
    <col min="3840" max="3847" width="9.54296875" style="113" customWidth="1"/>
    <col min="3848" max="3849" width="11.453125" style="113"/>
    <col min="3850" max="3850" width="1.54296875" style="113" customWidth="1"/>
    <col min="3851" max="3852" width="11.453125" style="113"/>
    <col min="3853" max="3853" width="1.54296875" style="113" customWidth="1"/>
    <col min="3854" max="4069" width="11.453125" style="113"/>
    <col min="4070" max="4070" width="1.453125" style="113" customWidth="1"/>
    <col min="4071" max="4071" width="15.81640625" style="113" customWidth="1"/>
    <col min="4072" max="4072" width="49.81640625" style="113" bestFit="1" customWidth="1"/>
    <col min="4073" max="4073" width="8.81640625" style="113" bestFit="1" customWidth="1"/>
    <col min="4074" max="4074" width="8.81640625" style="113" customWidth="1"/>
    <col min="4075" max="4075" width="8.54296875" style="113" bestFit="1" customWidth="1"/>
    <col min="4076" max="4076" width="8.81640625" style="113" bestFit="1" customWidth="1"/>
    <col min="4077" max="4077" width="9.1796875" style="113" customWidth="1"/>
    <col min="4078" max="4078" width="2.453125" style="113" customWidth="1"/>
    <col min="4079" max="4079" width="9.54296875" style="113" customWidth="1"/>
    <col min="4080" max="4080" width="9.453125" style="113" customWidth="1"/>
    <col min="4081" max="4081" width="1.54296875" style="113" customWidth="1"/>
    <col min="4082" max="4082" width="8.81640625" style="113" bestFit="1" customWidth="1"/>
    <col min="4083" max="4083" width="8.453125" style="113" bestFit="1" customWidth="1"/>
    <col min="4084" max="4084" width="9.54296875" style="113" customWidth="1"/>
    <col min="4085" max="4085" width="9" style="113" customWidth="1"/>
    <col min="4086" max="4086" width="8.81640625" style="113" bestFit="1" customWidth="1"/>
    <col min="4087" max="4087" width="8.453125" style="113" bestFit="1" customWidth="1"/>
    <col min="4088" max="4088" width="8.81640625" style="113" bestFit="1" customWidth="1"/>
    <col min="4089" max="4089" width="8.453125" style="113" bestFit="1" customWidth="1"/>
    <col min="4090" max="4090" width="4.81640625" style="113" customWidth="1"/>
    <col min="4091" max="4091" width="9.54296875" style="113" customWidth="1"/>
    <col min="4092" max="4092" width="2.453125" style="113" customWidth="1"/>
    <col min="4093" max="4094" width="9.54296875" style="113" customWidth="1"/>
    <col min="4095" max="4095" width="1.54296875" style="113" customWidth="1"/>
    <col min="4096" max="4103" width="9.54296875" style="113" customWidth="1"/>
    <col min="4104" max="4105" width="11.453125" style="113"/>
    <col min="4106" max="4106" width="1.54296875" style="113" customWidth="1"/>
    <col min="4107" max="4108" width="11.453125" style="113"/>
    <col min="4109" max="4109" width="1.54296875" style="113" customWidth="1"/>
    <col min="4110" max="4325" width="11.453125" style="113"/>
    <col min="4326" max="4326" width="1.453125" style="113" customWidth="1"/>
    <col min="4327" max="4327" width="15.81640625" style="113" customWidth="1"/>
    <col min="4328" max="4328" width="49.81640625" style="113" bestFit="1" customWidth="1"/>
    <col min="4329" max="4329" width="8.81640625" style="113" bestFit="1" customWidth="1"/>
    <col min="4330" max="4330" width="8.81640625" style="113" customWidth="1"/>
    <col min="4331" max="4331" width="8.54296875" style="113" bestFit="1" customWidth="1"/>
    <col min="4332" max="4332" width="8.81640625" style="113" bestFit="1" customWidth="1"/>
    <col min="4333" max="4333" width="9.1796875" style="113" customWidth="1"/>
    <col min="4334" max="4334" width="2.453125" style="113" customWidth="1"/>
    <col min="4335" max="4335" width="9.54296875" style="113" customWidth="1"/>
    <col min="4336" max="4336" width="9.453125" style="113" customWidth="1"/>
    <col min="4337" max="4337" width="1.54296875" style="113" customWidth="1"/>
    <col min="4338" max="4338" width="8.81640625" style="113" bestFit="1" customWidth="1"/>
    <col min="4339" max="4339" width="8.453125" style="113" bestFit="1" customWidth="1"/>
    <col min="4340" max="4340" width="9.54296875" style="113" customWidth="1"/>
    <col min="4341" max="4341" width="9" style="113" customWidth="1"/>
    <col min="4342" max="4342" width="8.81640625" style="113" bestFit="1" customWidth="1"/>
    <col min="4343" max="4343" width="8.453125" style="113" bestFit="1" customWidth="1"/>
    <col min="4344" max="4344" width="8.81640625" style="113" bestFit="1" customWidth="1"/>
    <col min="4345" max="4345" width="8.453125" style="113" bestFit="1" customWidth="1"/>
    <col min="4346" max="4346" width="4.81640625" style="113" customWidth="1"/>
    <col min="4347" max="4347" width="9.54296875" style="113" customWidth="1"/>
    <col min="4348" max="4348" width="2.453125" style="113" customWidth="1"/>
    <col min="4349" max="4350" width="9.54296875" style="113" customWidth="1"/>
    <col min="4351" max="4351" width="1.54296875" style="113" customWidth="1"/>
    <col min="4352" max="4359" width="9.54296875" style="113" customWidth="1"/>
    <col min="4360" max="4361" width="11.453125" style="113"/>
    <col min="4362" max="4362" width="1.54296875" style="113" customWidth="1"/>
    <col min="4363" max="4364" width="11.453125" style="113"/>
    <col min="4365" max="4365" width="1.54296875" style="113" customWidth="1"/>
    <col min="4366" max="4581" width="11.453125" style="113"/>
    <col min="4582" max="4582" width="1.453125" style="113" customWidth="1"/>
    <col min="4583" max="4583" width="15.81640625" style="113" customWidth="1"/>
    <col min="4584" max="4584" width="49.81640625" style="113" bestFit="1" customWidth="1"/>
    <col min="4585" max="4585" width="8.81640625" style="113" bestFit="1" customWidth="1"/>
    <col min="4586" max="4586" width="8.81640625" style="113" customWidth="1"/>
    <col min="4587" max="4587" width="8.54296875" style="113" bestFit="1" customWidth="1"/>
    <col min="4588" max="4588" width="8.81640625" style="113" bestFit="1" customWidth="1"/>
    <col min="4589" max="4589" width="9.1796875" style="113" customWidth="1"/>
    <col min="4590" max="4590" width="2.453125" style="113" customWidth="1"/>
    <col min="4591" max="4591" width="9.54296875" style="113" customWidth="1"/>
    <col min="4592" max="4592" width="9.453125" style="113" customWidth="1"/>
    <col min="4593" max="4593" width="1.54296875" style="113" customWidth="1"/>
    <col min="4594" max="4594" width="8.81640625" style="113" bestFit="1" customWidth="1"/>
    <col min="4595" max="4595" width="8.453125" style="113" bestFit="1" customWidth="1"/>
    <col min="4596" max="4596" width="9.54296875" style="113" customWidth="1"/>
    <col min="4597" max="4597" width="9" style="113" customWidth="1"/>
    <col min="4598" max="4598" width="8.81640625" style="113" bestFit="1" customWidth="1"/>
    <col min="4599" max="4599" width="8.453125" style="113" bestFit="1" customWidth="1"/>
    <col min="4600" max="4600" width="8.81640625" style="113" bestFit="1" customWidth="1"/>
    <col min="4601" max="4601" width="8.453125" style="113" bestFit="1" customWidth="1"/>
    <col min="4602" max="4602" width="4.81640625" style="113" customWidth="1"/>
    <col min="4603" max="4603" width="9.54296875" style="113" customWidth="1"/>
    <col min="4604" max="4604" width="2.453125" style="113" customWidth="1"/>
    <col min="4605" max="4606" width="9.54296875" style="113" customWidth="1"/>
    <col min="4607" max="4607" width="1.54296875" style="113" customWidth="1"/>
    <col min="4608" max="4615" width="9.54296875" style="113" customWidth="1"/>
    <col min="4616" max="4617" width="11.453125" style="113"/>
    <col min="4618" max="4618" width="1.54296875" style="113" customWidth="1"/>
    <col min="4619" max="4620" width="11.453125" style="113"/>
    <col min="4621" max="4621" width="1.54296875" style="113" customWidth="1"/>
    <col min="4622" max="4837" width="11.453125" style="113"/>
    <col min="4838" max="4838" width="1.453125" style="113" customWidth="1"/>
    <col min="4839" max="4839" width="15.81640625" style="113" customWidth="1"/>
    <col min="4840" max="4840" width="49.81640625" style="113" bestFit="1" customWidth="1"/>
    <col min="4841" max="4841" width="8.81640625" style="113" bestFit="1" customWidth="1"/>
    <col min="4842" max="4842" width="8.81640625" style="113" customWidth="1"/>
    <col min="4843" max="4843" width="8.54296875" style="113" bestFit="1" customWidth="1"/>
    <col min="4844" max="4844" width="8.81640625" style="113" bestFit="1" customWidth="1"/>
    <col min="4845" max="4845" width="9.1796875" style="113" customWidth="1"/>
    <col min="4846" max="4846" width="2.453125" style="113" customWidth="1"/>
    <col min="4847" max="4847" width="9.54296875" style="113" customWidth="1"/>
    <col min="4848" max="4848" width="9.453125" style="113" customWidth="1"/>
    <col min="4849" max="4849" width="1.54296875" style="113" customWidth="1"/>
    <col min="4850" max="4850" width="8.81640625" style="113" bestFit="1" customWidth="1"/>
    <col min="4851" max="4851" width="8.453125" style="113" bestFit="1" customWidth="1"/>
    <col min="4852" max="4852" width="9.54296875" style="113" customWidth="1"/>
    <col min="4853" max="4853" width="9" style="113" customWidth="1"/>
    <col min="4854" max="4854" width="8.81640625" style="113" bestFit="1" customWidth="1"/>
    <col min="4855" max="4855" width="8.453125" style="113" bestFit="1" customWidth="1"/>
    <col min="4856" max="4856" width="8.81640625" style="113" bestFit="1" customWidth="1"/>
    <col min="4857" max="4857" width="8.453125" style="113" bestFit="1" customWidth="1"/>
    <col min="4858" max="4858" width="4.81640625" style="113" customWidth="1"/>
    <col min="4859" max="4859" width="9.54296875" style="113" customWidth="1"/>
    <col min="4860" max="4860" width="2.453125" style="113" customWidth="1"/>
    <col min="4861" max="4862" width="9.54296875" style="113" customWidth="1"/>
    <col min="4863" max="4863" width="1.54296875" style="113" customWidth="1"/>
    <col min="4864" max="4871" width="9.54296875" style="113" customWidth="1"/>
    <col min="4872" max="4873" width="11.453125" style="113"/>
    <col min="4874" max="4874" width="1.54296875" style="113" customWidth="1"/>
    <col min="4875" max="4876" width="11.453125" style="113"/>
    <col min="4877" max="4877" width="1.54296875" style="113" customWidth="1"/>
    <col min="4878" max="5093" width="11.453125" style="113"/>
    <col min="5094" max="5094" width="1.453125" style="113" customWidth="1"/>
    <col min="5095" max="5095" width="15.81640625" style="113" customWidth="1"/>
    <col min="5096" max="5096" width="49.81640625" style="113" bestFit="1" customWidth="1"/>
    <col min="5097" max="5097" width="8.81640625" style="113" bestFit="1" customWidth="1"/>
    <col min="5098" max="5098" width="8.81640625" style="113" customWidth="1"/>
    <col min="5099" max="5099" width="8.54296875" style="113" bestFit="1" customWidth="1"/>
    <col min="5100" max="5100" width="8.81640625" style="113" bestFit="1" customWidth="1"/>
    <col min="5101" max="5101" width="9.1796875" style="113" customWidth="1"/>
    <col min="5102" max="5102" width="2.453125" style="113" customWidth="1"/>
    <col min="5103" max="5103" width="9.54296875" style="113" customWidth="1"/>
    <col min="5104" max="5104" width="9.453125" style="113" customWidth="1"/>
    <col min="5105" max="5105" width="1.54296875" style="113" customWidth="1"/>
    <col min="5106" max="5106" width="8.81640625" style="113" bestFit="1" customWidth="1"/>
    <col min="5107" max="5107" width="8.453125" style="113" bestFit="1" customWidth="1"/>
    <col min="5108" max="5108" width="9.54296875" style="113" customWidth="1"/>
    <col min="5109" max="5109" width="9" style="113" customWidth="1"/>
    <col min="5110" max="5110" width="8.81640625" style="113" bestFit="1" customWidth="1"/>
    <col min="5111" max="5111" width="8.453125" style="113" bestFit="1" customWidth="1"/>
    <col min="5112" max="5112" width="8.81640625" style="113" bestFit="1" customWidth="1"/>
    <col min="5113" max="5113" width="8.453125" style="113" bestFit="1" customWidth="1"/>
    <col min="5114" max="5114" width="4.81640625" style="113" customWidth="1"/>
    <col min="5115" max="5115" width="9.54296875" style="113" customWidth="1"/>
    <col min="5116" max="5116" width="2.453125" style="113" customWidth="1"/>
    <col min="5117" max="5118" width="9.54296875" style="113" customWidth="1"/>
    <col min="5119" max="5119" width="1.54296875" style="113" customWidth="1"/>
    <col min="5120" max="5127" width="9.54296875" style="113" customWidth="1"/>
    <col min="5128" max="5129" width="11.453125" style="113"/>
    <col min="5130" max="5130" width="1.54296875" style="113" customWidth="1"/>
    <col min="5131" max="5132" width="11.453125" style="113"/>
    <col min="5133" max="5133" width="1.54296875" style="113" customWidth="1"/>
    <col min="5134" max="5349" width="11.453125" style="113"/>
    <col min="5350" max="5350" width="1.453125" style="113" customWidth="1"/>
    <col min="5351" max="5351" width="15.81640625" style="113" customWidth="1"/>
    <col min="5352" max="5352" width="49.81640625" style="113" bestFit="1" customWidth="1"/>
    <col min="5353" max="5353" width="8.81640625" style="113" bestFit="1" customWidth="1"/>
    <col min="5354" max="5354" width="8.81640625" style="113" customWidth="1"/>
    <col min="5355" max="5355" width="8.54296875" style="113" bestFit="1" customWidth="1"/>
    <col min="5356" max="5356" width="8.81640625" style="113" bestFit="1" customWidth="1"/>
    <col min="5357" max="5357" width="9.1796875" style="113" customWidth="1"/>
    <col min="5358" max="5358" width="2.453125" style="113" customWidth="1"/>
    <col min="5359" max="5359" width="9.54296875" style="113" customWidth="1"/>
    <col min="5360" max="5360" width="9.453125" style="113" customWidth="1"/>
    <col min="5361" max="5361" width="1.54296875" style="113" customWidth="1"/>
    <col min="5362" max="5362" width="8.81640625" style="113" bestFit="1" customWidth="1"/>
    <col min="5363" max="5363" width="8.453125" style="113" bestFit="1" customWidth="1"/>
    <col min="5364" max="5364" width="9.54296875" style="113" customWidth="1"/>
    <col min="5365" max="5365" width="9" style="113" customWidth="1"/>
    <col min="5366" max="5366" width="8.81640625" style="113" bestFit="1" customWidth="1"/>
    <col min="5367" max="5367" width="8.453125" style="113" bestFit="1" customWidth="1"/>
    <col min="5368" max="5368" width="8.81640625" style="113" bestFit="1" customWidth="1"/>
    <col min="5369" max="5369" width="8.453125" style="113" bestFit="1" customWidth="1"/>
    <col min="5370" max="5370" width="4.81640625" style="113" customWidth="1"/>
    <col min="5371" max="5371" width="9.54296875" style="113" customWidth="1"/>
    <col min="5372" max="5372" width="2.453125" style="113" customWidth="1"/>
    <col min="5373" max="5374" width="9.54296875" style="113" customWidth="1"/>
    <col min="5375" max="5375" width="1.54296875" style="113" customWidth="1"/>
    <col min="5376" max="5383" width="9.54296875" style="113" customWidth="1"/>
    <col min="5384" max="5385" width="11.453125" style="113"/>
    <col min="5386" max="5386" width="1.54296875" style="113" customWidth="1"/>
    <col min="5387" max="5388" width="11.453125" style="113"/>
    <col min="5389" max="5389" width="1.54296875" style="113" customWidth="1"/>
    <col min="5390" max="5605" width="11.453125" style="113"/>
    <col min="5606" max="5606" width="1.453125" style="113" customWidth="1"/>
    <col min="5607" max="5607" width="15.81640625" style="113" customWidth="1"/>
    <col min="5608" max="5608" width="49.81640625" style="113" bestFit="1" customWidth="1"/>
    <col min="5609" max="5609" width="8.81640625" style="113" bestFit="1" customWidth="1"/>
    <col min="5610" max="5610" width="8.81640625" style="113" customWidth="1"/>
    <col min="5611" max="5611" width="8.54296875" style="113" bestFit="1" customWidth="1"/>
    <col min="5612" max="5612" width="8.81640625" style="113" bestFit="1" customWidth="1"/>
    <col min="5613" max="5613" width="9.1796875" style="113" customWidth="1"/>
    <col min="5614" max="5614" width="2.453125" style="113" customWidth="1"/>
    <col min="5615" max="5615" width="9.54296875" style="113" customWidth="1"/>
    <col min="5616" max="5616" width="9.453125" style="113" customWidth="1"/>
    <col min="5617" max="5617" width="1.54296875" style="113" customWidth="1"/>
    <col min="5618" max="5618" width="8.81640625" style="113" bestFit="1" customWidth="1"/>
    <col min="5619" max="5619" width="8.453125" style="113" bestFit="1" customWidth="1"/>
    <col min="5620" max="5620" width="9.54296875" style="113" customWidth="1"/>
    <col min="5621" max="5621" width="9" style="113" customWidth="1"/>
    <col min="5622" max="5622" width="8.81640625" style="113" bestFit="1" customWidth="1"/>
    <col min="5623" max="5623" width="8.453125" style="113" bestFit="1" customWidth="1"/>
    <col min="5624" max="5624" width="8.81640625" style="113" bestFit="1" customWidth="1"/>
    <col min="5625" max="5625" width="8.453125" style="113" bestFit="1" customWidth="1"/>
    <col min="5626" max="5626" width="4.81640625" style="113" customWidth="1"/>
    <col min="5627" max="5627" width="9.54296875" style="113" customWidth="1"/>
    <col min="5628" max="5628" width="2.453125" style="113" customWidth="1"/>
    <col min="5629" max="5630" width="9.54296875" style="113" customWidth="1"/>
    <col min="5631" max="5631" width="1.54296875" style="113" customWidth="1"/>
    <col min="5632" max="5639" width="9.54296875" style="113" customWidth="1"/>
    <col min="5640" max="5641" width="11.453125" style="113"/>
    <col min="5642" max="5642" width="1.54296875" style="113" customWidth="1"/>
    <col min="5643" max="5644" width="11.453125" style="113"/>
    <col min="5645" max="5645" width="1.54296875" style="113" customWidth="1"/>
    <col min="5646" max="5861" width="11.453125" style="113"/>
    <col min="5862" max="5862" width="1.453125" style="113" customWidth="1"/>
    <col min="5863" max="5863" width="15.81640625" style="113" customWidth="1"/>
    <col min="5864" max="5864" width="49.81640625" style="113" bestFit="1" customWidth="1"/>
    <col min="5865" max="5865" width="8.81640625" style="113" bestFit="1" customWidth="1"/>
    <col min="5866" max="5866" width="8.81640625" style="113" customWidth="1"/>
    <col min="5867" max="5867" width="8.54296875" style="113" bestFit="1" customWidth="1"/>
    <col min="5868" max="5868" width="8.81640625" style="113" bestFit="1" customWidth="1"/>
    <col min="5869" max="5869" width="9.1796875" style="113" customWidth="1"/>
    <col min="5870" max="5870" width="2.453125" style="113" customWidth="1"/>
    <col min="5871" max="5871" width="9.54296875" style="113" customWidth="1"/>
    <col min="5872" max="5872" width="9.453125" style="113" customWidth="1"/>
    <col min="5873" max="5873" width="1.54296875" style="113" customWidth="1"/>
    <col min="5874" max="5874" width="8.81640625" style="113" bestFit="1" customWidth="1"/>
    <col min="5875" max="5875" width="8.453125" style="113" bestFit="1" customWidth="1"/>
    <col min="5876" max="5876" width="9.54296875" style="113" customWidth="1"/>
    <col min="5877" max="5877" width="9" style="113" customWidth="1"/>
    <col min="5878" max="5878" width="8.81640625" style="113" bestFit="1" customWidth="1"/>
    <col min="5879" max="5879" width="8.453125" style="113" bestFit="1" customWidth="1"/>
    <col min="5880" max="5880" width="8.81640625" style="113" bestFit="1" customWidth="1"/>
    <col min="5881" max="5881" width="8.453125" style="113" bestFit="1" customWidth="1"/>
    <col min="5882" max="5882" width="4.81640625" style="113" customWidth="1"/>
    <col min="5883" max="5883" width="9.54296875" style="113" customWidth="1"/>
    <col min="5884" max="5884" width="2.453125" style="113" customWidth="1"/>
    <col min="5885" max="5886" width="9.54296875" style="113" customWidth="1"/>
    <col min="5887" max="5887" width="1.54296875" style="113" customWidth="1"/>
    <col min="5888" max="5895" width="9.54296875" style="113" customWidth="1"/>
    <col min="5896" max="5897" width="11.453125" style="113"/>
    <col min="5898" max="5898" width="1.54296875" style="113" customWidth="1"/>
    <col min="5899" max="5900" width="11.453125" style="113"/>
    <col min="5901" max="5901" width="1.54296875" style="113" customWidth="1"/>
    <col min="5902" max="6117" width="11.453125" style="113"/>
    <col min="6118" max="6118" width="1.453125" style="113" customWidth="1"/>
    <col min="6119" max="6119" width="15.81640625" style="113" customWidth="1"/>
    <col min="6120" max="6120" width="49.81640625" style="113" bestFit="1" customWidth="1"/>
    <col min="6121" max="6121" width="8.81640625" style="113" bestFit="1" customWidth="1"/>
    <col min="6122" max="6122" width="8.81640625" style="113" customWidth="1"/>
    <col min="6123" max="6123" width="8.54296875" style="113" bestFit="1" customWidth="1"/>
    <col min="6124" max="6124" width="8.81640625" style="113" bestFit="1" customWidth="1"/>
    <col min="6125" max="6125" width="9.1796875" style="113" customWidth="1"/>
    <col min="6126" max="6126" width="2.453125" style="113" customWidth="1"/>
    <col min="6127" max="6127" width="9.54296875" style="113" customWidth="1"/>
    <col min="6128" max="6128" width="9.453125" style="113" customWidth="1"/>
    <col min="6129" max="6129" width="1.54296875" style="113" customWidth="1"/>
    <col min="6130" max="6130" width="8.81640625" style="113" bestFit="1" customWidth="1"/>
    <col min="6131" max="6131" width="8.453125" style="113" bestFit="1" customWidth="1"/>
    <col min="6132" max="6132" width="9.54296875" style="113" customWidth="1"/>
    <col min="6133" max="6133" width="9" style="113" customWidth="1"/>
    <col min="6134" max="6134" width="8.81640625" style="113" bestFit="1" customWidth="1"/>
    <col min="6135" max="6135" width="8.453125" style="113" bestFit="1" customWidth="1"/>
    <col min="6136" max="6136" width="8.81640625" style="113" bestFit="1" customWidth="1"/>
    <col min="6137" max="6137" width="8.453125" style="113" bestFit="1" customWidth="1"/>
    <col min="6138" max="6138" width="4.81640625" style="113" customWidth="1"/>
    <col min="6139" max="6139" width="9.54296875" style="113" customWidth="1"/>
    <col min="6140" max="6140" width="2.453125" style="113" customWidth="1"/>
    <col min="6141" max="6142" width="9.54296875" style="113" customWidth="1"/>
    <col min="6143" max="6143" width="1.54296875" style="113" customWidth="1"/>
    <col min="6144" max="6151" width="9.54296875" style="113" customWidth="1"/>
    <col min="6152" max="6153" width="11.453125" style="113"/>
    <col min="6154" max="6154" width="1.54296875" style="113" customWidth="1"/>
    <col min="6155" max="6156" width="11.453125" style="113"/>
    <col min="6157" max="6157" width="1.54296875" style="113" customWidth="1"/>
    <col min="6158" max="6373" width="11.453125" style="113"/>
    <col min="6374" max="6374" width="1.453125" style="113" customWidth="1"/>
    <col min="6375" max="6375" width="15.81640625" style="113" customWidth="1"/>
    <col min="6376" max="6376" width="49.81640625" style="113" bestFit="1" customWidth="1"/>
    <col min="6377" max="6377" width="8.81640625" style="113" bestFit="1" customWidth="1"/>
    <col min="6378" max="6378" width="8.81640625" style="113" customWidth="1"/>
    <col min="6379" max="6379" width="8.54296875" style="113" bestFit="1" customWidth="1"/>
    <col min="6380" max="6380" width="8.81640625" style="113" bestFit="1" customWidth="1"/>
    <col min="6381" max="6381" width="9.1796875" style="113" customWidth="1"/>
    <col min="6382" max="6382" width="2.453125" style="113" customWidth="1"/>
    <col min="6383" max="6383" width="9.54296875" style="113" customWidth="1"/>
    <col min="6384" max="6384" width="9.453125" style="113" customWidth="1"/>
    <col min="6385" max="6385" width="1.54296875" style="113" customWidth="1"/>
    <col min="6386" max="6386" width="8.81640625" style="113" bestFit="1" customWidth="1"/>
    <col min="6387" max="6387" width="8.453125" style="113" bestFit="1" customWidth="1"/>
    <col min="6388" max="6388" width="9.54296875" style="113" customWidth="1"/>
    <col min="6389" max="6389" width="9" style="113" customWidth="1"/>
    <col min="6390" max="6390" width="8.81640625" style="113" bestFit="1" customWidth="1"/>
    <col min="6391" max="6391" width="8.453125" style="113" bestFit="1" customWidth="1"/>
    <col min="6392" max="6392" width="8.81640625" style="113" bestFit="1" customWidth="1"/>
    <col min="6393" max="6393" width="8.453125" style="113" bestFit="1" customWidth="1"/>
    <col min="6394" max="6394" width="4.81640625" style="113" customWidth="1"/>
    <col min="6395" max="6395" width="9.54296875" style="113" customWidth="1"/>
    <col min="6396" max="6396" width="2.453125" style="113" customWidth="1"/>
    <col min="6397" max="6398" width="9.54296875" style="113" customWidth="1"/>
    <col min="6399" max="6399" width="1.54296875" style="113" customWidth="1"/>
    <col min="6400" max="6407" width="9.54296875" style="113" customWidth="1"/>
    <col min="6408" max="6409" width="11.453125" style="113"/>
    <col min="6410" max="6410" width="1.54296875" style="113" customWidth="1"/>
    <col min="6411" max="6412" width="11.453125" style="113"/>
    <col min="6413" max="6413" width="1.54296875" style="113" customWidth="1"/>
    <col min="6414" max="6629" width="11.453125" style="113"/>
    <col min="6630" max="6630" width="1.453125" style="113" customWidth="1"/>
    <col min="6631" max="6631" width="15.81640625" style="113" customWidth="1"/>
    <col min="6632" max="6632" width="49.81640625" style="113" bestFit="1" customWidth="1"/>
    <col min="6633" max="6633" width="8.81640625" style="113" bestFit="1" customWidth="1"/>
    <col min="6634" max="6634" width="8.81640625" style="113" customWidth="1"/>
    <col min="6635" max="6635" width="8.54296875" style="113" bestFit="1" customWidth="1"/>
    <col min="6636" max="6636" width="8.81640625" style="113" bestFit="1" customWidth="1"/>
    <col min="6637" max="6637" width="9.1796875" style="113" customWidth="1"/>
    <col min="6638" max="6638" width="2.453125" style="113" customWidth="1"/>
    <col min="6639" max="6639" width="9.54296875" style="113" customWidth="1"/>
    <col min="6640" max="6640" width="9.453125" style="113" customWidth="1"/>
    <col min="6641" max="6641" width="1.54296875" style="113" customWidth="1"/>
    <col min="6642" max="6642" width="8.81640625" style="113" bestFit="1" customWidth="1"/>
    <col min="6643" max="6643" width="8.453125" style="113" bestFit="1" customWidth="1"/>
    <col min="6644" max="6644" width="9.54296875" style="113" customWidth="1"/>
    <col min="6645" max="6645" width="9" style="113" customWidth="1"/>
    <col min="6646" max="6646" width="8.81640625" style="113" bestFit="1" customWidth="1"/>
    <col min="6647" max="6647" width="8.453125" style="113" bestFit="1" customWidth="1"/>
    <col min="6648" max="6648" width="8.81640625" style="113" bestFit="1" customWidth="1"/>
    <col min="6649" max="6649" width="8.453125" style="113" bestFit="1" customWidth="1"/>
    <col min="6650" max="6650" width="4.81640625" style="113" customWidth="1"/>
    <col min="6651" max="6651" width="9.54296875" style="113" customWidth="1"/>
    <col min="6652" max="6652" width="2.453125" style="113" customWidth="1"/>
    <col min="6653" max="6654" width="9.54296875" style="113" customWidth="1"/>
    <col min="6655" max="6655" width="1.54296875" style="113" customWidth="1"/>
    <col min="6656" max="6663" width="9.54296875" style="113" customWidth="1"/>
    <col min="6664" max="6665" width="11.453125" style="113"/>
    <col min="6666" max="6666" width="1.54296875" style="113" customWidth="1"/>
    <col min="6667" max="6668" width="11.453125" style="113"/>
    <col min="6669" max="6669" width="1.54296875" style="113" customWidth="1"/>
    <col min="6670" max="6885" width="11.453125" style="113"/>
    <col min="6886" max="6886" width="1.453125" style="113" customWidth="1"/>
    <col min="6887" max="6887" width="15.81640625" style="113" customWidth="1"/>
    <col min="6888" max="6888" width="49.81640625" style="113" bestFit="1" customWidth="1"/>
    <col min="6889" max="6889" width="8.81640625" style="113" bestFit="1" customWidth="1"/>
    <col min="6890" max="6890" width="8.81640625" style="113" customWidth="1"/>
    <col min="6891" max="6891" width="8.54296875" style="113" bestFit="1" customWidth="1"/>
    <col min="6892" max="6892" width="8.81640625" style="113" bestFit="1" customWidth="1"/>
    <col min="6893" max="6893" width="9.1796875" style="113" customWidth="1"/>
    <col min="6894" max="6894" width="2.453125" style="113" customWidth="1"/>
    <col min="6895" max="6895" width="9.54296875" style="113" customWidth="1"/>
    <col min="6896" max="6896" width="9.453125" style="113" customWidth="1"/>
    <col min="6897" max="6897" width="1.54296875" style="113" customWidth="1"/>
    <col min="6898" max="6898" width="8.81640625" style="113" bestFit="1" customWidth="1"/>
    <col min="6899" max="6899" width="8.453125" style="113" bestFit="1" customWidth="1"/>
    <col min="6900" max="6900" width="9.54296875" style="113" customWidth="1"/>
    <col min="6901" max="6901" width="9" style="113" customWidth="1"/>
    <col min="6902" max="6902" width="8.81640625" style="113" bestFit="1" customWidth="1"/>
    <col min="6903" max="6903" width="8.453125" style="113" bestFit="1" customWidth="1"/>
    <col min="6904" max="6904" width="8.81640625" style="113" bestFit="1" customWidth="1"/>
    <col min="6905" max="6905" width="8.453125" style="113" bestFit="1" customWidth="1"/>
    <col min="6906" max="6906" width="4.81640625" style="113" customWidth="1"/>
    <col min="6907" max="6907" width="9.54296875" style="113" customWidth="1"/>
    <col min="6908" max="6908" width="2.453125" style="113" customWidth="1"/>
    <col min="6909" max="6910" width="9.54296875" style="113" customWidth="1"/>
    <col min="6911" max="6911" width="1.54296875" style="113" customWidth="1"/>
    <col min="6912" max="6919" width="9.54296875" style="113" customWidth="1"/>
    <col min="6920" max="6921" width="11.453125" style="113"/>
    <col min="6922" max="6922" width="1.54296875" style="113" customWidth="1"/>
    <col min="6923" max="6924" width="11.453125" style="113"/>
    <col min="6925" max="6925" width="1.54296875" style="113" customWidth="1"/>
    <col min="6926" max="7141" width="11.453125" style="113"/>
    <col min="7142" max="7142" width="1.453125" style="113" customWidth="1"/>
    <col min="7143" max="7143" width="15.81640625" style="113" customWidth="1"/>
    <col min="7144" max="7144" width="49.81640625" style="113" bestFit="1" customWidth="1"/>
    <col min="7145" max="7145" width="8.81640625" style="113" bestFit="1" customWidth="1"/>
    <col min="7146" max="7146" width="8.81640625" style="113" customWidth="1"/>
    <col min="7147" max="7147" width="8.54296875" style="113" bestFit="1" customWidth="1"/>
    <col min="7148" max="7148" width="8.81640625" style="113" bestFit="1" customWidth="1"/>
    <col min="7149" max="7149" width="9.1796875" style="113" customWidth="1"/>
    <col min="7150" max="7150" width="2.453125" style="113" customWidth="1"/>
    <col min="7151" max="7151" width="9.54296875" style="113" customWidth="1"/>
    <col min="7152" max="7152" width="9.453125" style="113" customWidth="1"/>
    <col min="7153" max="7153" width="1.54296875" style="113" customWidth="1"/>
    <col min="7154" max="7154" width="8.81640625" style="113" bestFit="1" customWidth="1"/>
    <col min="7155" max="7155" width="8.453125" style="113" bestFit="1" customWidth="1"/>
    <col min="7156" max="7156" width="9.54296875" style="113" customWidth="1"/>
    <col min="7157" max="7157" width="9" style="113" customWidth="1"/>
    <col min="7158" max="7158" width="8.81640625" style="113" bestFit="1" customWidth="1"/>
    <col min="7159" max="7159" width="8.453125" style="113" bestFit="1" customWidth="1"/>
    <col min="7160" max="7160" width="8.81640625" style="113" bestFit="1" customWidth="1"/>
    <col min="7161" max="7161" width="8.453125" style="113" bestFit="1" customWidth="1"/>
    <col min="7162" max="7162" width="4.81640625" style="113" customWidth="1"/>
    <col min="7163" max="7163" width="9.54296875" style="113" customWidth="1"/>
    <col min="7164" max="7164" width="2.453125" style="113" customWidth="1"/>
    <col min="7165" max="7166" width="9.54296875" style="113" customWidth="1"/>
    <col min="7167" max="7167" width="1.54296875" style="113" customWidth="1"/>
    <col min="7168" max="7175" width="9.54296875" style="113" customWidth="1"/>
    <col min="7176" max="7177" width="11.453125" style="113"/>
    <col min="7178" max="7178" width="1.54296875" style="113" customWidth="1"/>
    <col min="7179" max="7180" width="11.453125" style="113"/>
    <col min="7181" max="7181" width="1.54296875" style="113" customWidth="1"/>
    <col min="7182" max="7397" width="11.453125" style="113"/>
    <col min="7398" max="7398" width="1.453125" style="113" customWidth="1"/>
    <col min="7399" max="7399" width="15.81640625" style="113" customWidth="1"/>
    <col min="7400" max="7400" width="49.81640625" style="113" bestFit="1" customWidth="1"/>
    <col min="7401" max="7401" width="8.81640625" style="113" bestFit="1" customWidth="1"/>
    <col min="7402" max="7402" width="8.81640625" style="113" customWidth="1"/>
    <col min="7403" max="7403" width="8.54296875" style="113" bestFit="1" customWidth="1"/>
    <col min="7404" max="7404" width="8.81640625" style="113" bestFit="1" customWidth="1"/>
    <col min="7405" max="7405" width="9.1796875" style="113" customWidth="1"/>
    <col min="7406" max="7406" width="2.453125" style="113" customWidth="1"/>
    <col min="7407" max="7407" width="9.54296875" style="113" customWidth="1"/>
    <col min="7408" max="7408" width="9.453125" style="113" customWidth="1"/>
    <col min="7409" max="7409" width="1.54296875" style="113" customWidth="1"/>
    <col min="7410" max="7410" width="8.81640625" style="113" bestFit="1" customWidth="1"/>
    <col min="7411" max="7411" width="8.453125" style="113" bestFit="1" customWidth="1"/>
    <col min="7412" max="7412" width="9.54296875" style="113" customWidth="1"/>
    <col min="7413" max="7413" width="9" style="113" customWidth="1"/>
    <col min="7414" max="7414" width="8.81640625" style="113" bestFit="1" customWidth="1"/>
    <col min="7415" max="7415" width="8.453125" style="113" bestFit="1" customWidth="1"/>
    <col min="7416" max="7416" width="8.81640625" style="113" bestFit="1" customWidth="1"/>
    <col min="7417" max="7417" width="8.453125" style="113" bestFit="1" customWidth="1"/>
    <col min="7418" max="7418" width="4.81640625" style="113" customWidth="1"/>
    <col min="7419" max="7419" width="9.54296875" style="113" customWidth="1"/>
    <col min="7420" max="7420" width="2.453125" style="113" customWidth="1"/>
    <col min="7421" max="7422" width="9.54296875" style="113" customWidth="1"/>
    <col min="7423" max="7423" width="1.54296875" style="113" customWidth="1"/>
    <col min="7424" max="7431" width="9.54296875" style="113" customWidth="1"/>
    <col min="7432" max="7433" width="11.453125" style="113"/>
    <col min="7434" max="7434" width="1.54296875" style="113" customWidth="1"/>
    <col min="7435" max="7436" width="11.453125" style="113"/>
    <col min="7437" max="7437" width="1.54296875" style="113" customWidth="1"/>
    <col min="7438" max="7653" width="11.453125" style="113"/>
    <col min="7654" max="7654" width="1.453125" style="113" customWidth="1"/>
    <col min="7655" max="7655" width="15.81640625" style="113" customWidth="1"/>
    <col min="7656" max="7656" width="49.81640625" style="113" bestFit="1" customWidth="1"/>
    <col min="7657" max="7657" width="8.81640625" style="113" bestFit="1" customWidth="1"/>
    <col min="7658" max="7658" width="8.81640625" style="113" customWidth="1"/>
    <col min="7659" max="7659" width="8.54296875" style="113" bestFit="1" customWidth="1"/>
    <col min="7660" max="7660" width="8.81640625" style="113" bestFit="1" customWidth="1"/>
    <col min="7661" max="7661" width="9.1796875" style="113" customWidth="1"/>
    <col min="7662" max="7662" width="2.453125" style="113" customWidth="1"/>
    <col min="7663" max="7663" width="9.54296875" style="113" customWidth="1"/>
    <col min="7664" max="7664" width="9.453125" style="113" customWidth="1"/>
    <col min="7665" max="7665" width="1.54296875" style="113" customWidth="1"/>
    <col min="7666" max="7666" width="8.81640625" style="113" bestFit="1" customWidth="1"/>
    <col min="7667" max="7667" width="8.453125" style="113" bestFit="1" customWidth="1"/>
    <col min="7668" max="7668" width="9.54296875" style="113" customWidth="1"/>
    <col min="7669" max="7669" width="9" style="113" customWidth="1"/>
    <col min="7670" max="7670" width="8.81640625" style="113" bestFit="1" customWidth="1"/>
    <col min="7671" max="7671" width="8.453125" style="113" bestFit="1" customWidth="1"/>
    <col min="7672" max="7672" width="8.81640625" style="113" bestFit="1" customWidth="1"/>
    <col min="7673" max="7673" width="8.453125" style="113" bestFit="1" customWidth="1"/>
    <col min="7674" max="7674" width="4.81640625" style="113" customWidth="1"/>
    <col min="7675" max="7675" width="9.54296875" style="113" customWidth="1"/>
    <col min="7676" max="7676" width="2.453125" style="113" customWidth="1"/>
    <col min="7677" max="7678" width="9.54296875" style="113" customWidth="1"/>
    <col min="7679" max="7679" width="1.54296875" style="113" customWidth="1"/>
    <col min="7680" max="7687" width="9.54296875" style="113" customWidth="1"/>
    <col min="7688" max="7689" width="11.453125" style="113"/>
    <col min="7690" max="7690" width="1.54296875" style="113" customWidth="1"/>
    <col min="7691" max="7692" width="11.453125" style="113"/>
    <col min="7693" max="7693" width="1.54296875" style="113" customWidth="1"/>
    <col min="7694" max="7909" width="11.453125" style="113"/>
    <col min="7910" max="7910" width="1.453125" style="113" customWidth="1"/>
    <col min="7911" max="7911" width="15.81640625" style="113" customWidth="1"/>
    <col min="7912" max="7912" width="49.81640625" style="113" bestFit="1" customWidth="1"/>
    <col min="7913" max="7913" width="8.81640625" style="113" bestFit="1" customWidth="1"/>
    <col min="7914" max="7914" width="8.81640625" style="113" customWidth="1"/>
    <col min="7915" max="7915" width="8.54296875" style="113" bestFit="1" customWidth="1"/>
    <col min="7916" max="7916" width="8.81640625" style="113" bestFit="1" customWidth="1"/>
    <col min="7917" max="7917" width="9.1796875" style="113" customWidth="1"/>
    <col min="7918" max="7918" width="2.453125" style="113" customWidth="1"/>
    <col min="7919" max="7919" width="9.54296875" style="113" customWidth="1"/>
    <col min="7920" max="7920" width="9.453125" style="113" customWidth="1"/>
    <col min="7921" max="7921" width="1.54296875" style="113" customWidth="1"/>
    <col min="7922" max="7922" width="8.81640625" style="113" bestFit="1" customWidth="1"/>
    <col min="7923" max="7923" width="8.453125" style="113" bestFit="1" customWidth="1"/>
    <col min="7924" max="7924" width="9.54296875" style="113" customWidth="1"/>
    <col min="7925" max="7925" width="9" style="113" customWidth="1"/>
    <col min="7926" max="7926" width="8.81640625" style="113" bestFit="1" customWidth="1"/>
    <col min="7927" max="7927" width="8.453125" style="113" bestFit="1" customWidth="1"/>
    <col min="7928" max="7928" width="8.81640625" style="113" bestFit="1" customWidth="1"/>
    <col min="7929" max="7929" width="8.453125" style="113" bestFit="1" customWidth="1"/>
    <col min="7930" max="7930" width="4.81640625" style="113" customWidth="1"/>
    <col min="7931" max="7931" width="9.54296875" style="113" customWidth="1"/>
    <col min="7932" max="7932" width="2.453125" style="113" customWidth="1"/>
    <col min="7933" max="7934" width="9.54296875" style="113" customWidth="1"/>
    <col min="7935" max="7935" width="1.54296875" style="113" customWidth="1"/>
    <col min="7936" max="7943" width="9.54296875" style="113" customWidth="1"/>
    <col min="7944" max="7945" width="11.453125" style="113"/>
    <col min="7946" max="7946" width="1.54296875" style="113" customWidth="1"/>
    <col min="7947" max="7948" width="11.453125" style="113"/>
    <col min="7949" max="7949" width="1.54296875" style="113" customWidth="1"/>
    <col min="7950" max="8165" width="11.453125" style="113"/>
    <col min="8166" max="8166" width="1.453125" style="113" customWidth="1"/>
    <col min="8167" max="8167" width="15.81640625" style="113" customWidth="1"/>
    <col min="8168" max="8168" width="49.81640625" style="113" bestFit="1" customWidth="1"/>
    <col min="8169" max="8169" width="8.81640625" style="113" bestFit="1" customWidth="1"/>
    <col min="8170" max="8170" width="8.81640625" style="113" customWidth="1"/>
    <col min="8171" max="8171" width="8.54296875" style="113" bestFit="1" customWidth="1"/>
    <col min="8172" max="8172" width="8.81640625" style="113" bestFit="1" customWidth="1"/>
    <col min="8173" max="8173" width="9.1796875" style="113" customWidth="1"/>
    <col min="8174" max="8174" width="2.453125" style="113" customWidth="1"/>
    <col min="8175" max="8175" width="9.54296875" style="113" customWidth="1"/>
    <col min="8176" max="8176" width="9.453125" style="113" customWidth="1"/>
    <col min="8177" max="8177" width="1.54296875" style="113" customWidth="1"/>
    <col min="8178" max="8178" width="8.81640625" style="113" bestFit="1" customWidth="1"/>
    <col min="8179" max="8179" width="8.453125" style="113" bestFit="1" customWidth="1"/>
    <col min="8180" max="8180" width="9.54296875" style="113" customWidth="1"/>
    <col min="8181" max="8181" width="9" style="113" customWidth="1"/>
    <col min="8182" max="8182" width="8.81640625" style="113" bestFit="1" customWidth="1"/>
    <col min="8183" max="8183" width="8.453125" style="113" bestFit="1" customWidth="1"/>
    <col min="8184" max="8184" width="8.81640625" style="113" bestFit="1" customWidth="1"/>
    <col min="8185" max="8185" width="8.453125" style="113" bestFit="1" customWidth="1"/>
    <col min="8186" max="8186" width="4.81640625" style="113" customWidth="1"/>
    <col min="8187" max="8187" width="9.54296875" style="113" customWidth="1"/>
    <col min="8188" max="8188" width="2.453125" style="113" customWidth="1"/>
    <col min="8189" max="8190" width="9.54296875" style="113" customWidth="1"/>
    <col min="8191" max="8191" width="1.54296875" style="113" customWidth="1"/>
    <col min="8192" max="8199" width="9.54296875" style="113" customWidth="1"/>
    <col min="8200" max="8201" width="11.453125" style="113"/>
    <col min="8202" max="8202" width="1.54296875" style="113" customWidth="1"/>
    <col min="8203" max="8204" width="11.453125" style="113"/>
    <col min="8205" max="8205" width="1.54296875" style="113" customWidth="1"/>
    <col min="8206" max="8421" width="11.453125" style="113"/>
    <col min="8422" max="8422" width="1.453125" style="113" customWidth="1"/>
    <col min="8423" max="8423" width="15.81640625" style="113" customWidth="1"/>
    <col min="8424" max="8424" width="49.81640625" style="113" bestFit="1" customWidth="1"/>
    <col min="8425" max="8425" width="8.81640625" style="113" bestFit="1" customWidth="1"/>
    <col min="8426" max="8426" width="8.81640625" style="113" customWidth="1"/>
    <col min="8427" max="8427" width="8.54296875" style="113" bestFit="1" customWidth="1"/>
    <col min="8428" max="8428" width="8.81640625" style="113" bestFit="1" customWidth="1"/>
    <col min="8429" max="8429" width="9.1796875" style="113" customWidth="1"/>
    <col min="8430" max="8430" width="2.453125" style="113" customWidth="1"/>
    <col min="8431" max="8431" width="9.54296875" style="113" customWidth="1"/>
    <col min="8432" max="8432" width="9.453125" style="113" customWidth="1"/>
    <col min="8433" max="8433" width="1.54296875" style="113" customWidth="1"/>
    <col min="8434" max="8434" width="8.81640625" style="113" bestFit="1" customWidth="1"/>
    <col min="8435" max="8435" width="8.453125" style="113" bestFit="1" customWidth="1"/>
    <col min="8436" max="8436" width="9.54296875" style="113" customWidth="1"/>
    <col min="8437" max="8437" width="9" style="113" customWidth="1"/>
    <col min="8438" max="8438" width="8.81640625" style="113" bestFit="1" customWidth="1"/>
    <col min="8439" max="8439" width="8.453125" style="113" bestFit="1" customWidth="1"/>
    <col min="8440" max="8440" width="8.81640625" style="113" bestFit="1" customWidth="1"/>
    <col min="8441" max="8441" width="8.453125" style="113" bestFit="1" customWidth="1"/>
    <col min="8442" max="8442" width="4.81640625" style="113" customWidth="1"/>
    <col min="8443" max="8443" width="9.54296875" style="113" customWidth="1"/>
    <col min="8444" max="8444" width="2.453125" style="113" customWidth="1"/>
    <col min="8445" max="8446" width="9.54296875" style="113" customWidth="1"/>
    <col min="8447" max="8447" width="1.54296875" style="113" customWidth="1"/>
    <col min="8448" max="8455" width="9.54296875" style="113" customWidth="1"/>
    <col min="8456" max="8457" width="11.453125" style="113"/>
    <col min="8458" max="8458" width="1.54296875" style="113" customWidth="1"/>
    <col min="8459" max="8460" width="11.453125" style="113"/>
    <col min="8461" max="8461" width="1.54296875" style="113" customWidth="1"/>
    <col min="8462" max="8677" width="11.453125" style="113"/>
    <col min="8678" max="8678" width="1.453125" style="113" customWidth="1"/>
    <col min="8679" max="8679" width="15.81640625" style="113" customWidth="1"/>
    <col min="8680" max="8680" width="49.81640625" style="113" bestFit="1" customWidth="1"/>
    <col min="8681" max="8681" width="8.81640625" style="113" bestFit="1" customWidth="1"/>
    <col min="8682" max="8682" width="8.81640625" style="113" customWidth="1"/>
    <col min="8683" max="8683" width="8.54296875" style="113" bestFit="1" customWidth="1"/>
    <col min="8684" max="8684" width="8.81640625" style="113" bestFit="1" customWidth="1"/>
    <col min="8685" max="8685" width="9.1796875" style="113" customWidth="1"/>
    <col min="8686" max="8686" width="2.453125" style="113" customWidth="1"/>
    <col min="8687" max="8687" width="9.54296875" style="113" customWidth="1"/>
    <col min="8688" max="8688" width="9.453125" style="113" customWidth="1"/>
    <col min="8689" max="8689" width="1.54296875" style="113" customWidth="1"/>
    <col min="8690" max="8690" width="8.81640625" style="113" bestFit="1" customWidth="1"/>
    <col min="8691" max="8691" width="8.453125" style="113" bestFit="1" customWidth="1"/>
    <col min="8692" max="8692" width="9.54296875" style="113" customWidth="1"/>
    <col min="8693" max="8693" width="9" style="113" customWidth="1"/>
    <col min="8694" max="8694" width="8.81640625" style="113" bestFit="1" customWidth="1"/>
    <col min="8695" max="8695" width="8.453125" style="113" bestFit="1" customWidth="1"/>
    <col min="8696" max="8696" width="8.81640625" style="113" bestFit="1" customWidth="1"/>
    <col min="8697" max="8697" width="8.453125" style="113" bestFit="1" customWidth="1"/>
    <col min="8698" max="8698" width="4.81640625" style="113" customWidth="1"/>
    <col min="8699" max="8699" width="9.54296875" style="113" customWidth="1"/>
    <col min="8700" max="8700" width="2.453125" style="113" customWidth="1"/>
    <col min="8701" max="8702" width="9.54296875" style="113" customWidth="1"/>
    <col min="8703" max="8703" width="1.54296875" style="113" customWidth="1"/>
    <col min="8704" max="8711" width="9.54296875" style="113" customWidth="1"/>
    <col min="8712" max="8713" width="11.453125" style="113"/>
    <col min="8714" max="8714" width="1.54296875" style="113" customWidth="1"/>
    <col min="8715" max="8716" width="11.453125" style="113"/>
    <col min="8717" max="8717" width="1.54296875" style="113" customWidth="1"/>
    <col min="8718" max="8933" width="11.453125" style="113"/>
    <col min="8934" max="8934" width="1.453125" style="113" customWidth="1"/>
    <col min="8935" max="8935" width="15.81640625" style="113" customWidth="1"/>
    <col min="8936" max="8936" width="49.81640625" style="113" bestFit="1" customWidth="1"/>
    <col min="8937" max="8937" width="8.81640625" style="113" bestFit="1" customWidth="1"/>
    <col min="8938" max="8938" width="8.81640625" style="113" customWidth="1"/>
    <col min="8939" max="8939" width="8.54296875" style="113" bestFit="1" customWidth="1"/>
    <col min="8940" max="8940" width="8.81640625" style="113" bestFit="1" customWidth="1"/>
    <col min="8941" max="8941" width="9.1796875" style="113" customWidth="1"/>
    <col min="8942" max="8942" width="2.453125" style="113" customWidth="1"/>
    <col min="8943" max="8943" width="9.54296875" style="113" customWidth="1"/>
    <col min="8944" max="8944" width="9.453125" style="113" customWidth="1"/>
    <col min="8945" max="8945" width="1.54296875" style="113" customWidth="1"/>
    <col min="8946" max="8946" width="8.81640625" style="113" bestFit="1" customWidth="1"/>
    <col min="8947" max="8947" width="8.453125" style="113" bestFit="1" customWidth="1"/>
    <col min="8948" max="8948" width="9.54296875" style="113" customWidth="1"/>
    <col min="8949" max="8949" width="9" style="113" customWidth="1"/>
    <col min="8950" max="8950" width="8.81640625" style="113" bestFit="1" customWidth="1"/>
    <col min="8951" max="8951" width="8.453125" style="113" bestFit="1" customWidth="1"/>
    <col min="8952" max="8952" width="8.81640625" style="113" bestFit="1" customWidth="1"/>
    <col min="8953" max="8953" width="8.453125" style="113" bestFit="1" customWidth="1"/>
    <col min="8954" max="8954" width="4.81640625" style="113" customWidth="1"/>
    <col min="8955" max="8955" width="9.54296875" style="113" customWidth="1"/>
    <col min="8956" max="8956" width="2.453125" style="113" customWidth="1"/>
    <col min="8957" max="8958" width="9.54296875" style="113" customWidth="1"/>
    <col min="8959" max="8959" width="1.54296875" style="113" customWidth="1"/>
    <col min="8960" max="8967" width="9.54296875" style="113" customWidth="1"/>
    <col min="8968" max="8969" width="11.453125" style="113"/>
    <col min="8970" max="8970" width="1.54296875" style="113" customWidth="1"/>
    <col min="8971" max="8972" width="11.453125" style="113"/>
    <col min="8973" max="8973" width="1.54296875" style="113" customWidth="1"/>
    <col min="8974" max="9189" width="11.453125" style="113"/>
    <col min="9190" max="9190" width="1.453125" style="113" customWidth="1"/>
    <col min="9191" max="9191" width="15.81640625" style="113" customWidth="1"/>
    <col min="9192" max="9192" width="49.81640625" style="113" bestFit="1" customWidth="1"/>
    <col min="9193" max="9193" width="8.81640625" style="113" bestFit="1" customWidth="1"/>
    <col min="9194" max="9194" width="8.81640625" style="113" customWidth="1"/>
    <col min="9195" max="9195" width="8.54296875" style="113" bestFit="1" customWidth="1"/>
    <col min="9196" max="9196" width="8.81640625" style="113" bestFit="1" customWidth="1"/>
    <col min="9197" max="9197" width="9.1796875" style="113" customWidth="1"/>
    <col min="9198" max="9198" width="2.453125" style="113" customWidth="1"/>
    <col min="9199" max="9199" width="9.54296875" style="113" customWidth="1"/>
    <col min="9200" max="9200" width="9.453125" style="113" customWidth="1"/>
    <col min="9201" max="9201" width="1.54296875" style="113" customWidth="1"/>
    <col min="9202" max="9202" width="8.81640625" style="113" bestFit="1" customWidth="1"/>
    <col min="9203" max="9203" width="8.453125" style="113" bestFit="1" customWidth="1"/>
    <col min="9204" max="9204" width="9.54296875" style="113" customWidth="1"/>
    <col min="9205" max="9205" width="9" style="113" customWidth="1"/>
    <col min="9206" max="9206" width="8.81640625" style="113" bestFit="1" customWidth="1"/>
    <col min="9207" max="9207" width="8.453125" style="113" bestFit="1" customWidth="1"/>
    <col min="9208" max="9208" width="8.81640625" style="113" bestFit="1" customWidth="1"/>
    <col min="9209" max="9209" width="8.453125" style="113" bestFit="1" customWidth="1"/>
    <col min="9210" max="9210" width="4.81640625" style="113" customWidth="1"/>
    <col min="9211" max="9211" width="9.54296875" style="113" customWidth="1"/>
    <col min="9212" max="9212" width="2.453125" style="113" customWidth="1"/>
    <col min="9213" max="9214" width="9.54296875" style="113" customWidth="1"/>
    <col min="9215" max="9215" width="1.54296875" style="113" customWidth="1"/>
    <col min="9216" max="9223" width="9.54296875" style="113" customWidth="1"/>
    <col min="9224" max="9225" width="11.453125" style="113"/>
    <col min="9226" max="9226" width="1.54296875" style="113" customWidth="1"/>
    <col min="9227" max="9228" width="11.453125" style="113"/>
    <col min="9229" max="9229" width="1.54296875" style="113" customWidth="1"/>
    <col min="9230" max="9445" width="11.453125" style="113"/>
    <col min="9446" max="9446" width="1.453125" style="113" customWidth="1"/>
    <col min="9447" max="9447" width="15.81640625" style="113" customWidth="1"/>
    <col min="9448" max="9448" width="49.81640625" style="113" bestFit="1" customWidth="1"/>
    <col min="9449" max="9449" width="8.81640625" style="113" bestFit="1" customWidth="1"/>
    <col min="9450" max="9450" width="8.81640625" style="113" customWidth="1"/>
    <col min="9451" max="9451" width="8.54296875" style="113" bestFit="1" customWidth="1"/>
    <col min="9452" max="9452" width="8.81640625" style="113" bestFit="1" customWidth="1"/>
    <col min="9453" max="9453" width="9.1796875" style="113" customWidth="1"/>
    <col min="9454" max="9454" width="2.453125" style="113" customWidth="1"/>
    <col min="9455" max="9455" width="9.54296875" style="113" customWidth="1"/>
    <col min="9456" max="9456" width="9.453125" style="113" customWidth="1"/>
    <col min="9457" max="9457" width="1.54296875" style="113" customWidth="1"/>
    <col min="9458" max="9458" width="8.81640625" style="113" bestFit="1" customWidth="1"/>
    <col min="9459" max="9459" width="8.453125" style="113" bestFit="1" customWidth="1"/>
    <col min="9460" max="9460" width="9.54296875" style="113" customWidth="1"/>
    <col min="9461" max="9461" width="9" style="113" customWidth="1"/>
    <col min="9462" max="9462" width="8.81640625" style="113" bestFit="1" customWidth="1"/>
    <col min="9463" max="9463" width="8.453125" style="113" bestFit="1" customWidth="1"/>
    <col min="9464" max="9464" width="8.81640625" style="113" bestFit="1" customWidth="1"/>
    <col min="9465" max="9465" width="8.453125" style="113" bestFit="1" customWidth="1"/>
    <col min="9466" max="9466" width="4.81640625" style="113" customWidth="1"/>
    <col min="9467" max="9467" width="9.54296875" style="113" customWidth="1"/>
    <col min="9468" max="9468" width="2.453125" style="113" customWidth="1"/>
    <col min="9469" max="9470" width="9.54296875" style="113" customWidth="1"/>
    <col min="9471" max="9471" width="1.54296875" style="113" customWidth="1"/>
    <col min="9472" max="9479" width="9.54296875" style="113" customWidth="1"/>
    <col min="9480" max="9481" width="11.453125" style="113"/>
    <col min="9482" max="9482" width="1.54296875" style="113" customWidth="1"/>
    <col min="9483" max="9484" width="11.453125" style="113"/>
    <col min="9485" max="9485" width="1.54296875" style="113" customWidth="1"/>
    <col min="9486" max="9701" width="11.453125" style="113"/>
    <col min="9702" max="9702" width="1.453125" style="113" customWidth="1"/>
    <col min="9703" max="9703" width="15.81640625" style="113" customWidth="1"/>
    <col min="9704" max="9704" width="49.81640625" style="113" bestFit="1" customWidth="1"/>
    <col min="9705" max="9705" width="8.81640625" style="113" bestFit="1" customWidth="1"/>
    <col min="9706" max="9706" width="8.81640625" style="113" customWidth="1"/>
    <col min="9707" max="9707" width="8.54296875" style="113" bestFit="1" customWidth="1"/>
    <col min="9708" max="9708" width="8.81640625" style="113" bestFit="1" customWidth="1"/>
    <col min="9709" max="9709" width="9.1796875" style="113" customWidth="1"/>
    <col min="9710" max="9710" width="2.453125" style="113" customWidth="1"/>
    <col min="9711" max="9711" width="9.54296875" style="113" customWidth="1"/>
    <col min="9712" max="9712" width="9.453125" style="113" customWidth="1"/>
    <col min="9713" max="9713" width="1.54296875" style="113" customWidth="1"/>
    <col min="9714" max="9714" width="8.81640625" style="113" bestFit="1" customWidth="1"/>
    <col min="9715" max="9715" width="8.453125" style="113" bestFit="1" customWidth="1"/>
    <col min="9716" max="9716" width="9.54296875" style="113" customWidth="1"/>
    <col min="9717" max="9717" width="9" style="113" customWidth="1"/>
    <col min="9718" max="9718" width="8.81640625" style="113" bestFit="1" customWidth="1"/>
    <col min="9719" max="9719" width="8.453125" style="113" bestFit="1" customWidth="1"/>
    <col min="9720" max="9720" width="8.81640625" style="113" bestFit="1" customWidth="1"/>
    <col min="9721" max="9721" width="8.453125" style="113" bestFit="1" customWidth="1"/>
    <col min="9722" max="9722" width="4.81640625" style="113" customWidth="1"/>
    <col min="9723" max="9723" width="9.54296875" style="113" customWidth="1"/>
    <col min="9724" max="9724" width="2.453125" style="113" customWidth="1"/>
    <col min="9725" max="9726" width="9.54296875" style="113" customWidth="1"/>
    <col min="9727" max="9727" width="1.54296875" style="113" customWidth="1"/>
    <col min="9728" max="9735" width="9.54296875" style="113" customWidth="1"/>
    <col min="9736" max="9737" width="11.453125" style="113"/>
    <col min="9738" max="9738" width="1.54296875" style="113" customWidth="1"/>
    <col min="9739" max="9740" width="11.453125" style="113"/>
    <col min="9741" max="9741" width="1.54296875" style="113" customWidth="1"/>
    <col min="9742" max="9957" width="11.453125" style="113"/>
    <col min="9958" max="9958" width="1.453125" style="113" customWidth="1"/>
    <col min="9959" max="9959" width="15.81640625" style="113" customWidth="1"/>
    <col min="9960" max="9960" width="49.81640625" style="113" bestFit="1" customWidth="1"/>
    <col min="9961" max="9961" width="8.81640625" style="113" bestFit="1" customWidth="1"/>
    <col min="9962" max="9962" width="8.81640625" style="113" customWidth="1"/>
    <col min="9963" max="9963" width="8.54296875" style="113" bestFit="1" customWidth="1"/>
    <col min="9964" max="9964" width="8.81640625" style="113" bestFit="1" customWidth="1"/>
    <col min="9965" max="9965" width="9.1796875" style="113" customWidth="1"/>
    <col min="9966" max="9966" width="2.453125" style="113" customWidth="1"/>
    <col min="9967" max="9967" width="9.54296875" style="113" customWidth="1"/>
    <col min="9968" max="9968" width="9.453125" style="113" customWidth="1"/>
    <col min="9969" max="9969" width="1.54296875" style="113" customWidth="1"/>
    <col min="9970" max="9970" width="8.81640625" style="113" bestFit="1" customWidth="1"/>
    <col min="9971" max="9971" width="8.453125" style="113" bestFit="1" customWidth="1"/>
    <col min="9972" max="9972" width="9.54296875" style="113" customWidth="1"/>
    <col min="9973" max="9973" width="9" style="113" customWidth="1"/>
    <col min="9974" max="9974" width="8.81640625" style="113" bestFit="1" customWidth="1"/>
    <col min="9975" max="9975" width="8.453125" style="113" bestFit="1" customWidth="1"/>
    <col min="9976" max="9976" width="8.81640625" style="113" bestFit="1" customWidth="1"/>
    <col min="9977" max="9977" width="8.453125" style="113" bestFit="1" customWidth="1"/>
    <col min="9978" max="9978" width="4.81640625" style="113" customWidth="1"/>
    <col min="9979" max="9979" width="9.54296875" style="113" customWidth="1"/>
    <col min="9980" max="9980" width="2.453125" style="113" customWidth="1"/>
    <col min="9981" max="9982" width="9.54296875" style="113" customWidth="1"/>
    <col min="9983" max="9983" width="1.54296875" style="113" customWidth="1"/>
    <col min="9984" max="9991" width="9.54296875" style="113" customWidth="1"/>
    <col min="9992" max="9993" width="11.453125" style="113"/>
    <col min="9994" max="9994" width="1.54296875" style="113" customWidth="1"/>
    <col min="9995" max="9996" width="11.453125" style="113"/>
    <col min="9997" max="9997" width="1.54296875" style="113" customWidth="1"/>
    <col min="9998" max="10213" width="11.453125" style="113"/>
    <col min="10214" max="10214" width="1.453125" style="113" customWidth="1"/>
    <col min="10215" max="10215" width="15.81640625" style="113" customWidth="1"/>
    <col min="10216" max="10216" width="49.81640625" style="113" bestFit="1" customWidth="1"/>
    <col min="10217" max="10217" width="8.81640625" style="113" bestFit="1" customWidth="1"/>
    <col min="10218" max="10218" width="8.81640625" style="113" customWidth="1"/>
    <col min="10219" max="10219" width="8.54296875" style="113" bestFit="1" customWidth="1"/>
    <col min="10220" max="10220" width="8.81640625" style="113" bestFit="1" customWidth="1"/>
    <col min="10221" max="10221" width="9.1796875" style="113" customWidth="1"/>
    <col min="10222" max="10222" width="2.453125" style="113" customWidth="1"/>
    <col min="10223" max="10223" width="9.54296875" style="113" customWidth="1"/>
    <col min="10224" max="10224" width="9.453125" style="113" customWidth="1"/>
    <col min="10225" max="10225" width="1.54296875" style="113" customWidth="1"/>
    <col min="10226" max="10226" width="8.81640625" style="113" bestFit="1" customWidth="1"/>
    <col min="10227" max="10227" width="8.453125" style="113" bestFit="1" customWidth="1"/>
    <col min="10228" max="10228" width="9.54296875" style="113" customWidth="1"/>
    <col min="10229" max="10229" width="9" style="113" customWidth="1"/>
    <col min="10230" max="10230" width="8.81640625" style="113" bestFit="1" customWidth="1"/>
    <col min="10231" max="10231" width="8.453125" style="113" bestFit="1" customWidth="1"/>
    <col min="10232" max="10232" width="8.81640625" style="113" bestFit="1" customWidth="1"/>
    <col min="10233" max="10233" width="8.453125" style="113" bestFit="1" customWidth="1"/>
    <col min="10234" max="10234" width="4.81640625" style="113" customWidth="1"/>
    <col min="10235" max="10235" width="9.54296875" style="113" customWidth="1"/>
    <col min="10236" max="10236" width="2.453125" style="113" customWidth="1"/>
    <col min="10237" max="10238" width="9.54296875" style="113" customWidth="1"/>
    <col min="10239" max="10239" width="1.54296875" style="113" customWidth="1"/>
    <col min="10240" max="10247" width="9.54296875" style="113" customWidth="1"/>
    <col min="10248" max="10249" width="11.453125" style="113"/>
    <col min="10250" max="10250" width="1.54296875" style="113" customWidth="1"/>
    <col min="10251" max="10252" width="11.453125" style="113"/>
    <col min="10253" max="10253" width="1.54296875" style="113" customWidth="1"/>
    <col min="10254" max="10469" width="11.453125" style="113"/>
    <col min="10470" max="10470" width="1.453125" style="113" customWidth="1"/>
    <col min="10471" max="10471" width="15.81640625" style="113" customWidth="1"/>
    <col min="10472" max="10472" width="49.81640625" style="113" bestFit="1" customWidth="1"/>
    <col min="10473" max="10473" width="8.81640625" style="113" bestFit="1" customWidth="1"/>
    <col min="10474" max="10474" width="8.81640625" style="113" customWidth="1"/>
    <col min="10475" max="10475" width="8.54296875" style="113" bestFit="1" customWidth="1"/>
    <col min="10476" max="10476" width="8.81640625" style="113" bestFit="1" customWidth="1"/>
    <col min="10477" max="10477" width="9.1796875" style="113" customWidth="1"/>
    <col min="10478" max="10478" width="2.453125" style="113" customWidth="1"/>
    <col min="10479" max="10479" width="9.54296875" style="113" customWidth="1"/>
    <col min="10480" max="10480" width="9.453125" style="113" customWidth="1"/>
    <col min="10481" max="10481" width="1.54296875" style="113" customWidth="1"/>
    <col min="10482" max="10482" width="8.81640625" style="113" bestFit="1" customWidth="1"/>
    <col min="10483" max="10483" width="8.453125" style="113" bestFit="1" customWidth="1"/>
    <col min="10484" max="10484" width="9.54296875" style="113" customWidth="1"/>
    <col min="10485" max="10485" width="9" style="113" customWidth="1"/>
    <col min="10486" max="10486" width="8.81640625" style="113" bestFit="1" customWidth="1"/>
    <col min="10487" max="10487" width="8.453125" style="113" bestFit="1" customWidth="1"/>
    <col min="10488" max="10488" width="8.81640625" style="113" bestFit="1" customWidth="1"/>
    <col min="10489" max="10489" width="8.453125" style="113" bestFit="1" customWidth="1"/>
    <col min="10490" max="10490" width="4.81640625" style="113" customWidth="1"/>
    <col min="10491" max="10491" width="9.54296875" style="113" customWidth="1"/>
    <col min="10492" max="10492" width="2.453125" style="113" customWidth="1"/>
    <col min="10493" max="10494" width="9.54296875" style="113" customWidth="1"/>
    <col min="10495" max="10495" width="1.54296875" style="113" customWidth="1"/>
    <col min="10496" max="10503" width="9.54296875" style="113" customWidth="1"/>
    <col min="10504" max="10505" width="11.453125" style="113"/>
    <col min="10506" max="10506" width="1.54296875" style="113" customWidth="1"/>
    <col min="10507" max="10508" width="11.453125" style="113"/>
    <col min="10509" max="10509" width="1.54296875" style="113" customWidth="1"/>
    <col min="10510" max="10725" width="11.453125" style="113"/>
    <col min="10726" max="10726" width="1.453125" style="113" customWidth="1"/>
    <col min="10727" max="10727" width="15.81640625" style="113" customWidth="1"/>
    <col min="10728" max="10728" width="49.81640625" style="113" bestFit="1" customWidth="1"/>
    <col min="10729" max="10729" width="8.81640625" style="113" bestFit="1" customWidth="1"/>
    <col min="10730" max="10730" width="8.81640625" style="113" customWidth="1"/>
    <col min="10731" max="10731" width="8.54296875" style="113" bestFit="1" customWidth="1"/>
    <col min="10732" max="10732" width="8.81640625" style="113" bestFit="1" customWidth="1"/>
    <col min="10733" max="10733" width="9.1796875" style="113" customWidth="1"/>
    <col min="10734" max="10734" width="2.453125" style="113" customWidth="1"/>
    <col min="10735" max="10735" width="9.54296875" style="113" customWidth="1"/>
    <col min="10736" max="10736" width="9.453125" style="113" customWidth="1"/>
    <col min="10737" max="10737" width="1.54296875" style="113" customWidth="1"/>
    <col min="10738" max="10738" width="8.81640625" style="113" bestFit="1" customWidth="1"/>
    <col min="10739" max="10739" width="8.453125" style="113" bestFit="1" customWidth="1"/>
    <col min="10740" max="10740" width="9.54296875" style="113" customWidth="1"/>
    <col min="10741" max="10741" width="9" style="113" customWidth="1"/>
    <col min="10742" max="10742" width="8.81640625" style="113" bestFit="1" customWidth="1"/>
    <col min="10743" max="10743" width="8.453125" style="113" bestFit="1" customWidth="1"/>
    <col min="10744" max="10744" width="8.81640625" style="113" bestFit="1" customWidth="1"/>
    <col min="10745" max="10745" width="8.453125" style="113" bestFit="1" customWidth="1"/>
    <col min="10746" max="10746" width="4.81640625" style="113" customWidth="1"/>
    <col min="10747" max="10747" width="9.54296875" style="113" customWidth="1"/>
    <col min="10748" max="10748" width="2.453125" style="113" customWidth="1"/>
    <col min="10749" max="10750" width="9.54296875" style="113" customWidth="1"/>
    <col min="10751" max="10751" width="1.54296875" style="113" customWidth="1"/>
    <col min="10752" max="10759" width="9.54296875" style="113" customWidth="1"/>
    <col min="10760" max="10761" width="11.453125" style="113"/>
    <col min="10762" max="10762" width="1.54296875" style="113" customWidth="1"/>
    <col min="10763" max="10764" width="11.453125" style="113"/>
    <col min="10765" max="10765" width="1.54296875" style="113" customWidth="1"/>
    <col min="10766" max="10981" width="11.453125" style="113"/>
    <col min="10982" max="10982" width="1.453125" style="113" customWidth="1"/>
    <col min="10983" max="10983" width="15.81640625" style="113" customWidth="1"/>
    <col min="10984" max="10984" width="49.81640625" style="113" bestFit="1" customWidth="1"/>
    <col min="10985" max="10985" width="8.81640625" style="113" bestFit="1" customWidth="1"/>
    <col min="10986" max="10986" width="8.81640625" style="113" customWidth="1"/>
    <col min="10987" max="10987" width="8.54296875" style="113" bestFit="1" customWidth="1"/>
    <col min="10988" max="10988" width="8.81640625" style="113" bestFit="1" customWidth="1"/>
    <col min="10989" max="10989" width="9.1796875" style="113" customWidth="1"/>
    <col min="10990" max="10990" width="2.453125" style="113" customWidth="1"/>
    <col min="10991" max="10991" width="9.54296875" style="113" customWidth="1"/>
    <col min="10992" max="10992" width="9.453125" style="113" customWidth="1"/>
    <col min="10993" max="10993" width="1.54296875" style="113" customWidth="1"/>
    <col min="10994" max="10994" width="8.81640625" style="113" bestFit="1" customWidth="1"/>
    <col min="10995" max="10995" width="8.453125" style="113" bestFit="1" customWidth="1"/>
    <col min="10996" max="10996" width="9.54296875" style="113" customWidth="1"/>
    <col min="10997" max="10997" width="9" style="113" customWidth="1"/>
    <col min="10998" max="10998" width="8.81640625" style="113" bestFit="1" customWidth="1"/>
    <col min="10999" max="10999" width="8.453125" style="113" bestFit="1" customWidth="1"/>
    <col min="11000" max="11000" width="8.81640625" style="113" bestFit="1" customWidth="1"/>
    <col min="11001" max="11001" width="8.453125" style="113" bestFit="1" customWidth="1"/>
    <col min="11002" max="11002" width="4.81640625" style="113" customWidth="1"/>
    <col min="11003" max="11003" width="9.54296875" style="113" customWidth="1"/>
    <col min="11004" max="11004" width="2.453125" style="113" customWidth="1"/>
    <col min="11005" max="11006" width="9.54296875" style="113" customWidth="1"/>
    <col min="11007" max="11007" width="1.54296875" style="113" customWidth="1"/>
    <col min="11008" max="11015" width="9.54296875" style="113" customWidth="1"/>
    <col min="11016" max="11017" width="11.453125" style="113"/>
    <col min="11018" max="11018" width="1.54296875" style="113" customWidth="1"/>
    <col min="11019" max="11020" width="11.453125" style="113"/>
    <col min="11021" max="11021" width="1.54296875" style="113" customWidth="1"/>
    <col min="11022" max="11237" width="11.453125" style="113"/>
    <col min="11238" max="11238" width="1.453125" style="113" customWidth="1"/>
    <col min="11239" max="11239" width="15.81640625" style="113" customWidth="1"/>
    <col min="11240" max="11240" width="49.81640625" style="113" bestFit="1" customWidth="1"/>
    <col min="11241" max="11241" width="8.81640625" style="113" bestFit="1" customWidth="1"/>
    <col min="11242" max="11242" width="8.81640625" style="113" customWidth="1"/>
    <col min="11243" max="11243" width="8.54296875" style="113" bestFit="1" customWidth="1"/>
    <col min="11244" max="11244" width="8.81640625" style="113" bestFit="1" customWidth="1"/>
    <col min="11245" max="11245" width="9.1796875" style="113" customWidth="1"/>
    <col min="11246" max="11246" width="2.453125" style="113" customWidth="1"/>
    <col min="11247" max="11247" width="9.54296875" style="113" customWidth="1"/>
    <col min="11248" max="11248" width="9.453125" style="113" customWidth="1"/>
    <col min="11249" max="11249" width="1.54296875" style="113" customWidth="1"/>
    <col min="11250" max="11250" width="8.81640625" style="113" bestFit="1" customWidth="1"/>
    <col min="11251" max="11251" width="8.453125" style="113" bestFit="1" customWidth="1"/>
    <col min="11252" max="11252" width="9.54296875" style="113" customWidth="1"/>
    <col min="11253" max="11253" width="9" style="113" customWidth="1"/>
    <col min="11254" max="11254" width="8.81640625" style="113" bestFit="1" customWidth="1"/>
    <col min="11255" max="11255" width="8.453125" style="113" bestFit="1" customWidth="1"/>
    <col min="11256" max="11256" width="8.81640625" style="113" bestFit="1" customWidth="1"/>
    <col min="11257" max="11257" width="8.453125" style="113" bestFit="1" customWidth="1"/>
    <col min="11258" max="11258" width="4.81640625" style="113" customWidth="1"/>
    <col min="11259" max="11259" width="9.54296875" style="113" customWidth="1"/>
    <col min="11260" max="11260" width="2.453125" style="113" customWidth="1"/>
    <col min="11261" max="11262" width="9.54296875" style="113" customWidth="1"/>
    <col min="11263" max="11263" width="1.54296875" style="113" customWidth="1"/>
    <col min="11264" max="11271" width="9.54296875" style="113" customWidth="1"/>
    <col min="11272" max="11273" width="11.453125" style="113"/>
    <col min="11274" max="11274" width="1.54296875" style="113" customWidth="1"/>
    <col min="11275" max="11276" width="11.453125" style="113"/>
    <col min="11277" max="11277" width="1.54296875" style="113" customWidth="1"/>
    <col min="11278" max="11493" width="11.453125" style="113"/>
    <col min="11494" max="11494" width="1.453125" style="113" customWidth="1"/>
    <col min="11495" max="11495" width="15.81640625" style="113" customWidth="1"/>
    <col min="11496" max="11496" width="49.81640625" style="113" bestFit="1" customWidth="1"/>
    <col min="11497" max="11497" width="8.81640625" style="113" bestFit="1" customWidth="1"/>
    <col min="11498" max="11498" width="8.81640625" style="113" customWidth="1"/>
    <col min="11499" max="11499" width="8.54296875" style="113" bestFit="1" customWidth="1"/>
    <col min="11500" max="11500" width="8.81640625" style="113" bestFit="1" customWidth="1"/>
    <col min="11501" max="11501" width="9.1796875" style="113" customWidth="1"/>
    <col min="11502" max="11502" width="2.453125" style="113" customWidth="1"/>
    <col min="11503" max="11503" width="9.54296875" style="113" customWidth="1"/>
    <col min="11504" max="11504" width="9.453125" style="113" customWidth="1"/>
    <col min="11505" max="11505" width="1.54296875" style="113" customWidth="1"/>
    <col min="11506" max="11506" width="8.81640625" style="113" bestFit="1" customWidth="1"/>
    <col min="11507" max="11507" width="8.453125" style="113" bestFit="1" customWidth="1"/>
    <col min="11508" max="11508" width="9.54296875" style="113" customWidth="1"/>
    <col min="11509" max="11509" width="9" style="113" customWidth="1"/>
    <col min="11510" max="11510" width="8.81640625" style="113" bestFit="1" customWidth="1"/>
    <col min="11511" max="11511" width="8.453125" style="113" bestFit="1" customWidth="1"/>
    <col min="11512" max="11512" width="8.81640625" style="113" bestFit="1" customWidth="1"/>
    <col min="11513" max="11513" width="8.453125" style="113" bestFit="1" customWidth="1"/>
    <col min="11514" max="11514" width="4.81640625" style="113" customWidth="1"/>
    <col min="11515" max="11515" width="9.54296875" style="113" customWidth="1"/>
    <col min="11516" max="11516" width="2.453125" style="113" customWidth="1"/>
    <col min="11517" max="11518" width="9.54296875" style="113" customWidth="1"/>
    <col min="11519" max="11519" width="1.54296875" style="113" customWidth="1"/>
    <col min="11520" max="11527" width="9.54296875" style="113" customWidth="1"/>
    <col min="11528" max="11529" width="11.453125" style="113"/>
    <col min="11530" max="11530" width="1.54296875" style="113" customWidth="1"/>
    <col min="11531" max="11532" width="11.453125" style="113"/>
    <col min="11533" max="11533" width="1.54296875" style="113" customWidth="1"/>
    <col min="11534" max="11749" width="11.453125" style="113"/>
    <col min="11750" max="11750" width="1.453125" style="113" customWidth="1"/>
    <col min="11751" max="11751" width="15.81640625" style="113" customWidth="1"/>
    <col min="11752" max="11752" width="49.81640625" style="113" bestFit="1" customWidth="1"/>
    <col min="11753" max="11753" width="8.81640625" style="113" bestFit="1" customWidth="1"/>
    <col min="11754" max="11754" width="8.81640625" style="113" customWidth="1"/>
    <col min="11755" max="11755" width="8.54296875" style="113" bestFit="1" customWidth="1"/>
    <col min="11756" max="11756" width="8.81640625" style="113" bestFit="1" customWidth="1"/>
    <col min="11757" max="11757" width="9.1796875" style="113" customWidth="1"/>
    <col min="11758" max="11758" width="2.453125" style="113" customWidth="1"/>
    <col min="11759" max="11759" width="9.54296875" style="113" customWidth="1"/>
    <col min="11760" max="11760" width="9.453125" style="113" customWidth="1"/>
    <col min="11761" max="11761" width="1.54296875" style="113" customWidth="1"/>
    <col min="11762" max="11762" width="8.81640625" style="113" bestFit="1" customWidth="1"/>
    <col min="11763" max="11763" width="8.453125" style="113" bestFit="1" customWidth="1"/>
    <col min="11764" max="11764" width="9.54296875" style="113" customWidth="1"/>
    <col min="11765" max="11765" width="9" style="113" customWidth="1"/>
    <col min="11766" max="11766" width="8.81640625" style="113" bestFit="1" customWidth="1"/>
    <col min="11767" max="11767" width="8.453125" style="113" bestFit="1" customWidth="1"/>
    <col min="11768" max="11768" width="8.81640625" style="113" bestFit="1" customWidth="1"/>
    <col min="11769" max="11769" width="8.453125" style="113" bestFit="1" customWidth="1"/>
    <col min="11770" max="11770" width="4.81640625" style="113" customWidth="1"/>
    <col min="11771" max="11771" width="9.54296875" style="113" customWidth="1"/>
    <col min="11772" max="11772" width="2.453125" style="113" customWidth="1"/>
    <col min="11773" max="11774" width="9.54296875" style="113" customWidth="1"/>
    <col min="11775" max="11775" width="1.54296875" style="113" customWidth="1"/>
    <col min="11776" max="11783" width="9.54296875" style="113" customWidth="1"/>
    <col min="11784" max="11785" width="11.453125" style="113"/>
    <col min="11786" max="11786" width="1.54296875" style="113" customWidth="1"/>
    <col min="11787" max="11788" width="11.453125" style="113"/>
    <col min="11789" max="11789" width="1.54296875" style="113" customWidth="1"/>
    <col min="11790" max="12005" width="11.453125" style="113"/>
    <col min="12006" max="12006" width="1.453125" style="113" customWidth="1"/>
    <col min="12007" max="12007" width="15.81640625" style="113" customWidth="1"/>
    <col min="12008" max="12008" width="49.81640625" style="113" bestFit="1" customWidth="1"/>
    <col min="12009" max="12009" width="8.81640625" style="113" bestFit="1" customWidth="1"/>
    <col min="12010" max="12010" width="8.81640625" style="113" customWidth="1"/>
    <col min="12011" max="12011" width="8.54296875" style="113" bestFit="1" customWidth="1"/>
    <col min="12012" max="12012" width="8.81640625" style="113" bestFit="1" customWidth="1"/>
    <col min="12013" max="12013" width="9.1796875" style="113" customWidth="1"/>
    <col min="12014" max="12014" width="2.453125" style="113" customWidth="1"/>
    <col min="12015" max="12015" width="9.54296875" style="113" customWidth="1"/>
    <col min="12016" max="12016" width="9.453125" style="113" customWidth="1"/>
    <col min="12017" max="12017" width="1.54296875" style="113" customWidth="1"/>
    <col min="12018" max="12018" width="8.81640625" style="113" bestFit="1" customWidth="1"/>
    <col min="12019" max="12019" width="8.453125" style="113" bestFit="1" customWidth="1"/>
    <col min="12020" max="12020" width="9.54296875" style="113" customWidth="1"/>
    <col min="12021" max="12021" width="9" style="113" customWidth="1"/>
    <col min="12022" max="12022" width="8.81640625" style="113" bestFit="1" customWidth="1"/>
    <col min="12023" max="12023" width="8.453125" style="113" bestFit="1" customWidth="1"/>
    <col min="12024" max="12024" width="8.81640625" style="113" bestFit="1" customWidth="1"/>
    <col min="12025" max="12025" width="8.453125" style="113" bestFit="1" customWidth="1"/>
    <col min="12026" max="12026" width="4.81640625" style="113" customWidth="1"/>
    <col min="12027" max="12027" width="9.54296875" style="113" customWidth="1"/>
    <col min="12028" max="12028" width="2.453125" style="113" customWidth="1"/>
    <col min="12029" max="12030" width="9.54296875" style="113" customWidth="1"/>
    <col min="12031" max="12031" width="1.54296875" style="113" customWidth="1"/>
    <col min="12032" max="12039" width="9.54296875" style="113" customWidth="1"/>
    <col min="12040" max="12041" width="11.453125" style="113"/>
    <col min="12042" max="12042" width="1.54296875" style="113" customWidth="1"/>
    <col min="12043" max="12044" width="11.453125" style="113"/>
    <col min="12045" max="12045" width="1.54296875" style="113" customWidth="1"/>
    <col min="12046" max="12261" width="11.453125" style="113"/>
    <col min="12262" max="12262" width="1.453125" style="113" customWidth="1"/>
    <col min="12263" max="12263" width="15.81640625" style="113" customWidth="1"/>
    <col min="12264" max="12264" width="49.81640625" style="113" bestFit="1" customWidth="1"/>
    <col min="12265" max="12265" width="8.81640625" style="113" bestFit="1" customWidth="1"/>
    <col min="12266" max="12266" width="8.81640625" style="113" customWidth="1"/>
    <col min="12267" max="12267" width="8.54296875" style="113" bestFit="1" customWidth="1"/>
    <col min="12268" max="12268" width="8.81640625" style="113" bestFit="1" customWidth="1"/>
    <col min="12269" max="12269" width="9.1796875" style="113" customWidth="1"/>
    <col min="12270" max="12270" width="2.453125" style="113" customWidth="1"/>
    <col min="12271" max="12271" width="9.54296875" style="113" customWidth="1"/>
    <col min="12272" max="12272" width="9.453125" style="113" customWidth="1"/>
    <col min="12273" max="12273" width="1.54296875" style="113" customWidth="1"/>
    <col min="12274" max="12274" width="8.81640625" style="113" bestFit="1" customWidth="1"/>
    <col min="12275" max="12275" width="8.453125" style="113" bestFit="1" customWidth="1"/>
    <col min="12276" max="12276" width="9.54296875" style="113" customWidth="1"/>
    <col min="12277" max="12277" width="9" style="113" customWidth="1"/>
    <col min="12278" max="12278" width="8.81640625" style="113" bestFit="1" customWidth="1"/>
    <col min="12279" max="12279" width="8.453125" style="113" bestFit="1" customWidth="1"/>
    <col min="12280" max="12280" width="8.81640625" style="113" bestFit="1" customWidth="1"/>
    <col min="12281" max="12281" width="8.453125" style="113" bestFit="1" customWidth="1"/>
    <col min="12282" max="12282" width="4.81640625" style="113" customWidth="1"/>
    <col min="12283" max="12283" width="9.54296875" style="113" customWidth="1"/>
    <col min="12284" max="12284" width="2.453125" style="113" customWidth="1"/>
    <col min="12285" max="12286" width="9.54296875" style="113" customWidth="1"/>
    <col min="12287" max="12287" width="1.54296875" style="113" customWidth="1"/>
    <col min="12288" max="12295" width="9.54296875" style="113" customWidth="1"/>
    <col min="12296" max="12297" width="11.453125" style="113"/>
    <col min="12298" max="12298" width="1.54296875" style="113" customWidth="1"/>
    <col min="12299" max="12300" width="11.453125" style="113"/>
    <col min="12301" max="12301" width="1.54296875" style="113" customWidth="1"/>
    <col min="12302" max="12517" width="11.453125" style="113"/>
    <col min="12518" max="12518" width="1.453125" style="113" customWidth="1"/>
    <col min="12519" max="12519" width="15.81640625" style="113" customWidth="1"/>
    <col min="12520" max="12520" width="49.81640625" style="113" bestFit="1" customWidth="1"/>
    <col min="12521" max="12521" width="8.81640625" style="113" bestFit="1" customWidth="1"/>
    <col min="12522" max="12522" width="8.81640625" style="113" customWidth="1"/>
    <col min="12523" max="12523" width="8.54296875" style="113" bestFit="1" customWidth="1"/>
    <col min="12524" max="12524" width="8.81640625" style="113" bestFit="1" customWidth="1"/>
    <col min="12525" max="12525" width="9.1796875" style="113" customWidth="1"/>
    <col min="12526" max="12526" width="2.453125" style="113" customWidth="1"/>
    <col min="12527" max="12527" width="9.54296875" style="113" customWidth="1"/>
    <col min="12528" max="12528" width="9.453125" style="113" customWidth="1"/>
    <col min="12529" max="12529" width="1.54296875" style="113" customWidth="1"/>
    <col min="12530" max="12530" width="8.81640625" style="113" bestFit="1" customWidth="1"/>
    <col min="12531" max="12531" width="8.453125" style="113" bestFit="1" customWidth="1"/>
    <col min="12532" max="12532" width="9.54296875" style="113" customWidth="1"/>
    <col min="12533" max="12533" width="9" style="113" customWidth="1"/>
    <col min="12534" max="12534" width="8.81640625" style="113" bestFit="1" customWidth="1"/>
    <col min="12535" max="12535" width="8.453125" style="113" bestFit="1" customWidth="1"/>
    <col min="12536" max="12536" width="8.81640625" style="113" bestFit="1" customWidth="1"/>
    <col min="12537" max="12537" width="8.453125" style="113" bestFit="1" customWidth="1"/>
    <col min="12538" max="12538" width="4.81640625" style="113" customWidth="1"/>
    <col min="12539" max="12539" width="9.54296875" style="113" customWidth="1"/>
    <col min="12540" max="12540" width="2.453125" style="113" customWidth="1"/>
    <col min="12541" max="12542" width="9.54296875" style="113" customWidth="1"/>
    <col min="12543" max="12543" width="1.54296875" style="113" customWidth="1"/>
    <col min="12544" max="12551" width="9.54296875" style="113" customWidth="1"/>
    <col min="12552" max="12553" width="11.453125" style="113"/>
    <col min="12554" max="12554" width="1.54296875" style="113" customWidth="1"/>
    <col min="12555" max="12556" width="11.453125" style="113"/>
    <col min="12557" max="12557" width="1.54296875" style="113" customWidth="1"/>
    <col min="12558" max="12773" width="11.453125" style="113"/>
    <col min="12774" max="12774" width="1.453125" style="113" customWidth="1"/>
    <col min="12775" max="12775" width="15.81640625" style="113" customWidth="1"/>
    <col min="12776" max="12776" width="49.81640625" style="113" bestFit="1" customWidth="1"/>
    <col min="12777" max="12777" width="8.81640625" style="113" bestFit="1" customWidth="1"/>
    <col min="12778" max="12778" width="8.81640625" style="113" customWidth="1"/>
    <col min="12779" max="12779" width="8.54296875" style="113" bestFit="1" customWidth="1"/>
    <col min="12780" max="12780" width="8.81640625" style="113" bestFit="1" customWidth="1"/>
    <col min="12781" max="12781" width="9.1796875" style="113" customWidth="1"/>
    <col min="12782" max="12782" width="2.453125" style="113" customWidth="1"/>
    <col min="12783" max="12783" width="9.54296875" style="113" customWidth="1"/>
    <col min="12784" max="12784" width="9.453125" style="113" customWidth="1"/>
    <col min="12785" max="12785" width="1.54296875" style="113" customWidth="1"/>
    <col min="12786" max="12786" width="8.81640625" style="113" bestFit="1" customWidth="1"/>
    <col min="12787" max="12787" width="8.453125" style="113" bestFit="1" customWidth="1"/>
    <col min="12788" max="12788" width="9.54296875" style="113" customWidth="1"/>
    <col min="12789" max="12789" width="9" style="113" customWidth="1"/>
    <col min="12790" max="12790" width="8.81640625" style="113" bestFit="1" customWidth="1"/>
    <col min="12791" max="12791" width="8.453125" style="113" bestFit="1" customWidth="1"/>
    <col min="12792" max="12792" width="8.81640625" style="113" bestFit="1" customWidth="1"/>
    <col min="12793" max="12793" width="8.453125" style="113" bestFit="1" customWidth="1"/>
    <col min="12794" max="12794" width="4.81640625" style="113" customWidth="1"/>
    <col min="12795" max="12795" width="9.54296875" style="113" customWidth="1"/>
    <col min="12796" max="12796" width="2.453125" style="113" customWidth="1"/>
    <col min="12797" max="12798" width="9.54296875" style="113" customWidth="1"/>
    <col min="12799" max="12799" width="1.54296875" style="113" customWidth="1"/>
    <col min="12800" max="12807" width="9.54296875" style="113" customWidth="1"/>
    <col min="12808" max="12809" width="11.453125" style="113"/>
    <col min="12810" max="12810" width="1.54296875" style="113" customWidth="1"/>
    <col min="12811" max="12812" width="11.453125" style="113"/>
    <col min="12813" max="12813" width="1.54296875" style="113" customWidth="1"/>
    <col min="12814" max="13029" width="11.453125" style="113"/>
    <col min="13030" max="13030" width="1.453125" style="113" customWidth="1"/>
    <col min="13031" max="13031" width="15.81640625" style="113" customWidth="1"/>
    <col min="13032" max="13032" width="49.81640625" style="113" bestFit="1" customWidth="1"/>
    <col min="13033" max="13033" width="8.81640625" style="113" bestFit="1" customWidth="1"/>
    <col min="13034" max="13034" width="8.81640625" style="113" customWidth="1"/>
    <col min="13035" max="13035" width="8.54296875" style="113" bestFit="1" customWidth="1"/>
    <col min="13036" max="13036" width="8.81640625" style="113" bestFit="1" customWidth="1"/>
    <col min="13037" max="13037" width="9.1796875" style="113" customWidth="1"/>
    <col min="13038" max="13038" width="2.453125" style="113" customWidth="1"/>
    <col min="13039" max="13039" width="9.54296875" style="113" customWidth="1"/>
    <col min="13040" max="13040" width="9.453125" style="113" customWidth="1"/>
    <col min="13041" max="13041" width="1.54296875" style="113" customWidth="1"/>
    <col min="13042" max="13042" width="8.81640625" style="113" bestFit="1" customWidth="1"/>
    <col min="13043" max="13043" width="8.453125" style="113" bestFit="1" customWidth="1"/>
    <col min="13044" max="13044" width="9.54296875" style="113" customWidth="1"/>
    <col min="13045" max="13045" width="9" style="113" customWidth="1"/>
    <col min="13046" max="13046" width="8.81640625" style="113" bestFit="1" customWidth="1"/>
    <col min="13047" max="13047" width="8.453125" style="113" bestFit="1" customWidth="1"/>
    <col min="13048" max="13048" width="8.81640625" style="113" bestFit="1" customWidth="1"/>
    <col min="13049" max="13049" width="8.453125" style="113" bestFit="1" customWidth="1"/>
    <col min="13050" max="13050" width="4.81640625" style="113" customWidth="1"/>
    <col min="13051" max="13051" width="9.54296875" style="113" customWidth="1"/>
    <col min="13052" max="13052" width="2.453125" style="113" customWidth="1"/>
    <col min="13053" max="13054" width="9.54296875" style="113" customWidth="1"/>
    <col min="13055" max="13055" width="1.54296875" style="113" customWidth="1"/>
    <col min="13056" max="13063" width="9.54296875" style="113" customWidth="1"/>
    <col min="13064" max="13065" width="11.453125" style="113"/>
    <col min="13066" max="13066" width="1.54296875" style="113" customWidth="1"/>
    <col min="13067" max="13068" width="11.453125" style="113"/>
    <col min="13069" max="13069" width="1.54296875" style="113" customWidth="1"/>
    <col min="13070" max="13285" width="11.453125" style="113"/>
    <col min="13286" max="13286" width="1.453125" style="113" customWidth="1"/>
    <col min="13287" max="13287" width="15.81640625" style="113" customWidth="1"/>
    <col min="13288" max="13288" width="49.81640625" style="113" bestFit="1" customWidth="1"/>
    <col min="13289" max="13289" width="8.81640625" style="113" bestFit="1" customWidth="1"/>
    <col min="13290" max="13290" width="8.81640625" style="113" customWidth="1"/>
    <col min="13291" max="13291" width="8.54296875" style="113" bestFit="1" customWidth="1"/>
    <col min="13292" max="13292" width="8.81640625" style="113" bestFit="1" customWidth="1"/>
    <col min="13293" max="13293" width="9.1796875" style="113" customWidth="1"/>
    <col min="13294" max="13294" width="2.453125" style="113" customWidth="1"/>
    <col min="13295" max="13295" width="9.54296875" style="113" customWidth="1"/>
    <col min="13296" max="13296" width="9.453125" style="113" customWidth="1"/>
    <col min="13297" max="13297" width="1.54296875" style="113" customWidth="1"/>
    <col min="13298" max="13298" width="8.81640625" style="113" bestFit="1" customWidth="1"/>
    <col min="13299" max="13299" width="8.453125" style="113" bestFit="1" customWidth="1"/>
    <col min="13300" max="13300" width="9.54296875" style="113" customWidth="1"/>
    <col min="13301" max="13301" width="9" style="113" customWidth="1"/>
    <col min="13302" max="13302" width="8.81640625" style="113" bestFit="1" customWidth="1"/>
    <col min="13303" max="13303" width="8.453125" style="113" bestFit="1" customWidth="1"/>
    <col min="13304" max="13304" width="8.81640625" style="113" bestFit="1" customWidth="1"/>
    <col min="13305" max="13305" width="8.453125" style="113" bestFit="1" customWidth="1"/>
    <col min="13306" max="13306" width="4.81640625" style="113" customWidth="1"/>
    <col min="13307" max="13307" width="9.54296875" style="113" customWidth="1"/>
    <col min="13308" max="13308" width="2.453125" style="113" customWidth="1"/>
    <col min="13309" max="13310" width="9.54296875" style="113" customWidth="1"/>
    <col min="13311" max="13311" width="1.54296875" style="113" customWidth="1"/>
    <col min="13312" max="13319" width="9.54296875" style="113" customWidth="1"/>
    <col min="13320" max="13321" width="11.453125" style="113"/>
    <col min="13322" max="13322" width="1.54296875" style="113" customWidth="1"/>
    <col min="13323" max="13324" width="11.453125" style="113"/>
    <col min="13325" max="13325" width="1.54296875" style="113" customWidth="1"/>
    <col min="13326" max="13541" width="11.453125" style="113"/>
    <col min="13542" max="13542" width="1.453125" style="113" customWidth="1"/>
    <col min="13543" max="13543" width="15.81640625" style="113" customWidth="1"/>
    <col min="13544" max="13544" width="49.81640625" style="113" bestFit="1" customWidth="1"/>
    <col min="13545" max="13545" width="8.81640625" style="113" bestFit="1" customWidth="1"/>
    <col min="13546" max="13546" width="8.81640625" style="113" customWidth="1"/>
    <col min="13547" max="13547" width="8.54296875" style="113" bestFit="1" customWidth="1"/>
    <col min="13548" max="13548" width="8.81640625" style="113" bestFit="1" customWidth="1"/>
    <col min="13549" max="13549" width="9.1796875" style="113" customWidth="1"/>
    <col min="13550" max="13550" width="2.453125" style="113" customWidth="1"/>
    <col min="13551" max="13551" width="9.54296875" style="113" customWidth="1"/>
    <col min="13552" max="13552" width="9.453125" style="113" customWidth="1"/>
    <col min="13553" max="13553" width="1.54296875" style="113" customWidth="1"/>
    <col min="13554" max="13554" width="8.81640625" style="113" bestFit="1" customWidth="1"/>
    <col min="13555" max="13555" width="8.453125" style="113" bestFit="1" customWidth="1"/>
    <col min="13556" max="13556" width="9.54296875" style="113" customWidth="1"/>
    <col min="13557" max="13557" width="9" style="113" customWidth="1"/>
    <col min="13558" max="13558" width="8.81640625" style="113" bestFit="1" customWidth="1"/>
    <col min="13559" max="13559" width="8.453125" style="113" bestFit="1" customWidth="1"/>
    <col min="13560" max="13560" width="8.81640625" style="113" bestFit="1" customWidth="1"/>
    <col min="13561" max="13561" width="8.453125" style="113" bestFit="1" customWidth="1"/>
    <col min="13562" max="13562" width="4.81640625" style="113" customWidth="1"/>
    <col min="13563" max="13563" width="9.54296875" style="113" customWidth="1"/>
    <col min="13564" max="13564" width="2.453125" style="113" customWidth="1"/>
    <col min="13565" max="13566" width="9.54296875" style="113" customWidth="1"/>
    <col min="13567" max="13567" width="1.54296875" style="113" customWidth="1"/>
    <col min="13568" max="13575" width="9.54296875" style="113" customWidth="1"/>
    <col min="13576" max="13577" width="11.453125" style="113"/>
    <col min="13578" max="13578" width="1.54296875" style="113" customWidth="1"/>
    <col min="13579" max="13580" width="11.453125" style="113"/>
    <col min="13581" max="13581" width="1.54296875" style="113" customWidth="1"/>
    <col min="13582" max="13797" width="11.453125" style="113"/>
    <col min="13798" max="13798" width="1.453125" style="113" customWidth="1"/>
    <col min="13799" max="13799" width="15.81640625" style="113" customWidth="1"/>
    <col min="13800" max="13800" width="49.81640625" style="113" bestFit="1" customWidth="1"/>
    <col min="13801" max="13801" width="8.81640625" style="113" bestFit="1" customWidth="1"/>
    <col min="13802" max="13802" width="8.81640625" style="113" customWidth="1"/>
    <col min="13803" max="13803" width="8.54296875" style="113" bestFit="1" customWidth="1"/>
    <col min="13804" max="13804" width="8.81640625" style="113" bestFit="1" customWidth="1"/>
    <col min="13805" max="13805" width="9.1796875" style="113" customWidth="1"/>
    <col min="13806" max="13806" width="2.453125" style="113" customWidth="1"/>
    <col min="13807" max="13807" width="9.54296875" style="113" customWidth="1"/>
    <col min="13808" max="13808" width="9.453125" style="113" customWidth="1"/>
    <col min="13809" max="13809" width="1.54296875" style="113" customWidth="1"/>
    <col min="13810" max="13810" width="8.81640625" style="113" bestFit="1" customWidth="1"/>
    <col min="13811" max="13811" width="8.453125" style="113" bestFit="1" customWidth="1"/>
    <col min="13812" max="13812" width="9.54296875" style="113" customWidth="1"/>
    <col min="13813" max="13813" width="9" style="113" customWidth="1"/>
    <col min="13814" max="13814" width="8.81640625" style="113" bestFit="1" customWidth="1"/>
    <col min="13815" max="13815" width="8.453125" style="113" bestFit="1" customWidth="1"/>
    <col min="13816" max="13816" width="8.81640625" style="113" bestFit="1" customWidth="1"/>
    <col min="13817" max="13817" width="8.453125" style="113" bestFit="1" customWidth="1"/>
    <col min="13818" max="13818" width="4.81640625" style="113" customWidth="1"/>
    <col min="13819" max="13819" width="9.54296875" style="113" customWidth="1"/>
    <col min="13820" max="13820" width="2.453125" style="113" customWidth="1"/>
    <col min="13821" max="13822" width="9.54296875" style="113" customWidth="1"/>
    <col min="13823" max="13823" width="1.54296875" style="113" customWidth="1"/>
    <col min="13824" max="13831" width="9.54296875" style="113" customWidth="1"/>
    <col min="13832" max="13833" width="11.453125" style="113"/>
    <col min="13834" max="13834" width="1.54296875" style="113" customWidth="1"/>
    <col min="13835" max="13836" width="11.453125" style="113"/>
    <col min="13837" max="13837" width="1.54296875" style="113" customWidth="1"/>
    <col min="13838" max="14053" width="11.453125" style="113"/>
    <col min="14054" max="14054" width="1.453125" style="113" customWidth="1"/>
    <col min="14055" max="14055" width="15.81640625" style="113" customWidth="1"/>
    <col min="14056" max="14056" width="49.81640625" style="113" bestFit="1" customWidth="1"/>
    <col min="14057" max="14057" width="8.81640625" style="113" bestFit="1" customWidth="1"/>
    <col min="14058" max="14058" width="8.81640625" style="113" customWidth="1"/>
    <col min="14059" max="14059" width="8.54296875" style="113" bestFit="1" customWidth="1"/>
    <col min="14060" max="14060" width="8.81640625" style="113" bestFit="1" customWidth="1"/>
    <col min="14061" max="14061" width="9.1796875" style="113" customWidth="1"/>
    <col min="14062" max="14062" width="2.453125" style="113" customWidth="1"/>
    <col min="14063" max="14063" width="9.54296875" style="113" customWidth="1"/>
    <col min="14064" max="14064" width="9.453125" style="113" customWidth="1"/>
    <col min="14065" max="14065" width="1.54296875" style="113" customWidth="1"/>
    <col min="14066" max="14066" width="8.81640625" style="113" bestFit="1" customWidth="1"/>
    <col min="14067" max="14067" width="8.453125" style="113" bestFit="1" customWidth="1"/>
    <col min="14068" max="14068" width="9.54296875" style="113" customWidth="1"/>
    <col min="14069" max="14069" width="9" style="113" customWidth="1"/>
    <col min="14070" max="14070" width="8.81640625" style="113" bestFit="1" customWidth="1"/>
    <col min="14071" max="14071" width="8.453125" style="113" bestFit="1" customWidth="1"/>
    <col min="14072" max="14072" width="8.81640625" style="113" bestFit="1" customWidth="1"/>
    <col min="14073" max="14073" width="8.453125" style="113" bestFit="1" customWidth="1"/>
    <col min="14074" max="14074" width="4.81640625" style="113" customWidth="1"/>
    <col min="14075" max="14075" width="9.54296875" style="113" customWidth="1"/>
    <col min="14076" max="14076" width="2.453125" style="113" customWidth="1"/>
    <col min="14077" max="14078" width="9.54296875" style="113" customWidth="1"/>
    <col min="14079" max="14079" width="1.54296875" style="113" customWidth="1"/>
    <col min="14080" max="14087" width="9.54296875" style="113" customWidth="1"/>
    <col min="14088" max="14089" width="11.453125" style="113"/>
    <col min="14090" max="14090" width="1.54296875" style="113" customWidth="1"/>
    <col min="14091" max="14092" width="11.453125" style="113"/>
    <col min="14093" max="14093" width="1.54296875" style="113" customWidth="1"/>
    <col min="14094" max="14309" width="11.453125" style="113"/>
    <col min="14310" max="14310" width="1.453125" style="113" customWidth="1"/>
    <col min="14311" max="14311" width="15.81640625" style="113" customWidth="1"/>
    <col min="14312" max="14312" width="49.81640625" style="113" bestFit="1" customWidth="1"/>
    <col min="14313" max="14313" width="8.81640625" style="113" bestFit="1" customWidth="1"/>
    <col min="14314" max="14314" width="8.81640625" style="113" customWidth="1"/>
    <col min="14315" max="14315" width="8.54296875" style="113" bestFit="1" customWidth="1"/>
    <col min="14316" max="14316" width="8.81640625" style="113" bestFit="1" customWidth="1"/>
    <col min="14317" max="14317" width="9.1796875" style="113" customWidth="1"/>
    <col min="14318" max="14318" width="2.453125" style="113" customWidth="1"/>
    <col min="14319" max="14319" width="9.54296875" style="113" customWidth="1"/>
    <col min="14320" max="14320" width="9.453125" style="113" customWidth="1"/>
    <col min="14321" max="14321" width="1.54296875" style="113" customWidth="1"/>
    <col min="14322" max="14322" width="8.81640625" style="113" bestFit="1" customWidth="1"/>
    <col min="14323" max="14323" width="8.453125" style="113" bestFit="1" customWidth="1"/>
    <col min="14324" max="14324" width="9.54296875" style="113" customWidth="1"/>
    <col min="14325" max="14325" width="9" style="113" customWidth="1"/>
    <col min="14326" max="14326" width="8.81640625" style="113" bestFit="1" customWidth="1"/>
    <col min="14327" max="14327" width="8.453125" style="113" bestFit="1" customWidth="1"/>
    <col min="14328" max="14328" width="8.81640625" style="113" bestFit="1" customWidth="1"/>
    <col min="14329" max="14329" width="8.453125" style="113" bestFit="1" customWidth="1"/>
    <col min="14330" max="14330" width="4.81640625" style="113" customWidth="1"/>
    <col min="14331" max="14331" width="9.54296875" style="113" customWidth="1"/>
    <col min="14332" max="14332" width="2.453125" style="113" customWidth="1"/>
    <col min="14333" max="14334" width="9.54296875" style="113" customWidth="1"/>
    <col min="14335" max="14335" width="1.54296875" style="113" customWidth="1"/>
    <col min="14336" max="14343" width="9.54296875" style="113" customWidth="1"/>
    <col min="14344" max="14345" width="11.453125" style="113"/>
    <col min="14346" max="14346" width="1.54296875" style="113" customWidth="1"/>
    <col min="14347" max="14348" width="11.453125" style="113"/>
    <col min="14349" max="14349" width="1.54296875" style="113" customWidth="1"/>
    <col min="14350" max="14565" width="11.453125" style="113"/>
    <col min="14566" max="14566" width="1.453125" style="113" customWidth="1"/>
    <col min="14567" max="14567" width="15.81640625" style="113" customWidth="1"/>
    <col min="14568" max="14568" width="49.81640625" style="113" bestFit="1" customWidth="1"/>
    <col min="14569" max="14569" width="8.81640625" style="113" bestFit="1" customWidth="1"/>
    <col min="14570" max="14570" width="8.81640625" style="113" customWidth="1"/>
    <col min="14571" max="14571" width="8.54296875" style="113" bestFit="1" customWidth="1"/>
    <col min="14572" max="14572" width="8.81640625" style="113" bestFit="1" customWidth="1"/>
    <col min="14573" max="14573" width="9.1796875" style="113" customWidth="1"/>
    <col min="14574" max="14574" width="2.453125" style="113" customWidth="1"/>
    <col min="14575" max="14575" width="9.54296875" style="113" customWidth="1"/>
    <col min="14576" max="14576" width="9.453125" style="113" customWidth="1"/>
    <col min="14577" max="14577" width="1.54296875" style="113" customWidth="1"/>
    <col min="14578" max="14578" width="8.81640625" style="113" bestFit="1" customWidth="1"/>
    <col min="14579" max="14579" width="8.453125" style="113" bestFit="1" customWidth="1"/>
    <col min="14580" max="14580" width="9.54296875" style="113" customWidth="1"/>
    <col min="14581" max="14581" width="9" style="113" customWidth="1"/>
    <col min="14582" max="14582" width="8.81640625" style="113" bestFit="1" customWidth="1"/>
    <col min="14583" max="14583" width="8.453125" style="113" bestFit="1" customWidth="1"/>
    <col min="14584" max="14584" width="8.81640625" style="113" bestFit="1" customWidth="1"/>
    <col min="14585" max="14585" width="8.453125" style="113" bestFit="1" customWidth="1"/>
    <col min="14586" max="14586" width="4.81640625" style="113" customWidth="1"/>
    <col min="14587" max="14587" width="9.54296875" style="113" customWidth="1"/>
    <col min="14588" max="14588" width="2.453125" style="113" customWidth="1"/>
    <col min="14589" max="14590" width="9.54296875" style="113" customWidth="1"/>
    <col min="14591" max="14591" width="1.54296875" style="113" customWidth="1"/>
    <col min="14592" max="14599" width="9.54296875" style="113" customWidth="1"/>
    <col min="14600" max="14601" width="11.453125" style="113"/>
    <col min="14602" max="14602" width="1.54296875" style="113" customWidth="1"/>
    <col min="14603" max="14604" width="11.453125" style="113"/>
    <col min="14605" max="14605" width="1.54296875" style="113" customWidth="1"/>
    <col min="14606" max="14821" width="11.453125" style="113"/>
    <col min="14822" max="14822" width="1.453125" style="113" customWidth="1"/>
    <col min="14823" max="14823" width="15.81640625" style="113" customWidth="1"/>
    <col min="14824" max="14824" width="49.81640625" style="113" bestFit="1" customWidth="1"/>
    <col min="14825" max="14825" width="8.81640625" style="113" bestFit="1" customWidth="1"/>
    <col min="14826" max="14826" width="8.81640625" style="113" customWidth="1"/>
    <col min="14827" max="14827" width="8.54296875" style="113" bestFit="1" customWidth="1"/>
    <col min="14828" max="14828" width="8.81640625" style="113" bestFit="1" customWidth="1"/>
    <col min="14829" max="14829" width="9.1796875" style="113" customWidth="1"/>
    <col min="14830" max="14830" width="2.453125" style="113" customWidth="1"/>
    <col min="14831" max="14831" width="9.54296875" style="113" customWidth="1"/>
    <col min="14832" max="14832" width="9.453125" style="113" customWidth="1"/>
    <col min="14833" max="14833" width="1.54296875" style="113" customWidth="1"/>
    <col min="14834" max="14834" width="8.81640625" style="113" bestFit="1" customWidth="1"/>
    <col min="14835" max="14835" width="8.453125" style="113" bestFit="1" customWidth="1"/>
    <col min="14836" max="14836" width="9.54296875" style="113" customWidth="1"/>
    <col min="14837" max="14837" width="9" style="113" customWidth="1"/>
    <col min="14838" max="14838" width="8.81640625" style="113" bestFit="1" customWidth="1"/>
    <col min="14839" max="14839" width="8.453125" style="113" bestFit="1" customWidth="1"/>
    <col min="14840" max="14840" width="8.81640625" style="113" bestFit="1" customWidth="1"/>
    <col min="14841" max="14841" width="8.453125" style="113" bestFit="1" customWidth="1"/>
    <col min="14842" max="14842" width="4.81640625" style="113" customWidth="1"/>
    <col min="14843" max="14843" width="9.54296875" style="113" customWidth="1"/>
    <col min="14844" max="14844" width="2.453125" style="113" customWidth="1"/>
    <col min="14845" max="14846" width="9.54296875" style="113" customWidth="1"/>
    <col min="14847" max="14847" width="1.54296875" style="113" customWidth="1"/>
    <col min="14848" max="14855" width="9.54296875" style="113" customWidth="1"/>
    <col min="14856" max="14857" width="11.453125" style="113"/>
    <col min="14858" max="14858" width="1.54296875" style="113" customWidth="1"/>
    <col min="14859" max="14860" width="11.453125" style="113"/>
    <col min="14861" max="14861" width="1.54296875" style="113" customWidth="1"/>
    <col min="14862" max="15077" width="11.453125" style="113"/>
    <col min="15078" max="15078" width="1.453125" style="113" customWidth="1"/>
    <col min="15079" max="15079" width="15.81640625" style="113" customWidth="1"/>
    <col min="15080" max="15080" width="49.81640625" style="113" bestFit="1" customWidth="1"/>
    <col min="15081" max="15081" width="8.81640625" style="113" bestFit="1" customWidth="1"/>
    <col min="15082" max="15082" width="8.81640625" style="113" customWidth="1"/>
    <col min="15083" max="15083" width="8.54296875" style="113" bestFit="1" customWidth="1"/>
    <col min="15084" max="15084" width="8.81640625" style="113" bestFit="1" customWidth="1"/>
    <col min="15085" max="15085" width="9.1796875" style="113" customWidth="1"/>
    <col min="15086" max="15086" width="2.453125" style="113" customWidth="1"/>
    <col min="15087" max="15087" width="9.54296875" style="113" customWidth="1"/>
    <col min="15088" max="15088" width="9.453125" style="113" customWidth="1"/>
    <col min="15089" max="15089" width="1.54296875" style="113" customWidth="1"/>
    <col min="15090" max="15090" width="8.81640625" style="113" bestFit="1" customWidth="1"/>
    <col min="15091" max="15091" width="8.453125" style="113" bestFit="1" customWidth="1"/>
    <col min="15092" max="15092" width="9.54296875" style="113" customWidth="1"/>
    <col min="15093" max="15093" width="9" style="113" customWidth="1"/>
    <col min="15094" max="15094" width="8.81640625" style="113" bestFit="1" customWidth="1"/>
    <col min="15095" max="15095" width="8.453125" style="113" bestFit="1" customWidth="1"/>
    <col min="15096" max="15096" width="8.81640625" style="113" bestFit="1" customWidth="1"/>
    <col min="15097" max="15097" width="8.453125" style="113" bestFit="1" customWidth="1"/>
    <col min="15098" max="15098" width="4.81640625" style="113" customWidth="1"/>
    <col min="15099" max="15099" width="9.54296875" style="113" customWidth="1"/>
    <col min="15100" max="15100" width="2.453125" style="113" customWidth="1"/>
    <col min="15101" max="15102" width="9.54296875" style="113" customWidth="1"/>
    <col min="15103" max="15103" width="1.54296875" style="113" customWidth="1"/>
    <col min="15104" max="15111" width="9.54296875" style="113" customWidth="1"/>
    <col min="15112" max="15113" width="11.453125" style="113"/>
    <col min="15114" max="15114" width="1.54296875" style="113" customWidth="1"/>
    <col min="15115" max="15116" width="11.453125" style="113"/>
    <col min="15117" max="15117" width="1.54296875" style="113" customWidth="1"/>
    <col min="15118" max="15333" width="11.453125" style="113"/>
    <col min="15334" max="15334" width="1.453125" style="113" customWidth="1"/>
    <col min="15335" max="15335" width="15.81640625" style="113" customWidth="1"/>
    <col min="15336" max="15336" width="49.81640625" style="113" bestFit="1" customWidth="1"/>
    <col min="15337" max="15337" width="8.81640625" style="113" bestFit="1" customWidth="1"/>
    <col min="15338" max="15338" width="8.81640625" style="113" customWidth="1"/>
    <col min="15339" max="15339" width="8.54296875" style="113" bestFit="1" customWidth="1"/>
    <col min="15340" max="15340" width="8.81640625" style="113" bestFit="1" customWidth="1"/>
    <col min="15341" max="15341" width="9.1796875" style="113" customWidth="1"/>
    <col min="15342" max="15342" width="2.453125" style="113" customWidth="1"/>
    <col min="15343" max="15343" width="9.54296875" style="113" customWidth="1"/>
    <col min="15344" max="15344" width="9.453125" style="113" customWidth="1"/>
    <col min="15345" max="15345" width="1.54296875" style="113" customWidth="1"/>
    <col min="15346" max="15346" width="8.81640625" style="113" bestFit="1" customWidth="1"/>
    <col min="15347" max="15347" width="8.453125" style="113" bestFit="1" customWidth="1"/>
    <col min="15348" max="15348" width="9.54296875" style="113" customWidth="1"/>
    <col min="15349" max="15349" width="9" style="113" customWidth="1"/>
    <col min="15350" max="15350" width="8.81640625" style="113" bestFit="1" customWidth="1"/>
    <col min="15351" max="15351" width="8.453125" style="113" bestFit="1" customWidth="1"/>
    <col min="15352" max="15352" width="8.81640625" style="113" bestFit="1" customWidth="1"/>
    <col min="15353" max="15353" width="8.453125" style="113" bestFit="1" customWidth="1"/>
    <col min="15354" max="15354" width="4.81640625" style="113" customWidth="1"/>
    <col min="15355" max="15355" width="9.54296875" style="113" customWidth="1"/>
    <col min="15356" max="15356" width="2.453125" style="113" customWidth="1"/>
    <col min="15357" max="15358" width="9.54296875" style="113" customWidth="1"/>
    <col min="15359" max="15359" width="1.54296875" style="113" customWidth="1"/>
    <col min="15360" max="15367" width="9.54296875" style="113" customWidth="1"/>
    <col min="15368" max="15369" width="11.453125" style="113"/>
    <col min="15370" max="15370" width="1.54296875" style="113" customWidth="1"/>
    <col min="15371" max="15372" width="11.453125" style="113"/>
    <col min="15373" max="15373" width="1.54296875" style="113" customWidth="1"/>
    <col min="15374" max="15589" width="11.453125" style="113"/>
    <col min="15590" max="15590" width="1.453125" style="113" customWidth="1"/>
    <col min="15591" max="15591" width="15.81640625" style="113" customWidth="1"/>
    <col min="15592" max="15592" width="49.81640625" style="113" bestFit="1" customWidth="1"/>
    <col min="15593" max="15593" width="8.81640625" style="113" bestFit="1" customWidth="1"/>
    <col min="15594" max="15594" width="8.81640625" style="113" customWidth="1"/>
    <col min="15595" max="15595" width="8.54296875" style="113" bestFit="1" customWidth="1"/>
    <col min="15596" max="15596" width="8.81640625" style="113" bestFit="1" customWidth="1"/>
    <col min="15597" max="15597" width="9.1796875" style="113" customWidth="1"/>
    <col min="15598" max="15598" width="2.453125" style="113" customWidth="1"/>
    <col min="15599" max="15599" width="9.54296875" style="113" customWidth="1"/>
    <col min="15600" max="15600" width="9.453125" style="113" customWidth="1"/>
    <col min="15601" max="15601" width="1.54296875" style="113" customWidth="1"/>
    <col min="15602" max="15602" width="8.81640625" style="113" bestFit="1" customWidth="1"/>
    <col min="15603" max="15603" width="8.453125" style="113" bestFit="1" customWidth="1"/>
    <col min="15604" max="15604" width="9.54296875" style="113" customWidth="1"/>
    <col min="15605" max="15605" width="9" style="113" customWidth="1"/>
    <col min="15606" max="15606" width="8.81640625" style="113" bestFit="1" customWidth="1"/>
    <col min="15607" max="15607" width="8.453125" style="113" bestFit="1" customWidth="1"/>
    <col min="15608" max="15608" width="8.81640625" style="113" bestFit="1" customWidth="1"/>
    <col min="15609" max="15609" width="8.453125" style="113" bestFit="1" customWidth="1"/>
    <col min="15610" max="15610" width="4.81640625" style="113" customWidth="1"/>
    <col min="15611" max="15611" width="9.54296875" style="113" customWidth="1"/>
    <col min="15612" max="15612" width="2.453125" style="113" customWidth="1"/>
    <col min="15613" max="15614" width="9.54296875" style="113" customWidth="1"/>
    <col min="15615" max="15615" width="1.54296875" style="113" customWidth="1"/>
    <col min="15616" max="15623" width="9.54296875" style="113" customWidth="1"/>
    <col min="15624" max="15625" width="11.453125" style="113"/>
    <col min="15626" max="15626" width="1.54296875" style="113" customWidth="1"/>
    <col min="15627" max="15628" width="11.453125" style="113"/>
    <col min="15629" max="15629" width="1.54296875" style="113" customWidth="1"/>
    <col min="15630" max="15845" width="11.453125" style="113"/>
    <col min="15846" max="15846" width="1.453125" style="113" customWidth="1"/>
    <col min="15847" max="15847" width="15.81640625" style="113" customWidth="1"/>
    <col min="15848" max="15848" width="49.81640625" style="113" bestFit="1" customWidth="1"/>
    <col min="15849" max="15849" width="8.81640625" style="113" bestFit="1" customWidth="1"/>
    <col min="15850" max="15850" width="8.81640625" style="113" customWidth="1"/>
    <col min="15851" max="15851" width="8.54296875" style="113" bestFit="1" customWidth="1"/>
    <col min="15852" max="15852" width="8.81640625" style="113" bestFit="1" customWidth="1"/>
    <col min="15853" max="15853" width="9.1796875" style="113" customWidth="1"/>
    <col min="15854" max="15854" width="2.453125" style="113" customWidth="1"/>
    <col min="15855" max="15855" width="9.54296875" style="113" customWidth="1"/>
    <col min="15856" max="15856" width="9.453125" style="113" customWidth="1"/>
    <col min="15857" max="15857" width="1.54296875" style="113" customWidth="1"/>
    <col min="15858" max="15858" width="8.81640625" style="113" bestFit="1" customWidth="1"/>
    <col min="15859" max="15859" width="8.453125" style="113" bestFit="1" customWidth="1"/>
    <col min="15860" max="15860" width="9.54296875" style="113" customWidth="1"/>
    <col min="15861" max="15861" width="9" style="113" customWidth="1"/>
    <col min="15862" max="15862" width="8.81640625" style="113" bestFit="1" customWidth="1"/>
    <col min="15863" max="15863" width="8.453125" style="113" bestFit="1" customWidth="1"/>
    <col min="15864" max="15864" width="8.81640625" style="113" bestFit="1" customWidth="1"/>
    <col min="15865" max="15865" width="8.453125" style="113" bestFit="1" customWidth="1"/>
    <col min="15866" max="15866" width="4.81640625" style="113" customWidth="1"/>
    <col min="15867" max="15867" width="9.54296875" style="113" customWidth="1"/>
    <col min="15868" max="15868" width="2.453125" style="113" customWidth="1"/>
    <col min="15869" max="15870" width="9.54296875" style="113" customWidth="1"/>
    <col min="15871" max="15871" width="1.54296875" style="113" customWidth="1"/>
    <col min="15872" max="15879" width="9.54296875" style="113" customWidth="1"/>
    <col min="15880" max="15881" width="11.453125" style="113"/>
    <col min="15882" max="15882" width="1.54296875" style="113" customWidth="1"/>
    <col min="15883" max="15884" width="11.453125" style="113"/>
    <col min="15885" max="15885" width="1.54296875" style="113" customWidth="1"/>
    <col min="15886" max="16101" width="11.453125" style="113"/>
    <col min="16102" max="16102" width="1.453125" style="113" customWidth="1"/>
    <col min="16103" max="16103" width="15.81640625" style="113" customWidth="1"/>
    <col min="16104" max="16104" width="49.81640625" style="113" bestFit="1" customWidth="1"/>
    <col min="16105" max="16105" width="8.81640625" style="113" bestFit="1" customWidth="1"/>
    <col min="16106" max="16106" width="8.81640625" style="113" customWidth="1"/>
    <col min="16107" max="16107" width="8.54296875" style="113" bestFit="1" customWidth="1"/>
    <col min="16108" max="16108" width="8.81640625" style="113" bestFit="1" customWidth="1"/>
    <col min="16109" max="16109" width="9.1796875" style="113" customWidth="1"/>
    <col min="16110" max="16110" width="2.453125" style="113" customWidth="1"/>
    <col min="16111" max="16111" width="9.54296875" style="113" customWidth="1"/>
    <col min="16112" max="16112" width="9.453125" style="113" customWidth="1"/>
    <col min="16113" max="16113" width="1.54296875" style="113" customWidth="1"/>
    <col min="16114" max="16114" width="8.81640625" style="113" bestFit="1" customWidth="1"/>
    <col min="16115" max="16115" width="8.453125" style="113" bestFit="1" customWidth="1"/>
    <col min="16116" max="16116" width="9.54296875" style="113" customWidth="1"/>
    <col min="16117" max="16117" width="9" style="113" customWidth="1"/>
    <col min="16118" max="16118" width="8.81640625" style="113" bestFit="1" customWidth="1"/>
    <col min="16119" max="16119" width="8.453125" style="113" bestFit="1" customWidth="1"/>
    <col min="16120" max="16120" width="8.81640625" style="113" bestFit="1" customWidth="1"/>
    <col min="16121" max="16121" width="8.453125" style="113" bestFit="1" customWidth="1"/>
    <col min="16122" max="16122" width="4.81640625" style="113" customWidth="1"/>
    <col min="16123" max="16123" width="9.54296875" style="113" customWidth="1"/>
    <col min="16124" max="16124" width="2.453125" style="113" customWidth="1"/>
    <col min="16125" max="16126" width="9.54296875" style="113" customWidth="1"/>
    <col min="16127" max="16127" width="1.54296875" style="113" customWidth="1"/>
    <col min="16128" max="16135" width="9.54296875" style="113" customWidth="1"/>
    <col min="16136" max="16137" width="11.453125" style="113"/>
    <col min="16138" max="16138" width="1.54296875" style="113" customWidth="1"/>
    <col min="16139" max="16140" width="11.453125" style="113"/>
    <col min="16141" max="16141" width="1.54296875" style="113" customWidth="1"/>
    <col min="16142" max="16384" width="11.453125" style="113"/>
  </cols>
  <sheetData>
    <row r="1" spans="2:26" ht="13.5" customHeight="1" thickBot="1">
      <c r="B1" s="331"/>
    </row>
    <row r="2" spans="2:26" ht="23.25" customHeight="1">
      <c r="B2" s="665" t="s">
        <v>34</v>
      </c>
      <c r="C2" s="665"/>
      <c r="D2" s="665"/>
      <c r="E2" s="665"/>
      <c r="F2" s="665"/>
      <c r="G2" s="665"/>
      <c r="H2" s="666" t="s">
        <v>125</v>
      </c>
      <c r="J2" s="668" t="s">
        <v>35</v>
      </c>
      <c r="K2" s="669"/>
      <c r="L2" s="260"/>
      <c r="M2" s="678" t="s">
        <v>3</v>
      </c>
      <c r="N2" s="679"/>
      <c r="O2" s="679"/>
      <c r="P2" s="679"/>
      <c r="Q2" s="679"/>
      <c r="R2" s="679"/>
      <c r="S2" s="679"/>
      <c r="T2" s="669"/>
      <c r="Z2" s="260"/>
    </row>
    <row r="3" spans="2:26" s="104" customFormat="1" ht="3.75" customHeight="1">
      <c r="B3"/>
      <c r="C3"/>
      <c r="D3"/>
      <c r="E3"/>
      <c r="F3"/>
      <c r="G3"/>
      <c r="H3" s="667"/>
      <c r="I3"/>
      <c r="J3"/>
      <c r="K3"/>
      <c r="L3"/>
      <c r="M3" s="18"/>
      <c r="N3" s="6"/>
      <c r="O3" s="6"/>
      <c r="P3" s="6"/>
      <c r="Q3" s="6"/>
      <c r="R3" s="6"/>
      <c r="S3" s="6"/>
      <c r="T3" s="125"/>
    </row>
    <row r="4" spans="2:26" s="244" customFormat="1" ht="30" customHeight="1" thickBot="1">
      <c r="B4" s="121">
        <f>'PVP VaP - Pyme'!B4</f>
        <v>45658</v>
      </c>
      <c r="C4" s="119" t="s">
        <v>629</v>
      </c>
      <c r="D4" s="680"/>
      <c r="E4" s="680"/>
      <c r="F4" s="680"/>
      <c r="G4" s="681"/>
      <c r="H4" s="667"/>
      <c r="I4" s="243"/>
      <c r="J4" s="724" t="s">
        <v>15</v>
      </c>
      <c r="K4" s="725"/>
      <c r="L4" s="243"/>
      <c r="M4" s="726" t="s">
        <v>36</v>
      </c>
      <c r="N4" s="727"/>
      <c r="O4" s="728" t="s">
        <v>37</v>
      </c>
      <c r="P4" s="727"/>
      <c r="Q4" s="728" t="s">
        <v>38</v>
      </c>
      <c r="R4" s="727"/>
      <c r="S4" s="728" t="s">
        <v>39</v>
      </c>
      <c r="T4" s="729"/>
      <c r="W4" s="243"/>
      <c r="Z4" s="243"/>
    </row>
    <row r="5" spans="2:26" ht="15.75" customHeight="1">
      <c r="B5" s="646" t="s">
        <v>126</v>
      </c>
      <c r="C5" s="647"/>
      <c r="D5" s="652" t="s">
        <v>41</v>
      </c>
      <c r="E5" s="652"/>
      <c r="F5" s="652"/>
      <c r="G5" s="653"/>
      <c r="H5" s="658" t="s">
        <v>127</v>
      </c>
      <c r="I5" s="245"/>
      <c r="J5" s="730" t="s">
        <v>127</v>
      </c>
      <c r="K5" s="661"/>
      <c r="L5" s="246"/>
      <c r="M5" s="730" t="s">
        <v>197</v>
      </c>
      <c r="N5" s="741"/>
      <c r="O5" s="731" t="s">
        <v>198</v>
      </c>
      <c r="P5" s="732"/>
      <c r="Q5" s="731" t="s">
        <v>199</v>
      </c>
      <c r="R5" s="732"/>
      <c r="S5" s="736" t="s">
        <v>236</v>
      </c>
      <c r="T5" s="658"/>
      <c r="W5" s="245"/>
      <c r="Z5" s="246"/>
    </row>
    <row r="6" spans="2:26" ht="15.75" customHeight="1">
      <c r="B6" s="648"/>
      <c r="C6" s="649"/>
      <c r="D6" s="654"/>
      <c r="E6" s="654"/>
      <c r="F6" s="654"/>
      <c r="G6" s="655"/>
      <c r="H6" s="659"/>
      <c r="I6" s="246"/>
      <c r="J6" s="662"/>
      <c r="K6" s="659"/>
      <c r="L6" s="246"/>
      <c r="M6" s="662"/>
      <c r="N6" s="742"/>
      <c r="O6" s="733"/>
      <c r="P6" s="734"/>
      <c r="Q6" s="733"/>
      <c r="R6" s="734"/>
      <c r="S6" s="737"/>
      <c r="T6" s="738"/>
      <c r="W6" s="246"/>
      <c r="Z6" s="246"/>
    </row>
    <row r="7" spans="2:26" ht="15.75" customHeight="1">
      <c r="B7" s="648"/>
      <c r="C7" s="649"/>
      <c r="D7" s="654"/>
      <c r="E7" s="654"/>
      <c r="F7" s="654"/>
      <c r="G7" s="655"/>
      <c r="H7" s="659"/>
      <c r="I7" s="246"/>
      <c r="J7" s="662"/>
      <c r="K7" s="659"/>
      <c r="L7" s="246"/>
      <c r="M7" s="662"/>
      <c r="N7" s="742"/>
      <c r="O7" s="733"/>
      <c r="P7" s="734"/>
      <c r="Q7" s="733"/>
      <c r="R7" s="734"/>
      <c r="S7" s="737"/>
      <c r="T7" s="738"/>
      <c r="W7" s="246"/>
      <c r="Z7" s="246"/>
    </row>
    <row r="8" spans="2:26" ht="15.75" customHeight="1">
      <c r="B8" s="648"/>
      <c r="C8" s="649"/>
      <c r="D8" s="654"/>
      <c r="E8" s="654"/>
      <c r="F8" s="654"/>
      <c r="G8" s="655"/>
      <c r="H8" s="659"/>
      <c r="I8" s="246"/>
      <c r="J8" s="662"/>
      <c r="K8" s="659"/>
      <c r="L8" s="246"/>
      <c r="M8" s="662"/>
      <c r="N8" s="742"/>
      <c r="O8" s="733"/>
      <c r="P8" s="734"/>
      <c r="Q8" s="733"/>
      <c r="R8" s="734"/>
      <c r="S8" s="737"/>
      <c r="T8" s="738"/>
      <c r="W8" s="246"/>
      <c r="Z8" s="246"/>
    </row>
    <row r="9" spans="2:26" ht="15.75" customHeight="1">
      <c r="B9" s="648"/>
      <c r="C9" s="649"/>
      <c r="D9" s="654"/>
      <c r="E9" s="654"/>
      <c r="F9" s="654"/>
      <c r="G9" s="655"/>
      <c r="H9" s="659"/>
      <c r="I9" s="246"/>
      <c r="J9" s="662"/>
      <c r="K9" s="659"/>
      <c r="L9" s="246"/>
      <c r="M9" s="662"/>
      <c r="N9" s="742"/>
      <c r="O9" s="733"/>
      <c r="P9" s="734"/>
      <c r="Q9" s="733"/>
      <c r="R9" s="734"/>
      <c r="S9" s="737"/>
      <c r="T9" s="738"/>
      <c r="W9" s="246"/>
      <c r="Z9" s="246"/>
    </row>
    <row r="10" spans="2:26" ht="15.75" customHeight="1">
      <c r="B10" s="648"/>
      <c r="C10" s="649"/>
      <c r="D10" s="654"/>
      <c r="E10" s="654"/>
      <c r="F10" s="654"/>
      <c r="G10" s="655"/>
      <c r="H10" s="659"/>
      <c r="I10" s="246"/>
      <c r="J10" s="662"/>
      <c r="K10" s="659"/>
      <c r="L10" s="246"/>
      <c r="M10" s="662"/>
      <c r="N10" s="742"/>
      <c r="O10" s="733"/>
      <c r="P10" s="734"/>
      <c r="Q10" s="733"/>
      <c r="R10" s="734"/>
      <c r="S10" s="737"/>
      <c r="T10" s="738"/>
      <c r="W10" s="246"/>
      <c r="Z10" s="246"/>
    </row>
    <row r="11" spans="2:26" ht="15.75" customHeight="1">
      <c r="B11" s="648"/>
      <c r="C11" s="649"/>
      <c r="D11" s="654"/>
      <c r="E11" s="654"/>
      <c r="F11" s="654"/>
      <c r="G11" s="655"/>
      <c r="H11" s="659"/>
      <c r="I11" s="246"/>
      <c r="J11" s="662"/>
      <c r="K11" s="659"/>
      <c r="L11" s="246"/>
      <c r="M11" s="662"/>
      <c r="N11" s="742"/>
      <c r="O11" s="733"/>
      <c r="P11" s="734"/>
      <c r="Q11" s="733"/>
      <c r="R11" s="734"/>
      <c r="S11" s="737"/>
      <c r="T11" s="738"/>
      <c r="W11" s="246"/>
      <c r="Z11" s="246"/>
    </row>
    <row r="12" spans="2:26" ht="15.75" customHeight="1" thickBot="1">
      <c r="B12" s="648"/>
      <c r="C12" s="649"/>
      <c r="D12" s="656"/>
      <c r="E12" s="656"/>
      <c r="F12" s="656"/>
      <c r="G12" s="657"/>
      <c r="H12" s="659"/>
      <c r="I12" s="246"/>
      <c r="J12" s="663"/>
      <c r="K12" s="664"/>
      <c r="L12" s="246"/>
      <c r="M12" s="663"/>
      <c r="N12" s="708"/>
      <c r="O12" s="711"/>
      <c r="P12" s="735"/>
      <c r="Q12" s="711"/>
      <c r="R12" s="735"/>
      <c r="S12" s="707"/>
      <c r="T12" s="739"/>
      <c r="W12" s="246"/>
      <c r="Z12" s="246"/>
    </row>
    <row r="13" spans="2:26" ht="30.75" customHeight="1" thickBot="1">
      <c r="B13" s="648"/>
      <c r="C13" s="649"/>
      <c r="D13" s="670" t="s">
        <v>42</v>
      </c>
      <c r="E13" s="670"/>
      <c r="F13" s="671"/>
      <c r="G13" s="672"/>
      <c r="H13" s="107" t="s">
        <v>15</v>
      </c>
      <c r="I13" s="247"/>
      <c r="J13" s="691" t="s">
        <v>15</v>
      </c>
      <c r="K13" s="677"/>
      <c r="L13" s="246"/>
      <c r="M13" s="690" t="s">
        <v>137</v>
      </c>
      <c r="N13" s="692"/>
      <c r="O13" s="693" t="s">
        <v>138</v>
      </c>
      <c r="P13" s="694"/>
      <c r="Q13" s="693" t="s">
        <v>138</v>
      </c>
      <c r="R13" s="694"/>
      <c r="S13" s="693" t="s">
        <v>138</v>
      </c>
      <c r="T13" s="740"/>
      <c r="W13" s="246"/>
      <c r="Z13" s="246"/>
    </row>
    <row r="14" spans="2:26" ht="65.25" customHeight="1" thickBot="1">
      <c r="B14" s="648"/>
      <c r="C14" s="649"/>
      <c r="D14" s="670" t="s">
        <v>44</v>
      </c>
      <c r="E14" s="670"/>
      <c r="F14" s="671"/>
      <c r="G14" s="672"/>
      <c r="H14" s="107" t="s">
        <v>139</v>
      </c>
      <c r="I14" s="247"/>
      <c r="J14" s="673" t="s">
        <v>140</v>
      </c>
      <c r="K14" s="661"/>
      <c r="L14" s="246"/>
      <c r="M14" s="705" t="s">
        <v>141</v>
      </c>
      <c r="N14" s="706"/>
      <c r="O14" s="709" t="s">
        <v>141</v>
      </c>
      <c r="P14" s="706"/>
      <c r="Q14" s="709" t="s">
        <v>142</v>
      </c>
      <c r="R14" s="706"/>
      <c r="S14" s="709" t="s">
        <v>142</v>
      </c>
      <c r="T14" s="712"/>
      <c r="W14" s="246"/>
      <c r="Z14" s="246"/>
    </row>
    <row r="15" spans="2:26" ht="21" customHeight="1" thickBot="1">
      <c r="B15" s="650"/>
      <c r="C15" s="651"/>
      <c r="D15" s="744" t="s">
        <v>82</v>
      </c>
      <c r="E15" s="745"/>
      <c r="F15" s="745"/>
      <c r="G15" s="745"/>
      <c r="H15" s="108" t="s">
        <v>15</v>
      </c>
      <c r="I15" s="251"/>
      <c r="J15" s="676" t="s">
        <v>15</v>
      </c>
      <c r="K15" s="677"/>
      <c r="L15" s="246"/>
      <c r="M15" s="676" t="s">
        <v>143</v>
      </c>
      <c r="N15" s="696"/>
      <c r="O15" s="704" t="s">
        <v>143</v>
      </c>
      <c r="P15" s="696"/>
      <c r="Q15" s="704" t="s">
        <v>143</v>
      </c>
      <c r="R15" s="696"/>
      <c r="S15" s="710" t="s">
        <v>143</v>
      </c>
      <c r="T15" s="677"/>
      <c r="W15" s="246"/>
      <c r="Z15" s="246"/>
    </row>
    <row r="16" spans="2:26" ht="21" customHeight="1">
      <c r="B16" s="110"/>
      <c r="D16" s="25" t="s">
        <v>144</v>
      </c>
      <c r="E16" s="25"/>
    </row>
    <row r="17" spans="2:35" ht="23.25" customHeight="1" thickBot="1">
      <c r="D17" s="126" t="s">
        <v>176</v>
      </c>
    </row>
    <row r="18" spans="2:35" ht="23.25" customHeight="1">
      <c r="B18" s="716" t="s">
        <v>52</v>
      </c>
      <c r="C18" s="717"/>
      <c r="D18" s="717"/>
      <c r="E18" s="717"/>
      <c r="F18" s="717"/>
      <c r="G18" s="718"/>
      <c r="H18" s="632" t="s">
        <v>125</v>
      </c>
      <c r="J18" s="634" t="s">
        <v>105</v>
      </c>
      <c r="K18" s="635"/>
      <c r="L18" s="260"/>
      <c r="M18" s="634" t="s">
        <v>106</v>
      </c>
      <c r="N18" s="743"/>
      <c r="O18" s="743"/>
      <c r="P18" s="743"/>
      <c r="Q18" s="743"/>
      <c r="R18" s="743"/>
      <c r="S18" s="743"/>
      <c r="T18" s="635"/>
      <c r="V18" s="632" t="s">
        <v>130</v>
      </c>
      <c r="X18" s="634" t="s">
        <v>53</v>
      </c>
      <c r="Y18" s="635"/>
      <c r="Z18" s="260"/>
      <c r="AA18" s="634" t="s">
        <v>54</v>
      </c>
      <c r="AB18" s="743"/>
      <c r="AC18" s="743"/>
      <c r="AD18" s="743"/>
      <c r="AE18" s="743"/>
      <c r="AF18" s="743"/>
      <c r="AG18" s="743"/>
      <c r="AH18" s="635"/>
    </row>
    <row r="19" spans="2:35" ht="3.75" customHeight="1">
      <c r="B19" s="719"/>
      <c r="C19" s="720"/>
      <c r="D19" s="720"/>
      <c r="E19" s="720"/>
      <c r="F19" s="720"/>
      <c r="G19" s="721"/>
      <c r="H19" s="633"/>
      <c r="J19" s="636"/>
      <c r="K19" s="637"/>
      <c r="L19" s="260"/>
      <c r="M19" s="259"/>
      <c r="N19" s="260"/>
      <c r="O19" s="260"/>
      <c r="P19" s="260"/>
      <c r="Q19" s="260"/>
      <c r="R19" s="260"/>
      <c r="S19" s="260"/>
      <c r="T19" s="260"/>
      <c r="V19" s="633"/>
      <c r="X19" s="636"/>
      <c r="Y19" s="637"/>
      <c r="Z19" s="260"/>
      <c r="AA19" s="259"/>
      <c r="AB19" s="260"/>
      <c r="AC19" s="260"/>
      <c r="AD19" s="260"/>
      <c r="AE19" s="260"/>
      <c r="AF19" s="260"/>
      <c r="AG19" s="260"/>
      <c r="AH19" s="260"/>
    </row>
    <row r="20" spans="2:35" ht="33.75" customHeight="1">
      <c r="B20" s="719"/>
      <c r="C20" s="720"/>
      <c r="D20" s="720"/>
      <c r="E20" s="720"/>
      <c r="F20" s="720"/>
      <c r="G20" s="721"/>
      <c r="H20" s="633"/>
      <c r="J20" s="636"/>
      <c r="K20" s="637"/>
      <c r="L20" s="243"/>
      <c r="M20" s="641" t="s">
        <v>86</v>
      </c>
      <c r="N20" s="642"/>
      <c r="O20" s="642"/>
      <c r="P20" s="642"/>
      <c r="Q20" s="642"/>
      <c r="R20" s="642"/>
      <c r="S20" s="642"/>
      <c r="T20" s="643"/>
      <c r="V20" s="633"/>
      <c r="X20" s="636"/>
      <c r="Y20" s="637"/>
      <c r="Z20" s="243"/>
      <c r="AA20" s="641" t="s">
        <v>86</v>
      </c>
      <c r="AB20" s="642"/>
      <c r="AC20" s="642"/>
      <c r="AD20" s="642"/>
      <c r="AE20" s="642"/>
      <c r="AF20" s="642"/>
      <c r="AG20" s="642"/>
      <c r="AH20" s="643"/>
    </row>
    <row r="21" spans="2:35" s="150" customFormat="1" ht="3.75" customHeight="1">
      <c r="B21" s="719"/>
      <c r="C21" s="720"/>
      <c r="D21" s="720"/>
      <c r="E21" s="720"/>
      <c r="F21" s="720"/>
      <c r="G21" s="721"/>
      <c r="H21" s="633"/>
      <c r="J21" s="260"/>
      <c r="K21" s="260"/>
      <c r="L21" s="243"/>
      <c r="M21" s="261"/>
      <c r="N21" s="262"/>
      <c r="O21" s="262"/>
      <c r="P21" s="262"/>
      <c r="Q21" s="262"/>
      <c r="R21" s="262"/>
      <c r="S21" s="262"/>
      <c r="T21" s="271"/>
      <c r="V21" s="633"/>
      <c r="X21" s="260"/>
      <c r="Y21" s="260"/>
      <c r="Z21" s="243"/>
      <c r="AA21" s="261"/>
      <c r="AB21" s="262"/>
      <c r="AC21" s="262"/>
      <c r="AD21" s="262"/>
      <c r="AE21" s="262"/>
      <c r="AF21" s="262"/>
      <c r="AG21" s="262"/>
      <c r="AH21" s="271"/>
    </row>
    <row r="22" spans="2:35" ht="30" customHeight="1">
      <c r="B22" s="719"/>
      <c r="C22" s="720"/>
      <c r="D22" s="720"/>
      <c r="E22" s="720"/>
      <c r="F22" s="720"/>
      <c r="G22" s="721"/>
      <c r="H22" s="633"/>
      <c r="I22" s="263"/>
      <c r="J22" s="644" t="s">
        <v>15</v>
      </c>
      <c r="K22" s="645"/>
      <c r="L22" s="243"/>
      <c r="M22" s="644" t="s">
        <v>108</v>
      </c>
      <c r="N22" s="645"/>
      <c r="O22" s="644" t="s">
        <v>109</v>
      </c>
      <c r="P22" s="645"/>
      <c r="Q22" s="644" t="s">
        <v>110</v>
      </c>
      <c r="R22" s="645"/>
      <c r="S22" s="644" t="s">
        <v>111</v>
      </c>
      <c r="T22" s="645"/>
      <c r="V22" s="633"/>
      <c r="W22" s="263"/>
      <c r="X22" s="644" t="s">
        <v>15</v>
      </c>
      <c r="Y22" s="645"/>
      <c r="Z22" s="243"/>
      <c r="AA22" s="644" t="s">
        <v>108</v>
      </c>
      <c r="AB22" s="645"/>
      <c r="AC22" s="644" t="s">
        <v>109</v>
      </c>
      <c r="AD22" s="645"/>
      <c r="AE22" s="644" t="s">
        <v>110</v>
      </c>
      <c r="AF22" s="645"/>
      <c r="AG22" s="644" t="s">
        <v>111</v>
      </c>
      <c r="AH22" s="645"/>
    </row>
    <row r="23" spans="2:35" s="104" customFormat="1" ht="3.75" customHeight="1">
      <c r="B23" s="15"/>
      <c r="C23" s="6"/>
      <c r="D23" s="6"/>
      <c r="E23" s="6"/>
      <c r="F23" s="6"/>
      <c r="G23" s="6"/>
      <c r="H23" s="122"/>
      <c r="I23" s="17"/>
      <c r="J23" s="15"/>
      <c r="K23" s="16"/>
      <c r="L23" s="17"/>
      <c r="M23" s="15"/>
      <c r="N23" s="6"/>
      <c r="O23" s="6"/>
      <c r="P23" s="6"/>
      <c r="Q23" s="6"/>
      <c r="R23" s="6"/>
      <c r="S23" s="6"/>
      <c r="T23" s="16"/>
      <c r="U23"/>
      <c r="V23" s="122"/>
      <c r="W23" s="17"/>
      <c r="X23" s="15"/>
      <c r="Y23" s="16"/>
      <c r="Z23" s="17"/>
      <c r="AA23" s="15"/>
      <c r="AB23" s="6"/>
      <c r="AC23" s="6"/>
      <c r="AD23" s="6"/>
      <c r="AE23" s="6"/>
      <c r="AF23" s="6"/>
      <c r="AG23" s="6"/>
      <c r="AH23" s="16"/>
    </row>
    <row r="24" spans="2:35" ht="48.75" customHeight="1">
      <c r="B24" s="226" t="s">
        <v>56</v>
      </c>
      <c r="C24" s="8" t="s">
        <v>57</v>
      </c>
      <c r="D24" s="9" t="s">
        <v>58</v>
      </c>
      <c r="E24" s="9" t="s">
        <v>123</v>
      </c>
      <c r="F24" s="8" t="s">
        <v>59</v>
      </c>
      <c r="G24" s="8" t="s">
        <v>133</v>
      </c>
      <c r="H24" s="8" t="s">
        <v>169</v>
      </c>
      <c r="I24" s="243"/>
      <c r="J24" s="10" t="s">
        <v>170</v>
      </c>
      <c r="K24" s="316" t="s">
        <v>171</v>
      </c>
      <c r="L24" s="243"/>
      <c r="M24" s="10" t="s">
        <v>170</v>
      </c>
      <c r="N24" s="316" t="s">
        <v>172</v>
      </c>
      <c r="O24" s="10" t="s">
        <v>170</v>
      </c>
      <c r="P24" s="316" t="s">
        <v>172</v>
      </c>
      <c r="Q24" s="10" t="s">
        <v>170</v>
      </c>
      <c r="R24" s="316" t="s">
        <v>172</v>
      </c>
      <c r="S24" s="10" t="s">
        <v>170</v>
      </c>
      <c r="T24" s="316" t="s">
        <v>172</v>
      </c>
      <c r="V24" s="8" t="s">
        <v>134</v>
      </c>
      <c r="W24" s="243"/>
      <c r="X24" s="10" t="s">
        <v>135</v>
      </c>
      <c r="Y24" s="316" t="s">
        <v>136</v>
      </c>
      <c r="Z24" s="243"/>
      <c r="AA24" s="10" t="s">
        <v>135</v>
      </c>
      <c r="AB24" s="316" t="s">
        <v>136</v>
      </c>
      <c r="AC24" s="10" t="s">
        <v>135</v>
      </c>
      <c r="AD24" s="316" t="s">
        <v>136</v>
      </c>
      <c r="AE24" s="10" t="s">
        <v>135</v>
      </c>
      <c r="AF24" s="316" t="s">
        <v>136</v>
      </c>
      <c r="AG24" s="10" t="s">
        <v>135</v>
      </c>
      <c r="AH24" s="316" t="s">
        <v>136</v>
      </c>
    </row>
    <row r="25" spans="2:35">
      <c r="B25" s="411" t="s">
        <v>60</v>
      </c>
      <c r="C25" s="411" t="s">
        <v>319</v>
      </c>
      <c r="D25" s="555">
        <v>49</v>
      </c>
      <c r="E25" s="556">
        <v>0</v>
      </c>
      <c r="F25" s="411" t="s">
        <v>285</v>
      </c>
      <c r="G25" s="556">
        <v>12</v>
      </c>
      <c r="H25" s="557">
        <v>42.148760330578511</v>
      </c>
      <c r="I25" s="299"/>
      <c r="J25" s="566" t="s">
        <v>15</v>
      </c>
      <c r="K25" s="567" t="s">
        <v>15</v>
      </c>
      <c r="L25" s="357"/>
      <c r="M25" s="568">
        <v>0</v>
      </c>
      <c r="N25" s="569">
        <v>3</v>
      </c>
      <c r="O25" s="568">
        <v>0</v>
      </c>
      <c r="P25" s="569">
        <v>1</v>
      </c>
      <c r="Q25" s="568">
        <v>0</v>
      </c>
      <c r="R25" s="569">
        <v>1</v>
      </c>
      <c r="S25" s="570">
        <v>0</v>
      </c>
      <c r="T25" s="569">
        <v>0</v>
      </c>
      <c r="V25" s="571">
        <v>6.8512396694214885</v>
      </c>
      <c r="W25" s="299"/>
      <c r="X25" s="566" t="s">
        <v>15</v>
      </c>
      <c r="Y25" s="567" t="s">
        <v>15</v>
      </c>
      <c r="Z25" s="357"/>
      <c r="AA25" s="568">
        <v>13</v>
      </c>
      <c r="AB25" s="569">
        <v>36</v>
      </c>
      <c r="AC25" s="568">
        <v>37</v>
      </c>
      <c r="AD25" s="569">
        <v>12</v>
      </c>
      <c r="AE25" s="568">
        <v>37</v>
      </c>
      <c r="AF25" s="569">
        <v>12</v>
      </c>
      <c r="AG25" s="570">
        <v>49</v>
      </c>
      <c r="AH25" s="569">
        <v>0</v>
      </c>
      <c r="AI25" s="284"/>
    </row>
    <row r="26" spans="2:35">
      <c r="B26" s="558" t="s">
        <v>61</v>
      </c>
      <c r="C26" s="558" t="s">
        <v>200</v>
      </c>
      <c r="D26" s="559">
        <v>66</v>
      </c>
      <c r="E26" s="560">
        <v>0</v>
      </c>
      <c r="F26" s="558" t="s">
        <v>285</v>
      </c>
      <c r="G26" s="560">
        <v>12</v>
      </c>
      <c r="H26" s="561">
        <v>57.024793388429757</v>
      </c>
      <c r="I26" s="299"/>
      <c r="J26" s="572" t="s">
        <v>15</v>
      </c>
      <c r="K26" s="573" t="s">
        <v>15</v>
      </c>
      <c r="L26" s="357"/>
      <c r="M26" s="572">
        <v>0</v>
      </c>
      <c r="N26" s="573">
        <v>3</v>
      </c>
      <c r="O26" s="572">
        <v>0</v>
      </c>
      <c r="P26" s="573">
        <v>2</v>
      </c>
      <c r="Q26" s="572">
        <v>0</v>
      </c>
      <c r="R26" s="573">
        <v>2</v>
      </c>
      <c r="S26" s="574">
        <v>0</v>
      </c>
      <c r="T26" s="573">
        <v>0</v>
      </c>
      <c r="U26" s="109"/>
      <c r="V26" s="575">
        <v>8.9752066115702434</v>
      </c>
      <c r="W26" s="299"/>
      <c r="X26" s="572" t="s">
        <v>15</v>
      </c>
      <c r="Y26" s="573" t="s">
        <v>15</v>
      </c>
      <c r="Z26" s="357"/>
      <c r="AA26" s="572">
        <v>30</v>
      </c>
      <c r="AB26" s="573">
        <v>36</v>
      </c>
      <c r="AC26" s="572">
        <v>42</v>
      </c>
      <c r="AD26" s="573">
        <v>24</v>
      </c>
      <c r="AE26" s="572">
        <v>42</v>
      </c>
      <c r="AF26" s="573">
        <v>24</v>
      </c>
      <c r="AG26" s="574">
        <v>66</v>
      </c>
      <c r="AH26" s="573">
        <v>0</v>
      </c>
      <c r="AI26" s="284"/>
    </row>
    <row r="27" spans="2:35">
      <c r="B27" s="411" t="s">
        <v>182</v>
      </c>
      <c r="C27" s="411" t="s">
        <v>201</v>
      </c>
      <c r="D27" s="555">
        <v>58</v>
      </c>
      <c r="E27" s="556">
        <v>0</v>
      </c>
      <c r="F27" s="411" t="s">
        <v>285</v>
      </c>
      <c r="G27" s="556">
        <v>12</v>
      </c>
      <c r="H27" s="557">
        <v>48</v>
      </c>
      <c r="I27" s="299"/>
      <c r="J27" s="566" t="s">
        <v>15</v>
      </c>
      <c r="K27" s="567" t="s">
        <v>15</v>
      </c>
      <c r="L27" s="357"/>
      <c r="M27" s="568">
        <v>0</v>
      </c>
      <c r="N27" s="569">
        <v>4</v>
      </c>
      <c r="O27" s="568">
        <v>0</v>
      </c>
      <c r="P27" s="569">
        <v>2</v>
      </c>
      <c r="Q27" s="568">
        <v>0</v>
      </c>
      <c r="R27" s="569">
        <v>2</v>
      </c>
      <c r="S27" s="570">
        <v>0</v>
      </c>
      <c r="T27" s="569">
        <v>1</v>
      </c>
      <c r="V27" s="571">
        <v>10</v>
      </c>
      <c r="W27" s="299"/>
      <c r="X27" s="566" t="s">
        <v>15</v>
      </c>
      <c r="Y27" s="567" t="s">
        <v>15</v>
      </c>
      <c r="Z27" s="357"/>
      <c r="AA27" s="568">
        <v>10</v>
      </c>
      <c r="AB27" s="569">
        <v>48</v>
      </c>
      <c r="AC27" s="568">
        <v>34</v>
      </c>
      <c r="AD27" s="569">
        <v>24</v>
      </c>
      <c r="AE27" s="568">
        <v>34</v>
      </c>
      <c r="AF27" s="569">
        <v>24</v>
      </c>
      <c r="AG27" s="570">
        <v>46</v>
      </c>
      <c r="AH27" s="569">
        <v>12</v>
      </c>
      <c r="AI27" s="284"/>
    </row>
    <row r="28" spans="2:35">
      <c r="B28" s="558" t="s">
        <v>182</v>
      </c>
      <c r="C28" s="558" t="s">
        <v>203</v>
      </c>
      <c r="D28" s="559">
        <v>58</v>
      </c>
      <c r="E28" s="560">
        <v>0</v>
      </c>
      <c r="F28" s="558" t="s">
        <v>285</v>
      </c>
      <c r="G28" s="560" t="s">
        <v>15</v>
      </c>
      <c r="H28" s="561">
        <v>48</v>
      </c>
      <c r="I28" s="299"/>
      <c r="J28" s="572" t="s">
        <v>15</v>
      </c>
      <c r="K28" s="573" t="s">
        <v>15</v>
      </c>
      <c r="L28" s="357"/>
      <c r="M28" s="572" t="s">
        <v>15</v>
      </c>
      <c r="N28" s="573" t="s">
        <v>15</v>
      </c>
      <c r="O28" s="572" t="s">
        <v>15</v>
      </c>
      <c r="P28" s="573" t="s">
        <v>15</v>
      </c>
      <c r="Q28" s="572" t="s">
        <v>15</v>
      </c>
      <c r="R28" s="573" t="s">
        <v>15</v>
      </c>
      <c r="S28" s="574" t="s">
        <v>15</v>
      </c>
      <c r="T28" s="573" t="s">
        <v>15</v>
      </c>
      <c r="U28" s="109"/>
      <c r="V28" s="575">
        <v>10</v>
      </c>
      <c r="W28" s="299"/>
      <c r="X28" s="572" t="s">
        <v>15</v>
      </c>
      <c r="Y28" s="573" t="s">
        <v>15</v>
      </c>
      <c r="Z28" s="357"/>
      <c r="AA28" s="572" t="s">
        <v>15</v>
      </c>
      <c r="AB28" s="573" t="s">
        <v>15</v>
      </c>
      <c r="AC28" s="572" t="s">
        <v>15</v>
      </c>
      <c r="AD28" s="573" t="s">
        <v>15</v>
      </c>
      <c r="AE28" s="572" t="s">
        <v>15</v>
      </c>
      <c r="AF28" s="573" t="s">
        <v>15</v>
      </c>
      <c r="AG28" s="574" t="s">
        <v>15</v>
      </c>
      <c r="AH28" s="573" t="s">
        <v>15</v>
      </c>
      <c r="AI28" s="284"/>
    </row>
    <row r="29" spans="2:35">
      <c r="B29" s="411" t="s">
        <v>182</v>
      </c>
      <c r="C29" s="411" t="s">
        <v>202</v>
      </c>
      <c r="D29" s="555">
        <v>0</v>
      </c>
      <c r="E29" s="556">
        <v>0</v>
      </c>
      <c r="F29" s="411" t="s">
        <v>285</v>
      </c>
      <c r="G29" s="556">
        <v>12</v>
      </c>
      <c r="H29" s="557">
        <v>0</v>
      </c>
      <c r="I29" s="299"/>
      <c r="J29" s="566" t="s">
        <v>15</v>
      </c>
      <c r="K29" s="567" t="s">
        <v>15</v>
      </c>
      <c r="L29" s="357"/>
      <c r="M29" s="568" t="s">
        <v>15</v>
      </c>
      <c r="N29" s="569" t="s">
        <v>15</v>
      </c>
      <c r="O29" s="568" t="s">
        <v>15</v>
      </c>
      <c r="P29" s="569" t="s">
        <v>15</v>
      </c>
      <c r="Q29" s="568" t="s">
        <v>15</v>
      </c>
      <c r="R29" s="569" t="s">
        <v>15</v>
      </c>
      <c r="S29" s="570">
        <v>0</v>
      </c>
      <c r="T29" s="569">
        <v>0</v>
      </c>
      <c r="V29" s="571">
        <v>0</v>
      </c>
      <c r="W29" s="299"/>
      <c r="X29" s="566" t="s">
        <v>15</v>
      </c>
      <c r="Y29" s="567" t="s">
        <v>15</v>
      </c>
      <c r="Z29" s="357"/>
      <c r="AA29" s="568" t="s">
        <v>15</v>
      </c>
      <c r="AB29" s="569" t="s">
        <v>15</v>
      </c>
      <c r="AC29" s="568" t="s">
        <v>15</v>
      </c>
      <c r="AD29" s="569" t="s">
        <v>15</v>
      </c>
      <c r="AE29" s="568" t="s">
        <v>15</v>
      </c>
      <c r="AF29" s="569" t="s">
        <v>15</v>
      </c>
      <c r="AG29" s="570">
        <v>0</v>
      </c>
      <c r="AH29" s="569">
        <v>0</v>
      </c>
      <c r="AI29" s="284"/>
    </row>
    <row r="30" spans="2:35">
      <c r="B30" s="558" t="s">
        <v>298</v>
      </c>
      <c r="C30" s="558" t="s">
        <v>431</v>
      </c>
      <c r="D30" s="559">
        <v>66</v>
      </c>
      <c r="E30" s="560">
        <v>0</v>
      </c>
      <c r="F30" s="558" t="s">
        <v>285</v>
      </c>
      <c r="G30" s="560">
        <v>12</v>
      </c>
      <c r="H30" s="561">
        <v>45.454545454545453</v>
      </c>
      <c r="I30" s="299"/>
      <c r="J30" s="572" t="s">
        <v>15</v>
      </c>
      <c r="K30" s="573" t="s">
        <v>15</v>
      </c>
      <c r="L30" s="357"/>
      <c r="M30" s="572">
        <v>0</v>
      </c>
      <c r="N30" s="573">
        <v>3</v>
      </c>
      <c r="O30" s="572">
        <v>0</v>
      </c>
      <c r="P30" s="573">
        <v>2</v>
      </c>
      <c r="Q30" s="572">
        <v>0</v>
      </c>
      <c r="R30" s="573">
        <v>2</v>
      </c>
      <c r="S30" s="574">
        <v>0</v>
      </c>
      <c r="T30" s="573">
        <v>0</v>
      </c>
      <c r="U30" s="109"/>
      <c r="V30" s="575">
        <v>20.545454545454547</v>
      </c>
      <c r="W30" s="299"/>
      <c r="X30" s="572" t="s">
        <v>15</v>
      </c>
      <c r="Y30" s="573" t="s">
        <v>15</v>
      </c>
      <c r="Z30" s="357"/>
      <c r="AA30" s="572">
        <v>30</v>
      </c>
      <c r="AB30" s="573">
        <v>36</v>
      </c>
      <c r="AC30" s="572">
        <v>42</v>
      </c>
      <c r="AD30" s="573">
        <v>24</v>
      </c>
      <c r="AE30" s="572">
        <v>42</v>
      </c>
      <c r="AF30" s="573">
        <v>24</v>
      </c>
      <c r="AG30" s="574">
        <v>66</v>
      </c>
      <c r="AH30" s="573">
        <v>0</v>
      </c>
      <c r="AI30" s="284"/>
    </row>
    <row r="31" spans="2:35">
      <c r="B31" s="411" t="s">
        <v>298</v>
      </c>
      <c r="C31" s="411" t="s">
        <v>299</v>
      </c>
      <c r="D31" s="555">
        <v>244</v>
      </c>
      <c r="E31" s="556">
        <v>0</v>
      </c>
      <c r="F31" s="411" t="s">
        <v>285</v>
      </c>
      <c r="G31" s="556">
        <v>24</v>
      </c>
      <c r="H31" s="557">
        <v>243.801652892562</v>
      </c>
      <c r="I31" s="299"/>
      <c r="J31" s="566"/>
      <c r="K31" s="567"/>
      <c r="L31" s="357"/>
      <c r="M31" s="568">
        <v>39</v>
      </c>
      <c r="N31" s="569">
        <v>6</v>
      </c>
      <c r="O31" s="568">
        <v>0</v>
      </c>
      <c r="P31" s="569">
        <v>7</v>
      </c>
      <c r="Q31" s="568">
        <v>0</v>
      </c>
      <c r="R31" s="569">
        <v>7</v>
      </c>
      <c r="S31" s="570">
        <v>0</v>
      </c>
      <c r="T31" s="569">
        <v>6</v>
      </c>
      <c r="V31" s="571">
        <v>0.19834710743799633</v>
      </c>
      <c r="W31" s="299"/>
      <c r="X31" s="566"/>
      <c r="Y31" s="567"/>
      <c r="Z31" s="357"/>
      <c r="AA31" s="568">
        <v>61</v>
      </c>
      <c r="AB31" s="569">
        <v>144</v>
      </c>
      <c r="AC31" s="568">
        <v>76</v>
      </c>
      <c r="AD31" s="569">
        <v>168</v>
      </c>
      <c r="AE31" s="568">
        <v>76</v>
      </c>
      <c r="AF31" s="569">
        <v>168</v>
      </c>
      <c r="AG31" s="570">
        <v>100</v>
      </c>
      <c r="AH31" s="569">
        <v>144</v>
      </c>
      <c r="AI31" s="284"/>
    </row>
    <row r="32" spans="2:35">
      <c r="B32" s="558" t="s">
        <v>298</v>
      </c>
      <c r="C32" s="558" t="s">
        <v>300</v>
      </c>
      <c r="D32" s="559">
        <v>200</v>
      </c>
      <c r="E32" s="560">
        <v>0</v>
      </c>
      <c r="F32" s="558" t="s">
        <v>285</v>
      </c>
      <c r="G32" s="560">
        <v>24</v>
      </c>
      <c r="H32" s="561">
        <v>200</v>
      </c>
      <c r="I32" s="299"/>
      <c r="J32" s="572" t="s">
        <v>15</v>
      </c>
      <c r="K32" s="573" t="s">
        <v>15</v>
      </c>
      <c r="L32" s="357"/>
      <c r="M32" s="572">
        <v>29</v>
      </c>
      <c r="N32" s="573">
        <v>6</v>
      </c>
      <c r="O32" s="572">
        <v>0</v>
      </c>
      <c r="P32" s="573">
        <v>6</v>
      </c>
      <c r="Q32" s="572">
        <v>0</v>
      </c>
      <c r="R32" s="573">
        <v>6</v>
      </c>
      <c r="S32" s="574">
        <v>0</v>
      </c>
      <c r="T32" s="573">
        <v>6</v>
      </c>
      <c r="U32" s="109"/>
      <c r="V32" s="575">
        <v>0</v>
      </c>
      <c r="W32" s="299"/>
      <c r="X32" s="572" t="s">
        <v>15</v>
      </c>
      <c r="Y32" s="573" t="s">
        <v>15</v>
      </c>
      <c r="Z32" s="357"/>
      <c r="AA32" s="572">
        <v>27</v>
      </c>
      <c r="AB32" s="573">
        <v>144</v>
      </c>
      <c r="AC32" s="572">
        <v>56</v>
      </c>
      <c r="AD32" s="573">
        <v>144</v>
      </c>
      <c r="AE32" s="572">
        <v>56</v>
      </c>
      <c r="AF32" s="573">
        <v>144</v>
      </c>
      <c r="AG32" s="574">
        <v>56</v>
      </c>
      <c r="AH32" s="573">
        <v>144</v>
      </c>
      <c r="AI32" s="284"/>
    </row>
    <row r="33" spans="2:35">
      <c r="B33" s="411" t="s">
        <v>607</v>
      </c>
      <c r="C33" s="411" t="s">
        <v>608</v>
      </c>
      <c r="D33" s="555">
        <v>207</v>
      </c>
      <c r="E33" s="556">
        <v>0</v>
      </c>
      <c r="F33" s="411" t="s">
        <v>285</v>
      </c>
      <c r="G33" s="556">
        <v>24</v>
      </c>
      <c r="H33" s="557">
        <v>177.68595041322314</v>
      </c>
      <c r="I33" s="299"/>
      <c r="J33" s="566" t="s">
        <v>15</v>
      </c>
      <c r="K33" s="567" t="s">
        <v>15</v>
      </c>
      <c r="L33" s="357"/>
      <c r="M33" s="568">
        <v>29</v>
      </c>
      <c r="N33" s="569">
        <v>5</v>
      </c>
      <c r="O33" s="568">
        <v>0</v>
      </c>
      <c r="P33" s="569">
        <v>6</v>
      </c>
      <c r="Q33" s="568">
        <v>0</v>
      </c>
      <c r="R33" s="569">
        <v>6</v>
      </c>
      <c r="S33" s="570">
        <v>0</v>
      </c>
      <c r="T33" s="569">
        <v>5</v>
      </c>
      <c r="V33" s="571">
        <v>29.314049586776861</v>
      </c>
      <c r="W33" s="299"/>
      <c r="X33" s="566" t="s">
        <v>15</v>
      </c>
      <c r="Y33" s="567" t="s">
        <v>15</v>
      </c>
      <c r="Z33" s="357"/>
      <c r="AA33" s="568">
        <v>58</v>
      </c>
      <c r="AB33" s="569">
        <v>120</v>
      </c>
      <c r="AC33" s="568">
        <v>63</v>
      </c>
      <c r="AD33" s="569">
        <v>144</v>
      </c>
      <c r="AE33" s="568">
        <v>63</v>
      </c>
      <c r="AF33" s="569">
        <v>144</v>
      </c>
      <c r="AG33" s="570">
        <v>87</v>
      </c>
      <c r="AH33" s="569">
        <v>120</v>
      </c>
      <c r="AI33" s="284"/>
    </row>
    <row r="34" spans="2:35">
      <c r="B34" s="558" t="s">
        <v>61</v>
      </c>
      <c r="C34" s="558" t="s">
        <v>618</v>
      </c>
      <c r="D34" s="559">
        <v>248</v>
      </c>
      <c r="E34" s="560">
        <v>0</v>
      </c>
      <c r="F34" s="558" t="s">
        <v>285</v>
      </c>
      <c r="G34" s="560">
        <v>24</v>
      </c>
      <c r="H34" s="561">
        <v>132</v>
      </c>
      <c r="I34" s="299"/>
      <c r="J34" s="572" t="s">
        <v>15</v>
      </c>
      <c r="K34" s="573" t="s">
        <v>15</v>
      </c>
      <c r="L34" s="357"/>
      <c r="M34" s="572">
        <v>0</v>
      </c>
      <c r="N34" s="573">
        <v>4</v>
      </c>
      <c r="O34" s="572">
        <v>0</v>
      </c>
      <c r="P34" s="573">
        <v>4</v>
      </c>
      <c r="Q34" s="572">
        <v>0</v>
      </c>
      <c r="R34" s="573">
        <v>4</v>
      </c>
      <c r="S34" s="574">
        <v>0</v>
      </c>
      <c r="T34" s="573">
        <v>3</v>
      </c>
      <c r="U34" s="109"/>
      <c r="V34" s="575">
        <v>116</v>
      </c>
      <c r="W34" s="299"/>
      <c r="X34" s="572" t="s">
        <v>15</v>
      </c>
      <c r="Y34" s="573" t="s">
        <v>15</v>
      </c>
      <c r="Z34" s="357"/>
      <c r="AA34" s="572">
        <v>152</v>
      </c>
      <c r="AB34" s="573">
        <v>96</v>
      </c>
      <c r="AC34" s="572">
        <v>152</v>
      </c>
      <c r="AD34" s="573">
        <v>96</v>
      </c>
      <c r="AE34" s="572">
        <v>152</v>
      </c>
      <c r="AF34" s="573">
        <v>96</v>
      </c>
      <c r="AG34" s="574">
        <v>176</v>
      </c>
      <c r="AH34" s="573">
        <v>72</v>
      </c>
      <c r="AI34" s="284"/>
    </row>
    <row r="35" spans="2:35">
      <c r="B35" s="411" t="s">
        <v>61</v>
      </c>
      <c r="C35" s="587" t="s">
        <v>638</v>
      </c>
      <c r="D35" s="555">
        <v>0</v>
      </c>
      <c r="E35" s="556">
        <v>0</v>
      </c>
      <c r="F35" s="411" t="s">
        <v>285</v>
      </c>
      <c r="G35" s="556">
        <v>12</v>
      </c>
      <c r="H35" s="557">
        <v>0</v>
      </c>
      <c r="I35" s="299"/>
      <c r="J35" s="566" t="s">
        <v>15</v>
      </c>
      <c r="K35" s="567" t="s">
        <v>15</v>
      </c>
      <c r="L35" s="357"/>
      <c r="M35" s="568" t="s">
        <v>15</v>
      </c>
      <c r="N35" s="569" t="s">
        <v>15</v>
      </c>
      <c r="O35" s="568" t="s">
        <v>15</v>
      </c>
      <c r="P35" s="569" t="s">
        <v>15</v>
      </c>
      <c r="Q35" s="568" t="s">
        <v>15</v>
      </c>
      <c r="R35" s="569" t="s">
        <v>15</v>
      </c>
      <c r="S35" s="570">
        <v>0</v>
      </c>
      <c r="T35" s="569">
        <v>0</v>
      </c>
      <c r="V35" s="571">
        <v>0</v>
      </c>
      <c r="W35" s="299"/>
      <c r="X35" s="566" t="s">
        <v>15</v>
      </c>
      <c r="Y35" s="567" t="s">
        <v>15</v>
      </c>
      <c r="Z35" s="357"/>
      <c r="AA35" s="568" t="s">
        <v>15</v>
      </c>
      <c r="AB35" s="569" t="s">
        <v>15</v>
      </c>
      <c r="AC35" s="568" t="s">
        <v>15</v>
      </c>
      <c r="AD35" s="569" t="s">
        <v>15</v>
      </c>
      <c r="AE35" s="568" t="s">
        <v>15</v>
      </c>
      <c r="AF35" s="569" t="s">
        <v>15</v>
      </c>
      <c r="AG35" s="570">
        <v>0</v>
      </c>
      <c r="AH35" s="569">
        <v>0</v>
      </c>
      <c r="AI35" s="284"/>
    </row>
    <row r="36" spans="2:35">
      <c r="B36" s="558" t="s">
        <v>65</v>
      </c>
      <c r="C36" s="558" t="s">
        <v>491</v>
      </c>
      <c r="D36" s="559">
        <v>182</v>
      </c>
      <c r="E36" s="560">
        <v>3.75</v>
      </c>
      <c r="F36" s="558" t="s">
        <v>191</v>
      </c>
      <c r="G36" s="560">
        <v>24</v>
      </c>
      <c r="H36" s="561">
        <v>161.98347107438016</v>
      </c>
      <c r="I36" s="299"/>
      <c r="J36" s="572" t="s">
        <v>15</v>
      </c>
      <c r="K36" s="573" t="s">
        <v>15</v>
      </c>
      <c r="L36" s="357"/>
      <c r="M36" s="572">
        <v>29</v>
      </c>
      <c r="N36" s="573">
        <v>4</v>
      </c>
      <c r="O36" s="572">
        <v>0</v>
      </c>
      <c r="P36" s="573">
        <v>5</v>
      </c>
      <c r="Q36" s="572">
        <v>0</v>
      </c>
      <c r="R36" s="573">
        <v>5</v>
      </c>
      <c r="S36" s="574">
        <v>0</v>
      </c>
      <c r="T36" s="573">
        <v>4</v>
      </c>
      <c r="U36" s="109"/>
      <c r="V36" s="575">
        <v>20.016528925619838</v>
      </c>
      <c r="W36" s="299"/>
      <c r="X36" s="572" t="s">
        <v>15</v>
      </c>
      <c r="Y36" s="573" t="s">
        <v>15</v>
      </c>
      <c r="Z36" s="357"/>
      <c r="AA36" s="572">
        <v>57</v>
      </c>
      <c r="AB36" s="573">
        <v>96</v>
      </c>
      <c r="AC36" s="572">
        <v>62</v>
      </c>
      <c r="AD36" s="573">
        <v>120</v>
      </c>
      <c r="AE36" s="572">
        <v>62</v>
      </c>
      <c r="AF36" s="573">
        <v>120</v>
      </c>
      <c r="AG36" s="574">
        <v>86</v>
      </c>
      <c r="AH36" s="573">
        <v>96</v>
      </c>
      <c r="AI36" s="284"/>
    </row>
    <row r="37" spans="2:35" ht="13" thickBot="1">
      <c r="B37" s="562" t="s">
        <v>181</v>
      </c>
      <c r="C37" s="562" t="s">
        <v>560</v>
      </c>
      <c r="D37" s="562">
        <v>167</v>
      </c>
      <c r="E37" s="562">
        <v>3.75</v>
      </c>
      <c r="F37" s="562" t="s">
        <v>191</v>
      </c>
      <c r="G37" s="562">
        <v>24</v>
      </c>
      <c r="H37" s="562">
        <v>123.14049586776859</v>
      </c>
      <c r="I37" s="299"/>
      <c r="J37" s="576" t="s">
        <v>15</v>
      </c>
      <c r="K37" s="577" t="s">
        <v>15</v>
      </c>
      <c r="L37" s="360"/>
      <c r="M37" s="576">
        <v>0</v>
      </c>
      <c r="N37" s="577">
        <v>4</v>
      </c>
      <c r="O37" s="576">
        <v>0</v>
      </c>
      <c r="P37" s="577">
        <v>4</v>
      </c>
      <c r="Q37" s="576">
        <v>0</v>
      </c>
      <c r="R37" s="577">
        <v>4</v>
      </c>
      <c r="S37" s="576">
        <v>0</v>
      </c>
      <c r="T37" s="577">
        <v>3</v>
      </c>
      <c r="U37" s="150"/>
      <c r="V37" s="578">
        <v>43.859504132231407</v>
      </c>
      <c r="W37" s="299"/>
      <c r="X37" s="576" t="s">
        <v>15</v>
      </c>
      <c r="Y37" s="577" t="s">
        <v>15</v>
      </c>
      <c r="Z37" s="357"/>
      <c r="AA37" s="576" t="s">
        <v>15</v>
      </c>
      <c r="AB37" s="577" t="s">
        <v>15</v>
      </c>
      <c r="AC37" s="576" t="s">
        <v>15</v>
      </c>
      <c r="AD37" s="577" t="s">
        <v>15</v>
      </c>
      <c r="AE37" s="576" t="s">
        <v>15</v>
      </c>
      <c r="AF37" s="577" t="s">
        <v>15</v>
      </c>
      <c r="AG37" s="576">
        <v>95</v>
      </c>
      <c r="AH37" s="577">
        <v>72</v>
      </c>
      <c r="AI37" s="284"/>
    </row>
    <row r="38" spans="2:35">
      <c r="AI38" s="284"/>
    </row>
    <row r="39" spans="2:35">
      <c r="AI39" s="284"/>
    </row>
    <row r="40" spans="2:35" ht="20.5" thickBot="1">
      <c r="B40" s="526" t="s">
        <v>333</v>
      </c>
      <c r="AI40" s="284"/>
    </row>
    <row r="41" spans="2:35">
      <c r="B41" s="395" t="s">
        <v>298</v>
      </c>
      <c r="C41" s="395" t="s">
        <v>431</v>
      </c>
      <c r="D41" s="394">
        <v>66</v>
      </c>
      <c r="E41" s="395">
        <v>0</v>
      </c>
      <c r="F41" s="355" t="s">
        <v>285</v>
      </c>
      <c r="G41" s="395">
        <v>12</v>
      </c>
      <c r="H41" s="395">
        <v>47.11</v>
      </c>
      <c r="I41" s="299"/>
      <c r="J41" s="334" t="s">
        <v>15</v>
      </c>
      <c r="K41" s="335" t="s">
        <v>15</v>
      </c>
      <c r="L41" s="357"/>
      <c r="M41" s="334" t="s">
        <v>15</v>
      </c>
      <c r="N41" s="335" t="s">
        <v>15</v>
      </c>
      <c r="O41" s="336" t="s">
        <v>15</v>
      </c>
      <c r="P41" s="335" t="s">
        <v>15</v>
      </c>
      <c r="Q41" s="336">
        <v>0</v>
      </c>
      <c r="R41" s="335">
        <v>0</v>
      </c>
      <c r="S41" s="336" t="s">
        <v>15</v>
      </c>
      <c r="T41" s="335" t="s">
        <v>15</v>
      </c>
      <c r="U41" s="153"/>
      <c r="V41" s="358">
        <v>18.89</v>
      </c>
      <c r="W41" s="359"/>
      <c r="X41" s="334" t="s">
        <v>15</v>
      </c>
      <c r="Y41" s="335" t="s">
        <v>15</v>
      </c>
      <c r="Z41" s="357"/>
      <c r="AA41" s="334" t="s">
        <v>15</v>
      </c>
      <c r="AB41" s="335" t="s">
        <v>15</v>
      </c>
      <c r="AC41" s="336" t="s">
        <v>15</v>
      </c>
      <c r="AD41" s="335" t="s">
        <v>15</v>
      </c>
      <c r="AE41" s="336">
        <v>66</v>
      </c>
      <c r="AF41" s="335">
        <v>0</v>
      </c>
      <c r="AG41" s="336" t="s">
        <v>15</v>
      </c>
      <c r="AH41" s="335" t="s">
        <v>15</v>
      </c>
      <c r="AI41" s="284"/>
    </row>
    <row r="42" spans="2:35" ht="13" thickBot="1">
      <c r="B42" s="356" t="s">
        <v>60</v>
      </c>
      <c r="C42" s="356" t="s">
        <v>319</v>
      </c>
      <c r="D42" s="563">
        <v>49</v>
      </c>
      <c r="E42" s="564">
        <v>0</v>
      </c>
      <c r="F42" s="356" t="s">
        <v>285</v>
      </c>
      <c r="G42" s="564">
        <v>12</v>
      </c>
      <c r="H42" s="565">
        <v>43.801652892561982</v>
      </c>
      <c r="I42" s="299"/>
      <c r="J42" s="332" t="s">
        <v>15</v>
      </c>
      <c r="K42" s="333" t="s">
        <v>15</v>
      </c>
      <c r="L42" s="360"/>
      <c r="M42" s="332" t="s">
        <v>15</v>
      </c>
      <c r="N42" s="333" t="s">
        <v>15</v>
      </c>
      <c r="O42" s="332" t="s">
        <v>15</v>
      </c>
      <c r="P42" s="333" t="s">
        <v>15</v>
      </c>
      <c r="Q42" s="579">
        <v>0</v>
      </c>
      <c r="R42" s="580">
        <v>0</v>
      </c>
      <c r="S42" s="581" t="s">
        <v>15</v>
      </c>
      <c r="T42" s="333" t="s">
        <v>15</v>
      </c>
      <c r="U42" s="109"/>
      <c r="V42" s="582">
        <v>5.1983471074380176</v>
      </c>
      <c r="W42" s="299"/>
      <c r="X42" s="332" t="s">
        <v>15</v>
      </c>
      <c r="Y42" s="333" t="s">
        <v>15</v>
      </c>
      <c r="Z42" s="360"/>
      <c r="AA42" s="332" t="s">
        <v>15</v>
      </c>
      <c r="AB42" s="333" t="s">
        <v>15</v>
      </c>
      <c r="AC42" s="332" t="s">
        <v>15</v>
      </c>
      <c r="AD42" s="333" t="s">
        <v>15</v>
      </c>
      <c r="AE42" s="332">
        <v>49</v>
      </c>
      <c r="AF42" s="333">
        <v>0</v>
      </c>
      <c r="AG42" s="581" t="s">
        <v>15</v>
      </c>
      <c r="AH42" s="333" t="s">
        <v>15</v>
      </c>
      <c r="AI42" s="284"/>
    </row>
    <row r="43" spans="2:35" ht="13" thickBot="1">
      <c r="B43" s="113" t="s">
        <v>639</v>
      </c>
      <c r="AI43" s="284"/>
    </row>
    <row r="44" spans="2:35">
      <c r="B44" s="521"/>
      <c r="C44" s="521"/>
      <c r="D44" s="521"/>
      <c r="E44" s="521"/>
      <c r="F44" s="521"/>
      <c r="G44" s="521"/>
      <c r="H44" s="521"/>
      <c r="J44" s="521"/>
      <c r="K44" s="521"/>
      <c r="M44" s="521"/>
      <c r="N44" s="521"/>
      <c r="O44" s="521"/>
      <c r="P44" s="521"/>
      <c r="Q44" s="521"/>
      <c r="R44" s="521"/>
      <c r="S44" s="521"/>
      <c r="T44" s="521"/>
      <c r="U44" s="109"/>
      <c r="V44" s="521"/>
      <c r="X44" s="521"/>
      <c r="Y44" s="521"/>
      <c r="AA44" s="521"/>
      <c r="AB44" s="521"/>
      <c r="AC44" s="521"/>
      <c r="AD44" s="521"/>
      <c r="AE44" s="521"/>
      <c r="AF44" s="521"/>
      <c r="AG44" s="521"/>
      <c r="AH44" s="521"/>
      <c r="AI44" s="284"/>
    </row>
    <row r="45" spans="2:35">
      <c r="AI45" s="284"/>
    </row>
    <row r="47" spans="2:35">
      <c r="C47" s="113" t="s">
        <v>345</v>
      </c>
    </row>
    <row r="48" spans="2:35">
      <c r="C48" s="113" t="s">
        <v>237</v>
      </c>
    </row>
    <row r="53" spans="2:9" ht="17.25" customHeight="1"/>
    <row r="54" spans="2:9" ht="17.25" customHeight="1"/>
    <row r="58" spans="2:9">
      <c r="I58" s="299"/>
    </row>
    <row r="59" spans="2:9">
      <c r="I59" s="299"/>
    </row>
    <row r="60" spans="2:9" ht="20">
      <c r="B60" s="349"/>
      <c r="C60" s="329"/>
      <c r="D60" s="350"/>
      <c r="E60" s="350"/>
      <c r="F60" s="351"/>
      <c r="G60" s="350"/>
      <c r="H60" s="330"/>
    </row>
    <row r="61" spans="2:9">
      <c r="B61" s="347"/>
      <c r="C61" s="347"/>
      <c r="D61" s="348"/>
      <c r="E61" s="348"/>
      <c r="F61" s="347"/>
      <c r="G61" s="348"/>
      <c r="H61" s="264"/>
      <c r="I61" s="299"/>
    </row>
    <row r="62" spans="2:9" ht="20">
      <c r="B62" s="349"/>
      <c r="C62" s="329"/>
      <c r="D62" s="350"/>
      <c r="E62" s="350"/>
      <c r="F62" s="351"/>
      <c r="G62" s="350"/>
      <c r="H62" s="330"/>
    </row>
    <row r="63" spans="2:9">
      <c r="C63" s="352"/>
      <c r="H63" s="330"/>
    </row>
    <row r="64" spans="2:9">
      <c r="H64" s="353"/>
    </row>
  </sheetData>
  <sheetProtection algorithmName="SHA-512" hashValue="aynRUKpM4HC4CoYZummb3Tc6kQ7A7Kg1vQZNMVn6upaxgs4AmrUfLCPRSFNAI0QxZEQ+uBj5YIAFUzN2oLQ2Tg==" saltValue="wbTIDI34pToBvNOyiT5Lkw==" spinCount="100000" sheet="1" objects="1" scenarios="1"/>
  <autoFilter ref="B24:C24" xr:uid="{00000000-0009-0000-0000-000004000000}"/>
  <mergeCells count="55">
    <mergeCell ref="V18:V22"/>
    <mergeCell ref="X18:Y20"/>
    <mergeCell ref="AA18:AH18"/>
    <mergeCell ref="M20:T20"/>
    <mergeCell ref="AA20:AH20"/>
    <mergeCell ref="M22:N22"/>
    <mergeCell ref="O22:P22"/>
    <mergeCell ref="Q22:R22"/>
    <mergeCell ref="S22:T22"/>
    <mergeCell ref="X22:Y22"/>
    <mergeCell ref="AA22:AB22"/>
    <mergeCell ref="AC22:AD22"/>
    <mergeCell ref="AE22:AF22"/>
    <mergeCell ref="AG22:AH22"/>
    <mergeCell ref="S15:T15"/>
    <mergeCell ref="O14:P14"/>
    <mergeCell ref="B18:G22"/>
    <mergeCell ref="H18:H22"/>
    <mergeCell ref="J18:K20"/>
    <mergeCell ref="M18:T18"/>
    <mergeCell ref="J22:K22"/>
    <mergeCell ref="D15:G15"/>
    <mergeCell ref="J15:K15"/>
    <mergeCell ref="M15:N15"/>
    <mergeCell ref="O15:P15"/>
    <mergeCell ref="Q15:R15"/>
    <mergeCell ref="D14:G14"/>
    <mergeCell ref="J14:K14"/>
    <mergeCell ref="M14:N14"/>
    <mergeCell ref="Q14:R14"/>
    <mergeCell ref="S5:T12"/>
    <mergeCell ref="D13:G13"/>
    <mergeCell ref="J13:K13"/>
    <mergeCell ref="M13:N13"/>
    <mergeCell ref="O13:P13"/>
    <mergeCell ref="Q13:R13"/>
    <mergeCell ref="S13:T13"/>
    <mergeCell ref="O5:P12"/>
    <mergeCell ref="M5:N12"/>
    <mergeCell ref="S14:T14"/>
    <mergeCell ref="B2:G2"/>
    <mergeCell ref="H2:H4"/>
    <mergeCell ref="J2:K2"/>
    <mergeCell ref="M2:T2"/>
    <mergeCell ref="D4:G4"/>
    <mergeCell ref="J4:K4"/>
    <mergeCell ref="M4:N4"/>
    <mergeCell ref="O4:P4"/>
    <mergeCell ref="Q4:R4"/>
    <mergeCell ref="S4:T4"/>
    <mergeCell ref="B5:C15"/>
    <mergeCell ref="D5:G12"/>
    <mergeCell ref="H5:H12"/>
    <mergeCell ref="J5:K12"/>
    <mergeCell ref="Q5:R12"/>
  </mergeCells>
  <conditionalFormatting sqref="C43">
    <cfRule type="cellIs" dxfId="61" priority="1" operator="equal">
      <formula>"Phase Out"</formula>
    </cfRule>
    <cfRule type="cellIs" dxfId="60" priority="2" operator="equal">
      <formula>"Liquidado"</formula>
    </cfRule>
  </conditionalFormatting>
  <conditionalFormatting sqref="C63">
    <cfRule type="cellIs" dxfId="59" priority="39" operator="equal">
      <formula>"Phase Out"</formula>
    </cfRule>
    <cfRule type="cellIs" dxfId="58" priority="40" operator="equal">
      <formula>"Liquidado"</formula>
    </cfRule>
  </conditionalFormatting>
  <pageMargins left="0.70866141732283472" right="0.70866141732283472" top="0.74803149606299213" bottom="0.74803149606299213" header="0.31496062992125984" footer="0.31496062992125984"/>
  <pageSetup paperSize="9" scale="66" orientation="landscape" r:id="rId1"/>
  <headerFooter>
    <oddFooter>&amp;C&amp;1#&amp;"Calibri"&amp;8&amp;KED7D31Orange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>
    <pageSetUpPr fitToPage="1"/>
  </sheetPr>
  <dimension ref="B1:BO262"/>
  <sheetViews>
    <sheetView showGridLines="0" zoomScale="70" zoomScaleNormal="70" workbookViewId="0">
      <selection activeCell="H197" sqref="H197"/>
    </sheetView>
  </sheetViews>
  <sheetFormatPr baseColWidth="10" defaultRowHeight="12.5"/>
  <cols>
    <col min="1" max="1" width="4.81640625" style="113" customWidth="1"/>
    <col min="2" max="2" width="12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50" customWidth="1"/>
    <col min="9" max="13" width="15.54296875" style="113" hidden="1" customWidth="1"/>
    <col min="14" max="14" width="1.54296875" style="150" hidden="1" customWidth="1"/>
    <col min="15" max="19" width="15.54296875" style="113" hidden="1" customWidth="1"/>
    <col min="20" max="20" width="2.81640625" style="113" hidden="1" customWidth="1"/>
    <col min="21" max="25" width="15.54296875" style="113" customWidth="1"/>
    <col min="26" max="26" width="1.54296875" style="150" customWidth="1"/>
    <col min="27" max="31" width="15.54296875" style="113" customWidth="1"/>
    <col min="32" max="32" width="11.453125" style="113"/>
    <col min="33" max="37" width="13.81640625" style="113" customWidth="1"/>
    <col min="38" max="38" width="1.54296875" style="113" customWidth="1"/>
    <col min="39" max="43" width="13.81640625" style="113" customWidth="1"/>
    <col min="44" max="245" width="11.453125" style="113"/>
    <col min="246" max="246" width="1.453125" style="113" customWidth="1"/>
    <col min="247" max="247" width="15.81640625" style="113" customWidth="1"/>
    <col min="248" max="248" width="49.81640625" style="113" bestFit="1" customWidth="1"/>
    <col min="249" max="249" width="8.81640625" style="113" bestFit="1" customWidth="1"/>
    <col min="250" max="251" width="8.1796875" style="113" customWidth="1"/>
    <col min="252" max="252" width="2.453125" style="113" customWidth="1"/>
    <col min="253" max="257" width="15.54296875" style="113" customWidth="1"/>
    <col min="258" max="258" width="1.54296875" style="113" customWidth="1"/>
    <col min="259" max="263" width="15.54296875" style="113" customWidth="1"/>
    <col min="264" max="264" width="4.81640625" style="113" customWidth="1"/>
    <col min="265" max="269" width="15.54296875" style="113" customWidth="1"/>
    <col min="270" max="270" width="1.54296875" style="113" customWidth="1"/>
    <col min="271" max="275" width="15.54296875" style="113" customWidth="1"/>
    <col min="276" max="501" width="11.453125" style="113"/>
    <col min="502" max="502" width="1.453125" style="113" customWidth="1"/>
    <col min="503" max="503" width="15.81640625" style="113" customWidth="1"/>
    <col min="504" max="504" width="49.81640625" style="113" bestFit="1" customWidth="1"/>
    <col min="505" max="505" width="8.81640625" style="113" bestFit="1" customWidth="1"/>
    <col min="506" max="507" width="8.1796875" style="113" customWidth="1"/>
    <col min="508" max="508" width="2.453125" style="113" customWidth="1"/>
    <col min="509" max="513" width="15.54296875" style="113" customWidth="1"/>
    <col min="514" max="514" width="1.54296875" style="113" customWidth="1"/>
    <col min="515" max="519" width="15.54296875" style="113" customWidth="1"/>
    <col min="520" max="520" width="4.81640625" style="113" customWidth="1"/>
    <col min="521" max="525" width="15.54296875" style="113" customWidth="1"/>
    <col min="526" max="526" width="1.54296875" style="113" customWidth="1"/>
    <col min="527" max="531" width="15.54296875" style="113" customWidth="1"/>
    <col min="532" max="757" width="11.453125" style="113"/>
    <col min="758" max="758" width="1.453125" style="113" customWidth="1"/>
    <col min="759" max="759" width="15.81640625" style="113" customWidth="1"/>
    <col min="760" max="760" width="49.81640625" style="113" bestFit="1" customWidth="1"/>
    <col min="761" max="761" width="8.81640625" style="113" bestFit="1" customWidth="1"/>
    <col min="762" max="763" width="8.1796875" style="113" customWidth="1"/>
    <col min="764" max="764" width="2.453125" style="113" customWidth="1"/>
    <col min="765" max="769" width="15.54296875" style="113" customWidth="1"/>
    <col min="770" max="770" width="1.54296875" style="113" customWidth="1"/>
    <col min="771" max="775" width="15.54296875" style="113" customWidth="1"/>
    <col min="776" max="776" width="4.81640625" style="113" customWidth="1"/>
    <col min="777" max="781" width="15.54296875" style="113" customWidth="1"/>
    <col min="782" max="782" width="1.54296875" style="113" customWidth="1"/>
    <col min="783" max="787" width="15.54296875" style="113" customWidth="1"/>
    <col min="788" max="1013" width="11.453125" style="113"/>
    <col min="1014" max="1014" width="1.453125" style="113" customWidth="1"/>
    <col min="1015" max="1015" width="15.81640625" style="113" customWidth="1"/>
    <col min="1016" max="1016" width="49.81640625" style="113" bestFit="1" customWidth="1"/>
    <col min="1017" max="1017" width="8.81640625" style="113" bestFit="1" customWidth="1"/>
    <col min="1018" max="1019" width="8.1796875" style="113" customWidth="1"/>
    <col min="1020" max="1020" width="2.453125" style="113" customWidth="1"/>
    <col min="1021" max="1025" width="15.54296875" style="113" customWidth="1"/>
    <col min="1026" max="1026" width="1.54296875" style="113" customWidth="1"/>
    <col min="1027" max="1031" width="15.54296875" style="113" customWidth="1"/>
    <col min="1032" max="1032" width="4.81640625" style="113" customWidth="1"/>
    <col min="1033" max="1037" width="15.54296875" style="113" customWidth="1"/>
    <col min="1038" max="1038" width="1.54296875" style="113" customWidth="1"/>
    <col min="1039" max="1043" width="15.54296875" style="113" customWidth="1"/>
    <col min="1044" max="1269" width="11.453125" style="113"/>
    <col min="1270" max="1270" width="1.453125" style="113" customWidth="1"/>
    <col min="1271" max="1271" width="15.81640625" style="113" customWidth="1"/>
    <col min="1272" max="1272" width="49.81640625" style="113" bestFit="1" customWidth="1"/>
    <col min="1273" max="1273" width="8.81640625" style="113" bestFit="1" customWidth="1"/>
    <col min="1274" max="1275" width="8.1796875" style="113" customWidth="1"/>
    <col min="1276" max="1276" width="2.453125" style="113" customWidth="1"/>
    <col min="1277" max="1281" width="15.54296875" style="113" customWidth="1"/>
    <col min="1282" max="1282" width="1.54296875" style="113" customWidth="1"/>
    <col min="1283" max="1287" width="15.54296875" style="113" customWidth="1"/>
    <col min="1288" max="1288" width="4.81640625" style="113" customWidth="1"/>
    <col min="1289" max="1293" width="15.54296875" style="113" customWidth="1"/>
    <col min="1294" max="1294" width="1.54296875" style="113" customWidth="1"/>
    <col min="1295" max="1299" width="15.54296875" style="113" customWidth="1"/>
    <col min="1300" max="1525" width="11.453125" style="113"/>
    <col min="1526" max="1526" width="1.453125" style="113" customWidth="1"/>
    <col min="1527" max="1527" width="15.81640625" style="113" customWidth="1"/>
    <col min="1528" max="1528" width="49.81640625" style="113" bestFit="1" customWidth="1"/>
    <col min="1529" max="1529" width="8.81640625" style="113" bestFit="1" customWidth="1"/>
    <col min="1530" max="1531" width="8.1796875" style="113" customWidth="1"/>
    <col min="1532" max="1532" width="2.453125" style="113" customWidth="1"/>
    <col min="1533" max="1537" width="15.54296875" style="113" customWidth="1"/>
    <col min="1538" max="1538" width="1.54296875" style="113" customWidth="1"/>
    <col min="1539" max="1543" width="15.54296875" style="113" customWidth="1"/>
    <col min="1544" max="1544" width="4.81640625" style="113" customWidth="1"/>
    <col min="1545" max="1549" width="15.54296875" style="113" customWidth="1"/>
    <col min="1550" max="1550" width="1.54296875" style="113" customWidth="1"/>
    <col min="1551" max="1555" width="15.54296875" style="113" customWidth="1"/>
    <col min="1556" max="1781" width="11.453125" style="113"/>
    <col min="1782" max="1782" width="1.453125" style="113" customWidth="1"/>
    <col min="1783" max="1783" width="15.81640625" style="113" customWidth="1"/>
    <col min="1784" max="1784" width="49.81640625" style="113" bestFit="1" customWidth="1"/>
    <col min="1785" max="1785" width="8.81640625" style="113" bestFit="1" customWidth="1"/>
    <col min="1786" max="1787" width="8.1796875" style="113" customWidth="1"/>
    <col min="1788" max="1788" width="2.453125" style="113" customWidth="1"/>
    <col min="1789" max="1793" width="15.54296875" style="113" customWidth="1"/>
    <col min="1794" max="1794" width="1.54296875" style="113" customWidth="1"/>
    <col min="1795" max="1799" width="15.54296875" style="113" customWidth="1"/>
    <col min="1800" max="1800" width="4.81640625" style="113" customWidth="1"/>
    <col min="1801" max="1805" width="15.54296875" style="113" customWidth="1"/>
    <col min="1806" max="1806" width="1.54296875" style="113" customWidth="1"/>
    <col min="1807" max="1811" width="15.54296875" style="113" customWidth="1"/>
    <col min="1812" max="2037" width="11.453125" style="113"/>
    <col min="2038" max="2038" width="1.453125" style="113" customWidth="1"/>
    <col min="2039" max="2039" width="15.81640625" style="113" customWidth="1"/>
    <col min="2040" max="2040" width="49.81640625" style="113" bestFit="1" customWidth="1"/>
    <col min="2041" max="2041" width="8.81640625" style="113" bestFit="1" customWidth="1"/>
    <col min="2042" max="2043" width="8.1796875" style="113" customWidth="1"/>
    <col min="2044" max="2044" width="2.453125" style="113" customWidth="1"/>
    <col min="2045" max="2049" width="15.54296875" style="113" customWidth="1"/>
    <col min="2050" max="2050" width="1.54296875" style="113" customWidth="1"/>
    <col min="2051" max="2055" width="15.54296875" style="113" customWidth="1"/>
    <col min="2056" max="2056" width="4.81640625" style="113" customWidth="1"/>
    <col min="2057" max="2061" width="15.54296875" style="113" customWidth="1"/>
    <col min="2062" max="2062" width="1.54296875" style="113" customWidth="1"/>
    <col min="2063" max="2067" width="15.54296875" style="113" customWidth="1"/>
    <col min="2068" max="2293" width="11.453125" style="113"/>
    <col min="2294" max="2294" width="1.453125" style="113" customWidth="1"/>
    <col min="2295" max="2295" width="15.81640625" style="113" customWidth="1"/>
    <col min="2296" max="2296" width="49.81640625" style="113" bestFit="1" customWidth="1"/>
    <col min="2297" max="2297" width="8.81640625" style="113" bestFit="1" customWidth="1"/>
    <col min="2298" max="2299" width="8.1796875" style="113" customWidth="1"/>
    <col min="2300" max="2300" width="2.453125" style="113" customWidth="1"/>
    <col min="2301" max="2305" width="15.54296875" style="113" customWidth="1"/>
    <col min="2306" max="2306" width="1.54296875" style="113" customWidth="1"/>
    <col min="2307" max="2311" width="15.54296875" style="113" customWidth="1"/>
    <col min="2312" max="2312" width="4.81640625" style="113" customWidth="1"/>
    <col min="2313" max="2317" width="15.54296875" style="113" customWidth="1"/>
    <col min="2318" max="2318" width="1.54296875" style="113" customWidth="1"/>
    <col min="2319" max="2323" width="15.54296875" style="113" customWidth="1"/>
    <col min="2324" max="2549" width="11.453125" style="113"/>
    <col min="2550" max="2550" width="1.453125" style="113" customWidth="1"/>
    <col min="2551" max="2551" width="15.81640625" style="113" customWidth="1"/>
    <col min="2552" max="2552" width="49.81640625" style="113" bestFit="1" customWidth="1"/>
    <col min="2553" max="2553" width="8.81640625" style="113" bestFit="1" customWidth="1"/>
    <col min="2554" max="2555" width="8.1796875" style="113" customWidth="1"/>
    <col min="2556" max="2556" width="2.453125" style="113" customWidth="1"/>
    <col min="2557" max="2561" width="15.54296875" style="113" customWidth="1"/>
    <col min="2562" max="2562" width="1.54296875" style="113" customWidth="1"/>
    <col min="2563" max="2567" width="15.54296875" style="113" customWidth="1"/>
    <col min="2568" max="2568" width="4.81640625" style="113" customWidth="1"/>
    <col min="2569" max="2573" width="15.54296875" style="113" customWidth="1"/>
    <col min="2574" max="2574" width="1.54296875" style="113" customWidth="1"/>
    <col min="2575" max="2579" width="15.54296875" style="113" customWidth="1"/>
    <col min="2580" max="2805" width="11.453125" style="113"/>
    <col min="2806" max="2806" width="1.453125" style="113" customWidth="1"/>
    <col min="2807" max="2807" width="15.81640625" style="113" customWidth="1"/>
    <col min="2808" max="2808" width="49.81640625" style="113" bestFit="1" customWidth="1"/>
    <col min="2809" max="2809" width="8.81640625" style="113" bestFit="1" customWidth="1"/>
    <col min="2810" max="2811" width="8.1796875" style="113" customWidth="1"/>
    <col min="2812" max="2812" width="2.453125" style="113" customWidth="1"/>
    <col min="2813" max="2817" width="15.54296875" style="113" customWidth="1"/>
    <col min="2818" max="2818" width="1.54296875" style="113" customWidth="1"/>
    <col min="2819" max="2823" width="15.54296875" style="113" customWidth="1"/>
    <col min="2824" max="2824" width="4.81640625" style="113" customWidth="1"/>
    <col min="2825" max="2829" width="15.54296875" style="113" customWidth="1"/>
    <col min="2830" max="2830" width="1.54296875" style="113" customWidth="1"/>
    <col min="2831" max="2835" width="15.54296875" style="113" customWidth="1"/>
    <col min="2836" max="3061" width="11.453125" style="113"/>
    <col min="3062" max="3062" width="1.453125" style="113" customWidth="1"/>
    <col min="3063" max="3063" width="15.81640625" style="113" customWidth="1"/>
    <col min="3064" max="3064" width="49.81640625" style="113" bestFit="1" customWidth="1"/>
    <col min="3065" max="3065" width="8.81640625" style="113" bestFit="1" customWidth="1"/>
    <col min="3066" max="3067" width="8.1796875" style="113" customWidth="1"/>
    <col min="3068" max="3068" width="2.453125" style="113" customWidth="1"/>
    <col min="3069" max="3073" width="15.54296875" style="113" customWidth="1"/>
    <col min="3074" max="3074" width="1.54296875" style="113" customWidth="1"/>
    <col min="3075" max="3079" width="15.54296875" style="113" customWidth="1"/>
    <col min="3080" max="3080" width="4.81640625" style="113" customWidth="1"/>
    <col min="3081" max="3085" width="15.54296875" style="113" customWidth="1"/>
    <col min="3086" max="3086" width="1.54296875" style="113" customWidth="1"/>
    <col min="3087" max="3091" width="15.54296875" style="113" customWidth="1"/>
    <col min="3092" max="3317" width="11.453125" style="113"/>
    <col min="3318" max="3318" width="1.453125" style="113" customWidth="1"/>
    <col min="3319" max="3319" width="15.81640625" style="113" customWidth="1"/>
    <col min="3320" max="3320" width="49.81640625" style="113" bestFit="1" customWidth="1"/>
    <col min="3321" max="3321" width="8.81640625" style="113" bestFit="1" customWidth="1"/>
    <col min="3322" max="3323" width="8.1796875" style="113" customWidth="1"/>
    <col min="3324" max="3324" width="2.453125" style="113" customWidth="1"/>
    <col min="3325" max="3329" width="15.54296875" style="113" customWidth="1"/>
    <col min="3330" max="3330" width="1.54296875" style="113" customWidth="1"/>
    <col min="3331" max="3335" width="15.54296875" style="113" customWidth="1"/>
    <col min="3336" max="3336" width="4.81640625" style="113" customWidth="1"/>
    <col min="3337" max="3341" width="15.54296875" style="113" customWidth="1"/>
    <col min="3342" max="3342" width="1.54296875" style="113" customWidth="1"/>
    <col min="3343" max="3347" width="15.54296875" style="113" customWidth="1"/>
    <col min="3348" max="3573" width="11.453125" style="113"/>
    <col min="3574" max="3574" width="1.453125" style="113" customWidth="1"/>
    <col min="3575" max="3575" width="15.81640625" style="113" customWidth="1"/>
    <col min="3576" max="3576" width="49.81640625" style="113" bestFit="1" customWidth="1"/>
    <col min="3577" max="3577" width="8.81640625" style="113" bestFit="1" customWidth="1"/>
    <col min="3578" max="3579" width="8.1796875" style="113" customWidth="1"/>
    <col min="3580" max="3580" width="2.453125" style="113" customWidth="1"/>
    <col min="3581" max="3585" width="15.54296875" style="113" customWidth="1"/>
    <col min="3586" max="3586" width="1.54296875" style="113" customWidth="1"/>
    <col min="3587" max="3591" width="15.54296875" style="113" customWidth="1"/>
    <col min="3592" max="3592" width="4.81640625" style="113" customWidth="1"/>
    <col min="3593" max="3597" width="15.54296875" style="113" customWidth="1"/>
    <col min="3598" max="3598" width="1.54296875" style="113" customWidth="1"/>
    <col min="3599" max="3603" width="15.54296875" style="113" customWidth="1"/>
    <col min="3604" max="3829" width="11.453125" style="113"/>
    <col min="3830" max="3830" width="1.453125" style="113" customWidth="1"/>
    <col min="3831" max="3831" width="15.81640625" style="113" customWidth="1"/>
    <col min="3832" max="3832" width="49.81640625" style="113" bestFit="1" customWidth="1"/>
    <col min="3833" max="3833" width="8.81640625" style="113" bestFit="1" customWidth="1"/>
    <col min="3834" max="3835" width="8.1796875" style="113" customWidth="1"/>
    <col min="3836" max="3836" width="2.453125" style="113" customWidth="1"/>
    <col min="3837" max="3841" width="15.54296875" style="113" customWidth="1"/>
    <col min="3842" max="3842" width="1.54296875" style="113" customWidth="1"/>
    <col min="3843" max="3847" width="15.54296875" style="113" customWidth="1"/>
    <col min="3848" max="3848" width="4.81640625" style="113" customWidth="1"/>
    <col min="3849" max="3853" width="15.54296875" style="113" customWidth="1"/>
    <col min="3854" max="3854" width="1.54296875" style="113" customWidth="1"/>
    <col min="3855" max="3859" width="15.54296875" style="113" customWidth="1"/>
    <col min="3860" max="4085" width="11.453125" style="113"/>
    <col min="4086" max="4086" width="1.453125" style="113" customWidth="1"/>
    <col min="4087" max="4087" width="15.81640625" style="113" customWidth="1"/>
    <col min="4088" max="4088" width="49.81640625" style="113" bestFit="1" customWidth="1"/>
    <col min="4089" max="4089" width="8.81640625" style="113" bestFit="1" customWidth="1"/>
    <col min="4090" max="4091" width="8.1796875" style="113" customWidth="1"/>
    <col min="4092" max="4092" width="2.453125" style="113" customWidth="1"/>
    <col min="4093" max="4097" width="15.54296875" style="113" customWidth="1"/>
    <col min="4098" max="4098" width="1.54296875" style="113" customWidth="1"/>
    <col min="4099" max="4103" width="15.54296875" style="113" customWidth="1"/>
    <col min="4104" max="4104" width="4.81640625" style="113" customWidth="1"/>
    <col min="4105" max="4109" width="15.54296875" style="113" customWidth="1"/>
    <col min="4110" max="4110" width="1.54296875" style="113" customWidth="1"/>
    <col min="4111" max="4115" width="15.54296875" style="113" customWidth="1"/>
    <col min="4116" max="4341" width="11.453125" style="113"/>
    <col min="4342" max="4342" width="1.453125" style="113" customWidth="1"/>
    <col min="4343" max="4343" width="15.81640625" style="113" customWidth="1"/>
    <col min="4344" max="4344" width="49.81640625" style="113" bestFit="1" customWidth="1"/>
    <col min="4345" max="4345" width="8.81640625" style="113" bestFit="1" customWidth="1"/>
    <col min="4346" max="4347" width="8.1796875" style="113" customWidth="1"/>
    <col min="4348" max="4348" width="2.453125" style="113" customWidth="1"/>
    <col min="4349" max="4353" width="15.54296875" style="113" customWidth="1"/>
    <col min="4354" max="4354" width="1.54296875" style="113" customWidth="1"/>
    <col min="4355" max="4359" width="15.54296875" style="113" customWidth="1"/>
    <col min="4360" max="4360" width="4.81640625" style="113" customWidth="1"/>
    <col min="4361" max="4365" width="15.54296875" style="113" customWidth="1"/>
    <col min="4366" max="4366" width="1.54296875" style="113" customWidth="1"/>
    <col min="4367" max="4371" width="15.54296875" style="113" customWidth="1"/>
    <col min="4372" max="4597" width="11.453125" style="113"/>
    <col min="4598" max="4598" width="1.453125" style="113" customWidth="1"/>
    <col min="4599" max="4599" width="15.81640625" style="113" customWidth="1"/>
    <col min="4600" max="4600" width="49.81640625" style="113" bestFit="1" customWidth="1"/>
    <col min="4601" max="4601" width="8.81640625" style="113" bestFit="1" customWidth="1"/>
    <col min="4602" max="4603" width="8.1796875" style="113" customWidth="1"/>
    <col min="4604" max="4604" width="2.453125" style="113" customWidth="1"/>
    <col min="4605" max="4609" width="15.54296875" style="113" customWidth="1"/>
    <col min="4610" max="4610" width="1.54296875" style="113" customWidth="1"/>
    <col min="4611" max="4615" width="15.54296875" style="113" customWidth="1"/>
    <col min="4616" max="4616" width="4.81640625" style="113" customWidth="1"/>
    <col min="4617" max="4621" width="15.54296875" style="113" customWidth="1"/>
    <col min="4622" max="4622" width="1.54296875" style="113" customWidth="1"/>
    <col min="4623" max="4627" width="15.54296875" style="113" customWidth="1"/>
    <col min="4628" max="4853" width="11.453125" style="113"/>
    <col min="4854" max="4854" width="1.453125" style="113" customWidth="1"/>
    <col min="4855" max="4855" width="15.81640625" style="113" customWidth="1"/>
    <col min="4856" max="4856" width="49.81640625" style="113" bestFit="1" customWidth="1"/>
    <col min="4857" max="4857" width="8.81640625" style="113" bestFit="1" customWidth="1"/>
    <col min="4858" max="4859" width="8.1796875" style="113" customWidth="1"/>
    <col min="4860" max="4860" width="2.453125" style="113" customWidth="1"/>
    <col min="4861" max="4865" width="15.54296875" style="113" customWidth="1"/>
    <col min="4866" max="4866" width="1.54296875" style="113" customWidth="1"/>
    <col min="4867" max="4871" width="15.54296875" style="113" customWidth="1"/>
    <col min="4872" max="4872" width="4.81640625" style="113" customWidth="1"/>
    <col min="4873" max="4877" width="15.54296875" style="113" customWidth="1"/>
    <col min="4878" max="4878" width="1.54296875" style="113" customWidth="1"/>
    <col min="4879" max="4883" width="15.54296875" style="113" customWidth="1"/>
    <col min="4884" max="5109" width="11.453125" style="113"/>
    <col min="5110" max="5110" width="1.453125" style="113" customWidth="1"/>
    <col min="5111" max="5111" width="15.81640625" style="113" customWidth="1"/>
    <col min="5112" max="5112" width="49.81640625" style="113" bestFit="1" customWidth="1"/>
    <col min="5113" max="5113" width="8.81640625" style="113" bestFit="1" customWidth="1"/>
    <col min="5114" max="5115" width="8.1796875" style="113" customWidth="1"/>
    <col min="5116" max="5116" width="2.453125" style="113" customWidth="1"/>
    <col min="5117" max="5121" width="15.54296875" style="113" customWidth="1"/>
    <col min="5122" max="5122" width="1.54296875" style="113" customWidth="1"/>
    <col min="5123" max="5127" width="15.54296875" style="113" customWidth="1"/>
    <col min="5128" max="5128" width="4.81640625" style="113" customWidth="1"/>
    <col min="5129" max="5133" width="15.54296875" style="113" customWidth="1"/>
    <col min="5134" max="5134" width="1.54296875" style="113" customWidth="1"/>
    <col min="5135" max="5139" width="15.54296875" style="113" customWidth="1"/>
    <col min="5140" max="5365" width="11.453125" style="113"/>
    <col min="5366" max="5366" width="1.453125" style="113" customWidth="1"/>
    <col min="5367" max="5367" width="15.81640625" style="113" customWidth="1"/>
    <col min="5368" max="5368" width="49.81640625" style="113" bestFit="1" customWidth="1"/>
    <col min="5369" max="5369" width="8.81640625" style="113" bestFit="1" customWidth="1"/>
    <col min="5370" max="5371" width="8.1796875" style="113" customWidth="1"/>
    <col min="5372" max="5372" width="2.453125" style="113" customWidth="1"/>
    <col min="5373" max="5377" width="15.54296875" style="113" customWidth="1"/>
    <col min="5378" max="5378" width="1.54296875" style="113" customWidth="1"/>
    <col min="5379" max="5383" width="15.54296875" style="113" customWidth="1"/>
    <col min="5384" max="5384" width="4.81640625" style="113" customWidth="1"/>
    <col min="5385" max="5389" width="15.54296875" style="113" customWidth="1"/>
    <col min="5390" max="5390" width="1.54296875" style="113" customWidth="1"/>
    <col min="5391" max="5395" width="15.54296875" style="113" customWidth="1"/>
    <col min="5396" max="5621" width="11.453125" style="113"/>
    <col min="5622" max="5622" width="1.453125" style="113" customWidth="1"/>
    <col min="5623" max="5623" width="15.81640625" style="113" customWidth="1"/>
    <col min="5624" max="5624" width="49.81640625" style="113" bestFit="1" customWidth="1"/>
    <col min="5625" max="5625" width="8.81640625" style="113" bestFit="1" customWidth="1"/>
    <col min="5626" max="5627" width="8.1796875" style="113" customWidth="1"/>
    <col min="5628" max="5628" width="2.453125" style="113" customWidth="1"/>
    <col min="5629" max="5633" width="15.54296875" style="113" customWidth="1"/>
    <col min="5634" max="5634" width="1.54296875" style="113" customWidth="1"/>
    <col min="5635" max="5639" width="15.54296875" style="113" customWidth="1"/>
    <col min="5640" max="5640" width="4.81640625" style="113" customWidth="1"/>
    <col min="5641" max="5645" width="15.54296875" style="113" customWidth="1"/>
    <col min="5646" max="5646" width="1.54296875" style="113" customWidth="1"/>
    <col min="5647" max="5651" width="15.54296875" style="113" customWidth="1"/>
    <col min="5652" max="5877" width="11.453125" style="113"/>
    <col min="5878" max="5878" width="1.453125" style="113" customWidth="1"/>
    <col min="5879" max="5879" width="15.81640625" style="113" customWidth="1"/>
    <col min="5880" max="5880" width="49.81640625" style="113" bestFit="1" customWidth="1"/>
    <col min="5881" max="5881" width="8.81640625" style="113" bestFit="1" customWidth="1"/>
    <col min="5882" max="5883" width="8.1796875" style="113" customWidth="1"/>
    <col min="5884" max="5884" width="2.453125" style="113" customWidth="1"/>
    <col min="5885" max="5889" width="15.54296875" style="113" customWidth="1"/>
    <col min="5890" max="5890" width="1.54296875" style="113" customWidth="1"/>
    <col min="5891" max="5895" width="15.54296875" style="113" customWidth="1"/>
    <col min="5896" max="5896" width="4.81640625" style="113" customWidth="1"/>
    <col min="5897" max="5901" width="15.54296875" style="113" customWidth="1"/>
    <col min="5902" max="5902" width="1.54296875" style="113" customWidth="1"/>
    <col min="5903" max="5907" width="15.54296875" style="113" customWidth="1"/>
    <col min="5908" max="6133" width="11.453125" style="113"/>
    <col min="6134" max="6134" width="1.453125" style="113" customWidth="1"/>
    <col min="6135" max="6135" width="15.81640625" style="113" customWidth="1"/>
    <col min="6136" max="6136" width="49.81640625" style="113" bestFit="1" customWidth="1"/>
    <col min="6137" max="6137" width="8.81640625" style="113" bestFit="1" customWidth="1"/>
    <col min="6138" max="6139" width="8.1796875" style="113" customWidth="1"/>
    <col min="6140" max="6140" width="2.453125" style="113" customWidth="1"/>
    <col min="6141" max="6145" width="15.54296875" style="113" customWidth="1"/>
    <col min="6146" max="6146" width="1.54296875" style="113" customWidth="1"/>
    <col min="6147" max="6151" width="15.54296875" style="113" customWidth="1"/>
    <col min="6152" max="6152" width="4.81640625" style="113" customWidth="1"/>
    <col min="6153" max="6157" width="15.54296875" style="113" customWidth="1"/>
    <col min="6158" max="6158" width="1.54296875" style="113" customWidth="1"/>
    <col min="6159" max="6163" width="15.54296875" style="113" customWidth="1"/>
    <col min="6164" max="6389" width="11.453125" style="113"/>
    <col min="6390" max="6390" width="1.453125" style="113" customWidth="1"/>
    <col min="6391" max="6391" width="15.81640625" style="113" customWidth="1"/>
    <col min="6392" max="6392" width="49.81640625" style="113" bestFit="1" customWidth="1"/>
    <col min="6393" max="6393" width="8.81640625" style="113" bestFit="1" customWidth="1"/>
    <col min="6394" max="6395" width="8.1796875" style="113" customWidth="1"/>
    <col min="6396" max="6396" width="2.453125" style="113" customWidth="1"/>
    <col min="6397" max="6401" width="15.54296875" style="113" customWidth="1"/>
    <col min="6402" max="6402" width="1.54296875" style="113" customWidth="1"/>
    <col min="6403" max="6407" width="15.54296875" style="113" customWidth="1"/>
    <col min="6408" max="6408" width="4.81640625" style="113" customWidth="1"/>
    <col min="6409" max="6413" width="15.54296875" style="113" customWidth="1"/>
    <col min="6414" max="6414" width="1.54296875" style="113" customWidth="1"/>
    <col min="6415" max="6419" width="15.54296875" style="113" customWidth="1"/>
    <col min="6420" max="6645" width="11.453125" style="113"/>
    <col min="6646" max="6646" width="1.453125" style="113" customWidth="1"/>
    <col min="6647" max="6647" width="15.81640625" style="113" customWidth="1"/>
    <col min="6648" max="6648" width="49.81640625" style="113" bestFit="1" customWidth="1"/>
    <col min="6649" max="6649" width="8.81640625" style="113" bestFit="1" customWidth="1"/>
    <col min="6650" max="6651" width="8.1796875" style="113" customWidth="1"/>
    <col min="6652" max="6652" width="2.453125" style="113" customWidth="1"/>
    <col min="6653" max="6657" width="15.54296875" style="113" customWidth="1"/>
    <col min="6658" max="6658" width="1.54296875" style="113" customWidth="1"/>
    <col min="6659" max="6663" width="15.54296875" style="113" customWidth="1"/>
    <col min="6664" max="6664" width="4.81640625" style="113" customWidth="1"/>
    <col min="6665" max="6669" width="15.54296875" style="113" customWidth="1"/>
    <col min="6670" max="6670" width="1.54296875" style="113" customWidth="1"/>
    <col min="6671" max="6675" width="15.54296875" style="113" customWidth="1"/>
    <col min="6676" max="6901" width="11.453125" style="113"/>
    <col min="6902" max="6902" width="1.453125" style="113" customWidth="1"/>
    <col min="6903" max="6903" width="15.81640625" style="113" customWidth="1"/>
    <col min="6904" max="6904" width="49.81640625" style="113" bestFit="1" customWidth="1"/>
    <col min="6905" max="6905" width="8.81640625" style="113" bestFit="1" customWidth="1"/>
    <col min="6906" max="6907" width="8.1796875" style="113" customWidth="1"/>
    <col min="6908" max="6908" width="2.453125" style="113" customWidth="1"/>
    <col min="6909" max="6913" width="15.54296875" style="113" customWidth="1"/>
    <col min="6914" max="6914" width="1.54296875" style="113" customWidth="1"/>
    <col min="6915" max="6919" width="15.54296875" style="113" customWidth="1"/>
    <col min="6920" max="6920" width="4.81640625" style="113" customWidth="1"/>
    <col min="6921" max="6925" width="15.54296875" style="113" customWidth="1"/>
    <col min="6926" max="6926" width="1.54296875" style="113" customWidth="1"/>
    <col min="6927" max="6931" width="15.54296875" style="113" customWidth="1"/>
    <col min="6932" max="7157" width="11.453125" style="113"/>
    <col min="7158" max="7158" width="1.453125" style="113" customWidth="1"/>
    <col min="7159" max="7159" width="15.81640625" style="113" customWidth="1"/>
    <col min="7160" max="7160" width="49.81640625" style="113" bestFit="1" customWidth="1"/>
    <col min="7161" max="7161" width="8.81640625" style="113" bestFit="1" customWidth="1"/>
    <col min="7162" max="7163" width="8.1796875" style="113" customWidth="1"/>
    <col min="7164" max="7164" width="2.453125" style="113" customWidth="1"/>
    <col min="7165" max="7169" width="15.54296875" style="113" customWidth="1"/>
    <col min="7170" max="7170" width="1.54296875" style="113" customWidth="1"/>
    <col min="7171" max="7175" width="15.54296875" style="113" customWidth="1"/>
    <col min="7176" max="7176" width="4.81640625" style="113" customWidth="1"/>
    <col min="7177" max="7181" width="15.54296875" style="113" customWidth="1"/>
    <col min="7182" max="7182" width="1.54296875" style="113" customWidth="1"/>
    <col min="7183" max="7187" width="15.54296875" style="113" customWidth="1"/>
    <col min="7188" max="7413" width="11.453125" style="113"/>
    <col min="7414" max="7414" width="1.453125" style="113" customWidth="1"/>
    <col min="7415" max="7415" width="15.81640625" style="113" customWidth="1"/>
    <col min="7416" max="7416" width="49.81640625" style="113" bestFit="1" customWidth="1"/>
    <col min="7417" max="7417" width="8.81640625" style="113" bestFit="1" customWidth="1"/>
    <col min="7418" max="7419" width="8.1796875" style="113" customWidth="1"/>
    <col min="7420" max="7420" width="2.453125" style="113" customWidth="1"/>
    <col min="7421" max="7425" width="15.54296875" style="113" customWidth="1"/>
    <col min="7426" max="7426" width="1.54296875" style="113" customWidth="1"/>
    <col min="7427" max="7431" width="15.54296875" style="113" customWidth="1"/>
    <col min="7432" max="7432" width="4.81640625" style="113" customWidth="1"/>
    <col min="7433" max="7437" width="15.54296875" style="113" customWidth="1"/>
    <col min="7438" max="7438" width="1.54296875" style="113" customWidth="1"/>
    <col min="7439" max="7443" width="15.54296875" style="113" customWidth="1"/>
    <col min="7444" max="7669" width="11.453125" style="113"/>
    <col min="7670" max="7670" width="1.453125" style="113" customWidth="1"/>
    <col min="7671" max="7671" width="15.81640625" style="113" customWidth="1"/>
    <col min="7672" max="7672" width="49.81640625" style="113" bestFit="1" customWidth="1"/>
    <col min="7673" max="7673" width="8.81640625" style="113" bestFit="1" customWidth="1"/>
    <col min="7674" max="7675" width="8.1796875" style="113" customWidth="1"/>
    <col min="7676" max="7676" width="2.453125" style="113" customWidth="1"/>
    <col min="7677" max="7681" width="15.54296875" style="113" customWidth="1"/>
    <col min="7682" max="7682" width="1.54296875" style="113" customWidth="1"/>
    <col min="7683" max="7687" width="15.54296875" style="113" customWidth="1"/>
    <col min="7688" max="7688" width="4.81640625" style="113" customWidth="1"/>
    <col min="7689" max="7693" width="15.54296875" style="113" customWidth="1"/>
    <col min="7694" max="7694" width="1.54296875" style="113" customWidth="1"/>
    <col min="7695" max="7699" width="15.54296875" style="113" customWidth="1"/>
    <col min="7700" max="7925" width="11.453125" style="113"/>
    <col min="7926" max="7926" width="1.453125" style="113" customWidth="1"/>
    <col min="7927" max="7927" width="15.81640625" style="113" customWidth="1"/>
    <col min="7928" max="7928" width="49.81640625" style="113" bestFit="1" customWidth="1"/>
    <col min="7929" max="7929" width="8.81640625" style="113" bestFit="1" customWidth="1"/>
    <col min="7930" max="7931" width="8.1796875" style="113" customWidth="1"/>
    <col min="7932" max="7932" width="2.453125" style="113" customWidth="1"/>
    <col min="7933" max="7937" width="15.54296875" style="113" customWidth="1"/>
    <col min="7938" max="7938" width="1.54296875" style="113" customWidth="1"/>
    <col min="7939" max="7943" width="15.54296875" style="113" customWidth="1"/>
    <col min="7944" max="7944" width="4.81640625" style="113" customWidth="1"/>
    <col min="7945" max="7949" width="15.54296875" style="113" customWidth="1"/>
    <col min="7950" max="7950" width="1.54296875" style="113" customWidth="1"/>
    <col min="7951" max="7955" width="15.54296875" style="113" customWidth="1"/>
    <col min="7956" max="8181" width="11.453125" style="113"/>
    <col min="8182" max="8182" width="1.453125" style="113" customWidth="1"/>
    <col min="8183" max="8183" width="15.81640625" style="113" customWidth="1"/>
    <col min="8184" max="8184" width="49.81640625" style="113" bestFit="1" customWidth="1"/>
    <col min="8185" max="8185" width="8.81640625" style="113" bestFit="1" customWidth="1"/>
    <col min="8186" max="8187" width="8.1796875" style="113" customWidth="1"/>
    <col min="8188" max="8188" width="2.453125" style="113" customWidth="1"/>
    <col min="8189" max="8193" width="15.54296875" style="113" customWidth="1"/>
    <col min="8194" max="8194" width="1.54296875" style="113" customWidth="1"/>
    <col min="8195" max="8199" width="15.54296875" style="113" customWidth="1"/>
    <col min="8200" max="8200" width="4.81640625" style="113" customWidth="1"/>
    <col min="8201" max="8205" width="15.54296875" style="113" customWidth="1"/>
    <col min="8206" max="8206" width="1.54296875" style="113" customWidth="1"/>
    <col min="8207" max="8211" width="15.54296875" style="113" customWidth="1"/>
    <col min="8212" max="8437" width="11.453125" style="113"/>
    <col min="8438" max="8438" width="1.453125" style="113" customWidth="1"/>
    <col min="8439" max="8439" width="15.81640625" style="113" customWidth="1"/>
    <col min="8440" max="8440" width="49.81640625" style="113" bestFit="1" customWidth="1"/>
    <col min="8441" max="8441" width="8.81640625" style="113" bestFit="1" customWidth="1"/>
    <col min="8442" max="8443" width="8.1796875" style="113" customWidth="1"/>
    <col min="8444" max="8444" width="2.453125" style="113" customWidth="1"/>
    <col min="8445" max="8449" width="15.54296875" style="113" customWidth="1"/>
    <col min="8450" max="8450" width="1.54296875" style="113" customWidth="1"/>
    <col min="8451" max="8455" width="15.54296875" style="113" customWidth="1"/>
    <col min="8456" max="8456" width="4.81640625" style="113" customWidth="1"/>
    <col min="8457" max="8461" width="15.54296875" style="113" customWidth="1"/>
    <col min="8462" max="8462" width="1.54296875" style="113" customWidth="1"/>
    <col min="8463" max="8467" width="15.54296875" style="113" customWidth="1"/>
    <col min="8468" max="8693" width="11.453125" style="113"/>
    <col min="8694" max="8694" width="1.453125" style="113" customWidth="1"/>
    <col min="8695" max="8695" width="15.81640625" style="113" customWidth="1"/>
    <col min="8696" max="8696" width="49.81640625" style="113" bestFit="1" customWidth="1"/>
    <col min="8697" max="8697" width="8.81640625" style="113" bestFit="1" customWidth="1"/>
    <col min="8698" max="8699" width="8.1796875" style="113" customWidth="1"/>
    <col min="8700" max="8700" width="2.453125" style="113" customWidth="1"/>
    <col min="8701" max="8705" width="15.54296875" style="113" customWidth="1"/>
    <col min="8706" max="8706" width="1.54296875" style="113" customWidth="1"/>
    <col min="8707" max="8711" width="15.54296875" style="113" customWidth="1"/>
    <col min="8712" max="8712" width="4.81640625" style="113" customWidth="1"/>
    <col min="8713" max="8717" width="15.54296875" style="113" customWidth="1"/>
    <col min="8718" max="8718" width="1.54296875" style="113" customWidth="1"/>
    <col min="8719" max="8723" width="15.54296875" style="113" customWidth="1"/>
    <col min="8724" max="8949" width="11.453125" style="113"/>
    <col min="8950" max="8950" width="1.453125" style="113" customWidth="1"/>
    <col min="8951" max="8951" width="15.81640625" style="113" customWidth="1"/>
    <col min="8952" max="8952" width="49.81640625" style="113" bestFit="1" customWidth="1"/>
    <col min="8953" max="8953" width="8.81640625" style="113" bestFit="1" customWidth="1"/>
    <col min="8954" max="8955" width="8.1796875" style="113" customWidth="1"/>
    <col min="8956" max="8956" width="2.453125" style="113" customWidth="1"/>
    <col min="8957" max="8961" width="15.54296875" style="113" customWidth="1"/>
    <col min="8962" max="8962" width="1.54296875" style="113" customWidth="1"/>
    <col min="8963" max="8967" width="15.54296875" style="113" customWidth="1"/>
    <col min="8968" max="8968" width="4.81640625" style="113" customWidth="1"/>
    <col min="8969" max="8973" width="15.54296875" style="113" customWidth="1"/>
    <col min="8974" max="8974" width="1.54296875" style="113" customWidth="1"/>
    <col min="8975" max="8979" width="15.54296875" style="113" customWidth="1"/>
    <col min="8980" max="9205" width="11.453125" style="113"/>
    <col min="9206" max="9206" width="1.453125" style="113" customWidth="1"/>
    <col min="9207" max="9207" width="15.81640625" style="113" customWidth="1"/>
    <col min="9208" max="9208" width="49.81640625" style="113" bestFit="1" customWidth="1"/>
    <col min="9209" max="9209" width="8.81640625" style="113" bestFit="1" customWidth="1"/>
    <col min="9210" max="9211" width="8.1796875" style="113" customWidth="1"/>
    <col min="9212" max="9212" width="2.453125" style="113" customWidth="1"/>
    <col min="9213" max="9217" width="15.54296875" style="113" customWidth="1"/>
    <col min="9218" max="9218" width="1.54296875" style="113" customWidth="1"/>
    <col min="9219" max="9223" width="15.54296875" style="113" customWidth="1"/>
    <col min="9224" max="9224" width="4.81640625" style="113" customWidth="1"/>
    <col min="9225" max="9229" width="15.54296875" style="113" customWidth="1"/>
    <col min="9230" max="9230" width="1.54296875" style="113" customWidth="1"/>
    <col min="9231" max="9235" width="15.54296875" style="113" customWidth="1"/>
    <col min="9236" max="9461" width="11.453125" style="113"/>
    <col min="9462" max="9462" width="1.453125" style="113" customWidth="1"/>
    <col min="9463" max="9463" width="15.81640625" style="113" customWidth="1"/>
    <col min="9464" max="9464" width="49.81640625" style="113" bestFit="1" customWidth="1"/>
    <col min="9465" max="9465" width="8.81640625" style="113" bestFit="1" customWidth="1"/>
    <col min="9466" max="9467" width="8.1796875" style="113" customWidth="1"/>
    <col min="9468" max="9468" width="2.453125" style="113" customWidth="1"/>
    <col min="9469" max="9473" width="15.54296875" style="113" customWidth="1"/>
    <col min="9474" max="9474" width="1.54296875" style="113" customWidth="1"/>
    <col min="9475" max="9479" width="15.54296875" style="113" customWidth="1"/>
    <col min="9480" max="9480" width="4.81640625" style="113" customWidth="1"/>
    <col min="9481" max="9485" width="15.54296875" style="113" customWidth="1"/>
    <col min="9486" max="9486" width="1.54296875" style="113" customWidth="1"/>
    <col min="9487" max="9491" width="15.54296875" style="113" customWidth="1"/>
    <col min="9492" max="9717" width="11.453125" style="113"/>
    <col min="9718" max="9718" width="1.453125" style="113" customWidth="1"/>
    <col min="9719" max="9719" width="15.81640625" style="113" customWidth="1"/>
    <col min="9720" max="9720" width="49.81640625" style="113" bestFit="1" customWidth="1"/>
    <col min="9721" max="9721" width="8.81640625" style="113" bestFit="1" customWidth="1"/>
    <col min="9722" max="9723" width="8.1796875" style="113" customWidth="1"/>
    <col min="9724" max="9724" width="2.453125" style="113" customWidth="1"/>
    <col min="9725" max="9729" width="15.54296875" style="113" customWidth="1"/>
    <col min="9730" max="9730" width="1.54296875" style="113" customWidth="1"/>
    <col min="9731" max="9735" width="15.54296875" style="113" customWidth="1"/>
    <col min="9736" max="9736" width="4.81640625" style="113" customWidth="1"/>
    <col min="9737" max="9741" width="15.54296875" style="113" customWidth="1"/>
    <col min="9742" max="9742" width="1.54296875" style="113" customWidth="1"/>
    <col min="9743" max="9747" width="15.54296875" style="113" customWidth="1"/>
    <col min="9748" max="9973" width="11.453125" style="113"/>
    <col min="9974" max="9974" width="1.453125" style="113" customWidth="1"/>
    <col min="9975" max="9975" width="15.81640625" style="113" customWidth="1"/>
    <col min="9976" max="9976" width="49.81640625" style="113" bestFit="1" customWidth="1"/>
    <col min="9977" max="9977" width="8.81640625" style="113" bestFit="1" customWidth="1"/>
    <col min="9978" max="9979" width="8.1796875" style="113" customWidth="1"/>
    <col min="9980" max="9980" width="2.453125" style="113" customWidth="1"/>
    <col min="9981" max="9985" width="15.54296875" style="113" customWidth="1"/>
    <col min="9986" max="9986" width="1.54296875" style="113" customWidth="1"/>
    <col min="9987" max="9991" width="15.54296875" style="113" customWidth="1"/>
    <col min="9992" max="9992" width="4.81640625" style="113" customWidth="1"/>
    <col min="9993" max="9997" width="15.54296875" style="113" customWidth="1"/>
    <col min="9998" max="9998" width="1.54296875" style="113" customWidth="1"/>
    <col min="9999" max="10003" width="15.54296875" style="113" customWidth="1"/>
    <col min="10004" max="10229" width="11.453125" style="113"/>
    <col min="10230" max="10230" width="1.453125" style="113" customWidth="1"/>
    <col min="10231" max="10231" width="15.81640625" style="113" customWidth="1"/>
    <col min="10232" max="10232" width="49.81640625" style="113" bestFit="1" customWidth="1"/>
    <col min="10233" max="10233" width="8.81640625" style="113" bestFit="1" customWidth="1"/>
    <col min="10234" max="10235" width="8.1796875" style="113" customWidth="1"/>
    <col min="10236" max="10236" width="2.453125" style="113" customWidth="1"/>
    <col min="10237" max="10241" width="15.54296875" style="113" customWidth="1"/>
    <col min="10242" max="10242" width="1.54296875" style="113" customWidth="1"/>
    <col min="10243" max="10247" width="15.54296875" style="113" customWidth="1"/>
    <col min="10248" max="10248" width="4.81640625" style="113" customWidth="1"/>
    <col min="10249" max="10253" width="15.54296875" style="113" customWidth="1"/>
    <col min="10254" max="10254" width="1.54296875" style="113" customWidth="1"/>
    <col min="10255" max="10259" width="15.54296875" style="113" customWidth="1"/>
    <col min="10260" max="10485" width="11.453125" style="113"/>
    <col min="10486" max="10486" width="1.453125" style="113" customWidth="1"/>
    <col min="10487" max="10487" width="15.81640625" style="113" customWidth="1"/>
    <col min="10488" max="10488" width="49.81640625" style="113" bestFit="1" customWidth="1"/>
    <col min="10489" max="10489" width="8.81640625" style="113" bestFit="1" customWidth="1"/>
    <col min="10490" max="10491" width="8.1796875" style="113" customWidth="1"/>
    <col min="10492" max="10492" width="2.453125" style="113" customWidth="1"/>
    <col min="10493" max="10497" width="15.54296875" style="113" customWidth="1"/>
    <col min="10498" max="10498" width="1.54296875" style="113" customWidth="1"/>
    <col min="10499" max="10503" width="15.54296875" style="113" customWidth="1"/>
    <col min="10504" max="10504" width="4.81640625" style="113" customWidth="1"/>
    <col min="10505" max="10509" width="15.54296875" style="113" customWidth="1"/>
    <col min="10510" max="10510" width="1.54296875" style="113" customWidth="1"/>
    <col min="10511" max="10515" width="15.54296875" style="113" customWidth="1"/>
    <col min="10516" max="10741" width="11.453125" style="113"/>
    <col min="10742" max="10742" width="1.453125" style="113" customWidth="1"/>
    <col min="10743" max="10743" width="15.81640625" style="113" customWidth="1"/>
    <col min="10744" max="10744" width="49.81640625" style="113" bestFit="1" customWidth="1"/>
    <col min="10745" max="10745" width="8.81640625" style="113" bestFit="1" customWidth="1"/>
    <col min="10746" max="10747" width="8.1796875" style="113" customWidth="1"/>
    <col min="10748" max="10748" width="2.453125" style="113" customWidth="1"/>
    <col min="10749" max="10753" width="15.54296875" style="113" customWidth="1"/>
    <col min="10754" max="10754" width="1.54296875" style="113" customWidth="1"/>
    <col min="10755" max="10759" width="15.54296875" style="113" customWidth="1"/>
    <col min="10760" max="10760" width="4.81640625" style="113" customWidth="1"/>
    <col min="10761" max="10765" width="15.54296875" style="113" customWidth="1"/>
    <col min="10766" max="10766" width="1.54296875" style="113" customWidth="1"/>
    <col min="10767" max="10771" width="15.54296875" style="113" customWidth="1"/>
    <col min="10772" max="10997" width="11.453125" style="113"/>
    <col min="10998" max="10998" width="1.453125" style="113" customWidth="1"/>
    <col min="10999" max="10999" width="15.81640625" style="113" customWidth="1"/>
    <col min="11000" max="11000" width="49.81640625" style="113" bestFit="1" customWidth="1"/>
    <col min="11001" max="11001" width="8.81640625" style="113" bestFit="1" customWidth="1"/>
    <col min="11002" max="11003" width="8.1796875" style="113" customWidth="1"/>
    <col min="11004" max="11004" width="2.453125" style="113" customWidth="1"/>
    <col min="11005" max="11009" width="15.54296875" style="113" customWidth="1"/>
    <col min="11010" max="11010" width="1.54296875" style="113" customWidth="1"/>
    <col min="11011" max="11015" width="15.54296875" style="113" customWidth="1"/>
    <col min="11016" max="11016" width="4.81640625" style="113" customWidth="1"/>
    <col min="11017" max="11021" width="15.54296875" style="113" customWidth="1"/>
    <col min="11022" max="11022" width="1.54296875" style="113" customWidth="1"/>
    <col min="11023" max="11027" width="15.54296875" style="113" customWidth="1"/>
    <col min="11028" max="11253" width="11.453125" style="113"/>
    <col min="11254" max="11254" width="1.453125" style="113" customWidth="1"/>
    <col min="11255" max="11255" width="15.81640625" style="113" customWidth="1"/>
    <col min="11256" max="11256" width="49.81640625" style="113" bestFit="1" customWidth="1"/>
    <col min="11257" max="11257" width="8.81640625" style="113" bestFit="1" customWidth="1"/>
    <col min="11258" max="11259" width="8.1796875" style="113" customWidth="1"/>
    <col min="11260" max="11260" width="2.453125" style="113" customWidth="1"/>
    <col min="11261" max="11265" width="15.54296875" style="113" customWidth="1"/>
    <col min="11266" max="11266" width="1.54296875" style="113" customWidth="1"/>
    <col min="11267" max="11271" width="15.54296875" style="113" customWidth="1"/>
    <col min="11272" max="11272" width="4.81640625" style="113" customWidth="1"/>
    <col min="11273" max="11277" width="15.54296875" style="113" customWidth="1"/>
    <col min="11278" max="11278" width="1.54296875" style="113" customWidth="1"/>
    <col min="11279" max="11283" width="15.54296875" style="113" customWidth="1"/>
    <col min="11284" max="11509" width="11.453125" style="113"/>
    <col min="11510" max="11510" width="1.453125" style="113" customWidth="1"/>
    <col min="11511" max="11511" width="15.81640625" style="113" customWidth="1"/>
    <col min="11512" max="11512" width="49.81640625" style="113" bestFit="1" customWidth="1"/>
    <col min="11513" max="11513" width="8.81640625" style="113" bestFit="1" customWidth="1"/>
    <col min="11514" max="11515" width="8.1796875" style="113" customWidth="1"/>
    <col min="11516" max="11516" width="2.453125" style="113" customWidth="1"/>
    <col min="11517" max="11521" width="15.54296875" style="113" customWidth="1"/>
    <col min="11522" max="11522" width="1.54296875" style="113" customWidth="1"/>
    <col min="11523" max="11527" width="15.54296875" style="113" customWidth="1"/>
    <col min="11528" max="11528" width="4.81640625" style="113" customWidth="1"/>
    <col min="11529" max="11533" width="15.54296875" style="113" customWidth="1"/>
    <col min="11534" max="11534" width="1.54296875" style="113" customWidth="1"/>
    <col min="11535" max="11539" width="15.54296875" style="113" customWidth="1"/>
    <col min="11540" max="11765" width="11.453125" style="113"/>
    <col min="11766" max="11766" width="1.453125" style="113" customWidth="1"/>
    <col min="11767" max="11767" width="15.81640625" style="113" customWidth="1"/>
    <col min="11768" max="11768" width="49.81640625" style="113" bestFit="1" customWidth="1"/>
    <col min="11769" max="11769" width="8.81640625" style="113" bestFit="1" customWidth="1"/>
    <col min="11770" max="11771" width="8.1796875" style="113" customWidth="1"/>
    <col min="11772" max="11772" width="2.453125" style="113" customWidth="1"/>
    <col min="11773" max="11777" width="15.54296875" style="113" customWidth="1"/>
    <col min="11778" max="11778" width="1.54296875" style="113" customWidth="1"/>
    <col min="11779" max="11783" width="15.54296875" style="113" customWidth="1"/>
    <col min="11784" max="11784" width="4.81640625" style="113" customWidth="1"/>
    <col min="11785" max="11789" width="15.54296875" style="113" customWidth="1"/>
    <col min="11790" max="11790" width="1.54296875" style="113" customWidth="1"/>
    <col min="11791" max="11795" width="15.54296875" style="113" customWidth="1"/>
    <col min="11796" max="12021" width="11.453125" style="113"/>
    <col min="12022" max="12022" width="1.453125" style="113" customWidth="1"/>
    <col min="12023" max="12023" width="15.81640625" style="113" customWidth="1"/>
    <col min="12024" max="12024" width="49.81640625" style="113" bestFit="1" customWidth="1"/>
    <col min="12025" max="12025" width="8.81640625" style="113" bestFit="1" customWidth="1"/>
    <col min="12026" max="12027" width="8.1796875" style="113" customWidth="1"/>
    <col min="12028" max="12028" width="2.453125" style="113" customWidth="1"/>
    <col min="12029" max="12033" width="15.54296875" style="113" customWidth="1"/>
    <col min="12034" max="12034" width="1.54296875" style="113" customWidth="1"/>
    <col min="12035" max="12039" width="15.54296875" style="113" customWidth="1"/>
    <col min="12040" max="12040" width="4.81640625" style="113" customWidth="1"/>
    <col min="12041" max="12045" width="15.54296875" style="113" customWidth="1"/>
    <col min="12046" max="12046" width="1.54296875" style="113" customWidth="1"/>
    <col min="12047" max="12051" width="15.54296875" style="113" customWidth="1"/>
    <col min="12052" max="12277" width="11.453125" style="113"/>
    <col min="12278" max="12278" width="1.453125" style="113" customWidth="1"/>
    <col min="12279" max="12279" width="15.81640625" style="113" customWidth="1"/>
    <col min="12280" max="12280" width="49.81640625" style="113" bestFit="1" customWidth="1"/>
    <col min="12281" max="12281" width="8.81640625" style="113" bestFit="1" customWidth="1"/>
    <col min="12282" max="12283" width="8.1796875" style="113" customWidth="1"/>
    <col min="12284" max="12284" width="2.453125" style="113" customWidth="1"/>
    <col min="12285" max="12289" width="15.54296875" style="113" customWidth="1"/>
    <col min="12290" max="12290" width="1.54296875" style="113" customWidth="1"/>
    <col min="12291" max="12295" width="15.54296875" style="113" customWidth="1"/>
    <col min="12296" max="12296" width="4.81640625" style="113" customWidth="1"/>
    <col min="12297" max="12301" width="15.54296875" style="113" customWidth="1"/>
    <col min="12302" max="12302" width="1.54296875" style="113" customWidth="1"/>
    <col min="12303" max="12307" width="15.54296875" style="113" customWidth="1"/>
    <col min="12308" max="12533" width="11.453125" style="113"/>
    <col min="12534" max="12534" width="1.453125" style="113" customWidth="1"/>
    <col min="12535" max="12535" width="15.81640625" style="113" customWidth="1"/>
    <col min="12536" max="12536" width="49.81640625" style="113" bestFit="1" customWidth="1"/>
    <col min="12537" max="12537" width="8.81640625" style="113" bestFit="1" customWidth="1"/>
    <col min="12538" max="12539" width="8.1796875" style="113" customWidth="1"/>
    <col min="12540" max="12540" width="2.453125" style="113" customWidth="1"/>
    <col min="12541" max="12545" width="15.54296875" style="113" customWidth="1"/>
    <col min="12546" max="12546" width="1.54296875" style="113" customWidth="1"/>
    <col min="12547" max="12551" width="15.54296875" style="113" customWidth="1"/>
    <col min="12552" max="12552" width="4.81640625" style="113" customWidth="1"/>
    <col min="12553" max="12557" width="15.54296875" style="113" customWidth="1"/>
    <col min="12558" max="12558" width="1.54296875" style="113" customWidth="1"/>
    <col min="12559" max="12563" width="15.54296875" style="113" customWidth="1"/>
    <col min="12564" max="12789" width="11.453125" style="113"/>
    <col min="12790" max="12790" width="1.453125" style="113" customWidth="1"/>
    <col min="12791" max="12791" width="15.81640625" style="113" customWidth="1"/>
    <col min="12792" max="12792" width="49.81640625" style="113" bestFit="1" customWidth="1"/>
    <col min="12793" max="12793" width="8.81640625" style="113" bestFit="1" customWidth="1"/>
    <col min="12794" max="12795" width="8.1796875" style="113" customWidth="1"/>
    <col min="12796" max="12796" width="2.453125" style="113" customWidth="1"/>
    <col min="12797" max="12801" width="15.54296875" style="113" customWidth="1"/>
    <col min="12802" max="12802" width="1.54296875" style="113" customWidth="1"/>
    <col min="12803" max="12807" width="15.54296875" style="113" customWidth="1"/>
    <col min="12808" max="12808" width="4.81640625" style="113" customWidth="1"/>
    <col min="12809" max="12813" width="15.54296875" style="113" customWidth="1"/>
    <col min="12814" max="12814" width="1.54296875" style="113" customWidth="1"/>
    <col min="12815" max="12819" width="15.54296875" style="113" customWidth="1"/>
    <col min="12820" max="13045" width="11.453125" style="113"/>
    <col min="13046" max="13046" width="1.453125" style="113" customWidth="1"/>
    <col min="13047" max="13047" width="15.81640625" style="113" customWidth="1"/>
    <col min="13048" max="13048" width="49.81640625" style="113" bestFit="1" customWidth="1"/>
    <col min="13049" max="13049" width="8.81640625" style="113" bestFit="1" customWidth="1"/>
    <col min="13050" max="13051" width="8.1796875" style="113" customWidth="1"/>
    <col min="13052" max="13052" width="2.453125" style="113" customWidth="1"/>
    <col min="13053" max="13057" width="15.54296875" style="113" customWidth="1"/>
    <col min="13058" max="13058" width="1.54296875" style="113" customWidth="1"/>
    <col min="13059" max="13063" width="15.54296875" style="113" customWidth="1"/>
    <col min="13064" max="13064" width="4.81640625" style="113" customWidth="1"/>
    <col min="13065" max="13069" width="15.54296875" style="113" customWidth="1"/>
    <col min="13070" max="13070" width="1.54296875" style="113" customWidth="1"/>
    <col min="13071" max="13075" width="15.54296875" style="113" customWidth="1"/>
    <col min="13076" max="13301" width="11.453125" style="113"/>
    <col min="13302" max="13302" width="1.453125" style="113" customWidth="1"/>
    <col min="13303" max="13303" width="15.81640625" style="113" customWidth="1"/>
    <col min="13304" max="13304" width="49.81640625" style="113" bestFit="1" customWidth="1"/>
    <col min="13305" max="13305" width="8.81640625" style="113" bestFit="1" customWidth="1"/>
    <col min="13306" max="13307" width="8.1796875" style="113" customWidth="1"/>
    <col min="13308" max="13308" width="2.453125" style="113" customWidth="1"/>
    <col min="13309" max="13313" width="15.54296875" style="113" customWidth="1"/>
    <col min="13314" max="13314" width="1.54296875" style="113" customWidth="1"/>
    <col min="13315" max="13319" width="15.54296875" style="113" customWidth="1"/>
    <col min="13320" max="13320" width="4.81640625" style="113" customWidth="1"/>
    <col min="13321" max="13325" width="15.54296875" style="113" customWidth="1"/>
    <col min="13326" max="13326" width="1.54296875" style="113" customWidth="1"/>
    <col min="13327" max="13331" width="15.54296875" style="113" customWidth="1"/>
    <col min="13332" max="13557" width="11.453125" style="113"/>
    <col min="13558" max="13558" width="1.453125" style="113" customWidth="1"/>
    <col min="13559" max="13559" width="15.81640625" style="113" customWidth="1"/>
    <col min="13560" max="13560" width="49.81640625" style="113" bestFit="1" customWidth="1"/>
    <col min="13561" max="13561" width="8.81640625" style="113" bestFit="1" customWidth="1"/>
    <col min="13562" max="13563" width="8.1796875" style="113" customWidth="1"/>
    <col min="13564" max="13564" width="2.453125" style="113" customWidth="1"/>
    <col min="13565" max="13569" width="15.54296875" style="113" customWidth="1"/>
    <col min="13570" max="13570" width="1.54296875" style="113" customWidth="1"/>
    <col min="13571" max="13575" width="15.54296875" style="113" customWidth="1"/>
    <col min="13576" max="13576" width="4.81640625" style="113" customWidth="1"/>
    <col min="13577" max="13581" width="15.54296875" style="113" customWidth="1"/>
    <col min="13582" max="13582" width="1.54296875" style="113" customWidth="1"/>
    <col min="13583" max="13587" width="15.54296875" style="113" customWidth="1"/>
    <col min="13588" max="13813" width="11.453125" style="113"/>
    <col min="13814" max="13814" width="1.453125" style="113" customWidth="1"/>
    <col min="13815" max="13815" width="15.81640625" style="113" customWidth="1"/>
    <col min="13816" max="13816" width="49.81640625" style="113" bestFit="1" customWidth="1"/>
    <col min="13817" max="13817" width="8.81640625" style="113" bestFit="1" customWidth="1"/>
    <col min="13818" max="13819" width="8.1796875" style="113" customWidth="1"/>
    <col min="13820" max="13820" width="2.453125" style="113" customWidth="1"/>
    <col min="13821" max="13825" width="15.54296875" style="113" customWidth="1"/>
    <col min="13826" max="13826" width="1.54296875" style="113" customWidth="1"/>
    <col min="13827" max="13831" width="15.54296875" style="113" customWidth="1"/>
    <col min="13832" max="13832" width="4.81640625" style="113" customWidth="1"/>
    <col min="13833" max="13837" width="15.54296875" style="113" customWidth="1"/>
    <col min="13838" max="13838" width="1.54296875" style="113" customWidth="1"/>
    <col min="13839" max="13843" width="15.54296875" style="113" customWidth="1"/>
    <col min="13844" max="14069" width="11.453125" style="113"/>
    <col min="14070" max="14070" width="1.453125" style="113" customWidth="1"/>
    <col min="14071" max="14071" width="15.81640625" style="113" customWidth="1"/>
    <col min="14072" max="14072" width="49.81640625" style="113" bestFit="1" customWidth="1"/>
    <col min="14073" max="14073" width="8.81640625" style="113" bestFit="1" customWidth="1"/>
    <col min="14074" max="14075" width="8.1796875" style="113" customWidth="1"/>
    <col min="14076" max="14076" width="2.453125" style="113" customWidth="1"/>
    <col min="14077" max="14081" width="15.54296875" style="113" customWidth="1"/>
    <col min="14082" max="14082" width="1.54296875" style="113" customWidth="1"/>
    <col min="14083" max="14087" width="15.54296875" style="113" customWidth="1"/>
    <col min="14088" max="14088" width="4.81640625" style="113" customWidth="1"/>
    <col min="14089" max="14093" width="15.54296875" style="113" customWidth="1"/>
    <col min="14094" max="14094" width="1.54296875" style="113" customWidth="1"/>
    <col min="14095" max="14099" width="15.54296875" style="113" customWidth="1"/>
    <col min="14100" max="14325" width="11.453125" style="113"/>
    <col min="14326" max="14326" width="1.453125" style="113" customWidth="1"/>
    <col min="14327" max="14327" width="15.81640625" style="113" customWidth="1"/>
    <col min="14328" max="14328" width="49.81640625" style="113" bestFit="1" customWidth="1"/>
    <col min="14329" max="14329" width="8.81640625" style="113" bestFit="1" customWidth="1"/>
    <col min="14330" max="14331" width="8.1796875" style="113" customWidth="1"/>
    <col min="14332" max="14332" width="2.453125" style="113" customWidth="1"/>
    <col min="14333" max="14337" width="15.54296875" style="113" customWidth="1"/>
    <col min="14338" max="14338" width="1.54296875" style="113" customWidth="1"/>
    <col min="14339" max="14343" width="15.54296875" style="113" customWidth="1"/>
    <col min="14344" max="14344" width="4.81640625" style="113" customWidth="1"/>
    <col min="14345" max="14349" width="15.54296875" style="113" customWidth="1"/>
    <col min="14350" max="14350" width="1.54296875" style="113" customWidth="1"/>
    <col min="14351" max="14355" width="15.54296875" style="113" customWidth="1"/>
    <col min="14356" max="14581" width="11.453125" style="113"/>
    <col min="14582" max="14582" width="1.453125" style="113" customWidth="1"/>
    <col min="14583" max="14583" width="15.81640625" style="113" customWidth="1"/>
    <col min="14584" max="14584" width="49.81640625" style="113" bestFit="1" customWidth="1"/>
    <col min="14585" max="14585" width="8.81640625" style="113" bestFit="1" customWidth="1"/>
    <col min="14586" max="14587" width="8.1796875" style="113" customWidth="1"/>
    <col min="14588" max="14588" width="2.453125" style="113" customWidth="1"/>
    <col min="14589" max="14593" width="15.54296875" style="113" customWidth="1"/>
    <col min="14594" max="14594" width="1.54296875" style="113" customWidth="1"/>
    <col min="14595" max="14599" width="15.54296875" style="113" customWidth="1"/>
    <col min="14600" max="14600" width="4.81640625" style="113" customWidth="1"/>
    <col min="14601" max="14605" width="15.54296875" style="113" customWidth="1"/>
    <col min="14606" max="14606" width="1.54296875" style="113" customWidth="1"/>
    <col min="14607" max="14611" width="15.54296875" style="113" customWidth="1"/>
    <col min="14612" max="14837" width="11.453125" style="113"/>
    <col min="14838" max="14838" width="1.453125" style="113" customWidth="1"/>
    <col min="14839" max="14839" width="15.81640625" style="113" customWidth="1"/>
    <col min="14840" max="14840" width="49.81640625" style="113" bestFit="1" customWidth="1"/>
    <col min="14841" max="14841" width="8.81640625" style="113" bestFit="1" customWidth="1"/>
    <col min="14842" max="14843" width="8.1796875" style="113" customWidth="1"/>
    <col min="14844" max="14844" width="2.453125" style="113" customWidth="1"/>
    <col min="14845" max="14849" width="15.54296875" style="113" customWidth="1"/>
    <col min="14850" max="14850" width="1.54296875" style="113" customWidth="1"/>
    <col min="14851" max="14855" width="15.54296875" style="113" customWidth="1"/>
    <col min="14856" max="14856" width="4.81640625" style="113" customWidth="1"/>
    <col min="14857" max="14861" width="15.54296875" style="113" customWidth="1"/>
    <col min="14862" max="14862" width="1.54296875" style="113" customWidth="1"/>
    <col min="14863" max="14867" width="15.54296875" style="113" customWidth="1"/>
    <col min="14868" max="15093" width="11.453125" style="113"/>
    <col min="15094" max="15094" width="1.453125" style="113" customWidth="1"/>
    <col min="15095" max="15095" width="15.81640625" style="113" customWidth="1"/>
    <col min="15096" max="15096" width="49.81640625" style="113" bestFit="1" customWidth="1"/>
    <col min="15097" max="15097" width="8.81640625" style="113" bestFit="1" customWidth="1"/>
    <col min="15098" max="15099" width="8.1796875" style="113" customWidth="1"/>
    <col min="15100" max="15100" width="2.453125" style="113" customWidth="1"/>
    <col min="15101" max="15105" width="15.54296875" style="113" customWidth="1"/>
    <col min="15106" max="15106" width="1.54296875" style="113" customWidth="1"/>
    <col min="15107" max="15111" width="15.54296875" style="113" customWidth="1"/>
    <col min="15112" max="15112" width="4.81640625" style="113" customWidth="1"/>
    <col min="15113" max="15117" width="15.54296875" style="113" customWidth="1"/>
    <col min="15118" max="15118" width="1.54296875" style="113" customWidth="1"/>
    <col min="15119" max="15123" width="15.54296875" style="113" customWidth="1"/>
    <col min="15124" max="15349" width="11.453125" style="113"/>
    <col min="15350" max="15350" width="1.453125" style="113" customWidth="1"/>
    <col min="15351" max="15351" width="15.81640625" style="113" customWidth="1"/>
    <col min="15352" max="15352" width="49.81640625" style="113" bestFit="1" customWidth="1"/>
    <col min="15353" max="15353" width="8.81640625" style="113" bestFit="1" customWidth="1"/>
    <col min="15354" max="15355" width="8.1796875" style="113" customWidth="1"/>
    <col min="15356" max="15356" width="2.453125" style="113" customWidth="1"/>
    <col min="15357" max="15361" width="15.54296875" style="113" customWidth="1"/>
    <col min="15362" max="15362" width="1.54296875" style="113" customWidth="1"/>
    <col min="15363" max="15367" width="15.54296875" style="113" customWidth="1"/>
    <col min="15368" max="15368" width="4.81640625" style="113" customWidth="1"/>
    <col min="15369" max="15373" width="15.54296875" style="113" customWidth="1"/>
    <col min="15374" max="15374" width="1.54296875" style="113" customWidth="1"/>
    <col min="15375" max="15379" width="15.54296875" style="113" customWidth="1"/>
    <col min="15380" max="15605" width="11.453125" style="113"/>
    <col min="15606" max="15606" width="1.453125" style="113" customWidth="1"/>
    <col min="15607" max="15607" width="15.81640625" style="113" customWidth="1"/>
    <col min="15608" max="15608" width="49.81640625" style="113" bestFit="1" customWidth="1"/>
    <col min="15609" max="15609" width="8.81640625" style="113" bestFit="1" customWidth="1"/>
    <col min="15610" max="15611" width="8.1796875" style="113" customWidth="1"/>
    <col min="15612" max="15612" width="2.453125" style="113" customWidth="1"/>
    <col min="15613" max="15617" width="15.54296875" style="113" customWidth="1"/>
    <col min="15618" max="15618" width="1.54296875" style="113" customWidth="1"/>
    <col min="15619" max="15623" width="15.54296875" style="113" customWidth="1"/>
    <col min="15624" max="15624" width="4.81640625" style="113" customWidth="1"/>
    <col min="15625" max="15629" width="15.54296875" style="113" customWidth="1"/>
    <col min="15630" max="15630" width="1.54296875" style="113" customWidth="1"/>
    <col min="15631" max="15635" width="15.54296875" style="113" customWidth="1"/>
    <col min="15636" max="15861" width="11.453125" style="113"/>
    <col min="15862" max="15862" width="1.453125" style="113" customWidth="1"/>
    <col min="15863" max="15863" width="15.81640625" style="113" customWidth="1"/>
    <col min="15864" max="15864" width="49.81640625" style="113" bestFit="1" customWidth="1"/>
    <col min="15865" max="15865" width="8.81640625" style="113" bestFit="1" customWidth="1"/>
    <col min="15866" max="15867" width="8.1796875" style="113" customWidth="1"/>
    <col min="15868" max="15868" width="2.453125" style="113" customWidth="1"/>
    <col min="15869" max="15873" width="15.54296875" style="113" customWidth="1"/>
    <col min="15874" max="15874" width="1.54296875" style="113" customWidth="1"/>
    <col min="15875" max="15879" width="15.54296875" style="113" customWidth="1"/>
    <col min="15880" max="15880" width="4.81640625" style="113" customWidth="1"/>
    <col min="15881" max="15885" width="15.54296875" style="113" customWidth="1"/>
    <col min="15886" max="15886" width="1.54296875" style="113" customWidth="1"/>
    <col min="15887" max="15891" width="15.54296875" style="113" customWidth="1"/>
    <col min="15892" max="16117" width="11.453125" style="113"/>
    <col min="16118" max="16118" width="1.453125" style="113" customWidth="1"/>
    <col min="16119" max="16119" width="15.81640625" style="113" customWidth="1"/>
    <col min="16120" max="16120" width="49.81640625" style="113" bestFit="1" customWidth="1"/>
    <col min="16121" max="16121" width="8.81640625" style="113" bestFit="1" customWidth="1"/>
    <col min="16122" max="16123" width="8.1796875" style="113" customWidth="1"/>
    <col min="16124" max="16124" width="2.453125" style="113" customWidth="1"/>
    <col min="16125" max="16129" width="15.54296875" style="113" customWidth="1"/>
    <col min="16130" max="16130" width="1.54296875" style="113" customWidth="1"/>
    <col min="16131" max="16135" width="15.54296875" style="113" customWidth="1"/>
    <col min="16136" max="16136" width="4.81640625" style="113" customWidth="1"/>
    <col min="16137" max="16141" width="15.54296875" style="113" customWidth="1"/>
    <col min="16142" max="16142" width="1.54296875" style="113" customWidth="1"/>
    <col min="16143" max="16147" width="15.54296875" style="113" customWidth="1"/>
    <col min="16148" max="16384" width="11.453125" style="113"/>
  </cols>
  <sheetData>
    <row r="1" spans="2:31" ht="13.5" customHeight="1" thickBot="1"/>
    <row r="2" spans="2:31" ht="23.25" customHeight="1">
      <c r="B2" s="665" t="s">
        <v>34</v>
      </c>
      <c r="C2" s="665"/>
      <c r="D2" s="665"/>
      <c r="E2" s="665"/>
      <c r="F2" s="665"/>
      <c r="G2" s="665"/>
      <c r="I2" s="678" t="s">
        <v>35</v>
      </c>
      <c r="J2" s="679"/>
      <c r="K2" s="679"/>
      <c r="L2" s="679"/>
      <c r="M2" s="669"/>
      <c r="N2" s="260"/>
      <c r="O2" s="678" t="s">
        <v>3</v>
      </c>
      <c r="P2" s="679"/>
      <c r="Q2" s="679"/>
      <c r="R2" s="679"/>
      <c r="S2" s="669"/>
      <c r="U2" s="678" t="s">
        <v>35</v>
      </c>
      <c r="V2" s="679"/>
      <c r="W2" s="679"/>
      <c r="X2" s="679"/>
      <c r="Y2" s="669"/>
      <c r="Z2" s="260"/>
      <c r="AA2" s="678" t="s">
        <v>3</v>
      </c>
      <c r="AB2" s="679"/>
      <c r="AC2" s="679"/>
      <c r="AD2" s="679"/>
      <c r="AE2" s="669"/>
    </row>
    <row r="3" spans="2:31" customFormat="1" ht="3.75" customHeight="1">
      <c r="N3" s="6"/>
      <c r="O3" s="6"/>
      <c r="P3" s="6"/>
      <c r="Q3" s="6"/>
      <c r="R3" s="6"/>
      <c r="S3" s="6"/>
      <c r="Z3" s="6"/>
      <c r="AA3" s="6"/>
      <c r="AB3" s="6"/>
      <c r="AC3" s="6"/>
      <c r="AD3" s="6"/>
      <c r="AE3" s="6"/>
    </row>
    <row r="4" spans="2:31" s="244" customFormat="1" ht="30" customHeight="1" thickBot="1">
      <c r="B4" s="121">
        <f>'PVP VaP - Pyme'!B4</f>
        <v>45658</v>
      </c>
      <c r="C4" s="119" t="s">
        <v>629</v>
      </c>
      <c r="D4" s="680"/>
      <c r="E4" s="680"/>
      <c r="F4" s="680"/>
      <c r="G4" s="680"/>
      <c r="H4" s="243"/>
      <c r="I4" s="312" t="s">
        <v>108</v>
      </c>
      <c r="J4" s="313" t="s">
        <v>109</v>
      </c>
      <c r="K4" s="313" t="s">
        <v>110</v>
      </c>
      <c r="L4" s="313" t="s">
        <v>111</v>
      </c>
      <c r="M4" s="7" t="s">
        <v>146</v>
      </c>
      <c r="N4" s="243"/>
      <c r="O4" s="312" t="s">
        <v>108</v>
      </c>
      <c r="P4" s="313" t="s">
        <v>109</v>
      </c>
      <c r="Q4" s="313" t="s">
        <v>110</v>
      </c>
      <c r="R4" s="313" t="s">
        <v>111</v>
      </c>
      <c r="S4" s="7" t="s">
        <v>146</v>
      </c>
      <c r="U4" s="312" t="s">
        <v>36</v>
      </c>
      <c r="V4" s="313" t="s">
        <v>37</v>
      </c>
      <c r="W4" s="313" t="s">
        <v>38</v>
      </c>
      <c r="X4" s="313" t="s">
        <v>39</v>
      </c>
      <c r="Y4" s="7" t="s">
        <v>175</v>
      </c>
      <c r="Z4" s="243"/>
      <c r="AA4" s="312" t="s">
        <v>36</v>
      </c>
      <c r="AB4" s="313" t="s">
        <v>37</v>
      </c>
      <c r="AC4" s="313" t="s">
        <v>38</v>
      </c>
      <c r="AD4" s="7" t="s">
        <v>39</v>
      </c>
      <c r="AE4" s="7" t="s">
        <v>175</v>
      </c>
    </row>
    <row r="5" spans="2:31" ht="17.25" customHeight="1">
      <c r="B5" s="646" t="s">
        <v>40</v>
      </c>
      <c r="C5" s="647"/>
      <c r="D5" s="652" t="s">
        <v>41</v>
      </c>
      <c r="E5" s="652"/>
      <c r="F5" s="652"/>
      <c r="G5" s="653"/>
      <c r="H5" s="245"/>
      <c r="I5" s="759" t="s">
        <v>162</v>
      </c>
      <c r="J5" s="762" t="s">
        <v>163</v>
      </c>
      <c r="K5" s="762" t="s">
        <v>164</v>
      </c>
      <c r="L5" s="762" t="s">
        <v>165</v>
      </c>
      <c r="M5" s="765" t="s">
        <v>166</v>
      </c>
      <c r="N5" s="246"/>
      <c r="O5" s="759" t="s">
        <v>162</v>
      </c>
      <c r="P5" s="762" t="s">
        <v>163</v>
      </c>
      <c r="Q5" s="762" t="s">
        <v>164</v>
      </c>
      <c r="R5" s="762" t="s">
        <v>165</v>
      </c>
      <c r="S5" s="765" t="s">
        <v>166</v>
      </c>
      <c r="U5" s="756" t="s">
        <v>302</v>
      </c>
      <c r="V5" s="756" t="s">
        <v>303</v>
      </c>
      <c r="W5" s="756" t="s">
        <v>304</v>
      </c>
      <c r="X5" s="756" t="s">
        <v>305</v>
      </c>
      <c r="Y5" s="756" t="s">
        <v>306</v>
      </c>
      <c r="Z5" s="246"/>
      <c r="AA5" s="756" t="s">
        <v>302</v>
      </c>
      <c r="AB5" s="756" t="s">
        <v>303</v>
      </c>
      <c r="AC5" s="756" t="s">
        <v>304</v>
      </c>
      <c r="AD5" s="756" t="s">
        <v>305</v>
      </c>
      <c r="AE5" s="756" t="s">
        <v>306</v>
      </c>
    </row>
    <row r="6" spans="2:31" ht="17.25" customHeight="1">
      <c r="B6" s="648"/>
      <c r="C6" s="649"/>
      <c r="D6" s="654"/>
      <c r="E6" s="654"/>
      <c r="F6" s="654"/>
      <c r="G6" s="655"/>
      <c r="H6" s="246"/>
      <c r="I6" s="760"/>
      <c r="J6" s="763"/>
      <c r="K6" s="763"/>
      <c r="L6" s="763"/>
      <c r="M6" s="766"/>
      <c r="N6" s="246"/>
      <c r="O6" s="760"/>
      <c r="P6" s="763"/>
      <c r="Q6" s="763"/>
      <c r="R6" s="763"/>
      <c r="S6" s="766"/>
      <c r="U6" s="757"/>
      <c r="V6" s="757"/>
      <c r="W6" s="757"/>
      <c r="X6" s="757"/>
      <c r="Y6" s="757"/>
      <c r="Z6" s="246"/>
      <c r="AA6" s="757"/>
      <c r="AB6" s="757"/>
      <c r="AC6" s="757"/>
      <c r="AD6" s="757"/>
      <c r="AE6" s="757"/>
    </row>
    <row r="7" spans="2:31" ht="17.25" customHeight="1">
      <c r="B7" s="648"/>
      <c r="C7" s="649"/>
      <c r="D7" s="654"/>
      <c r="E7" s="654"/>
      <c r="F7" s="654"/>
      <c r="G7" s="655"/>
      <c r="H7" s="246"/>
      <c r="I7" s="760"/>
      <c r="J7" s="763"/>
      <c r="K7" s="763"/>
      <c r="L7" s="763"/>
      <c r="M7" s="766"/>
      <c r="N7" s="246"/>
      <c r="O7" s="760"/>
      <c r="P7" s="763"/>
      <c r="Q7" s="763"/>
      <c r="R7" s="763"/>
      <c r="S7" s="766"/>
      <c r="U7" s="757"/>
      <c r="V7" s="757"/>
      <c r="W7" s="757"/>
      <c r="X7" s="757"/>
      <c r="Y7" s="757"/>
      <c r="Z7" s="246"/>
      <c r="AA7" s="757"/>
      <c r="AB7" s="757"/>
      <c r="AC7" s="757"/>
      <c r="AD7" s="757"/>
      <c r="AE7" s="757"/>
    </row>
    <row r="8" spans="2:31" ht="17.25" customHeight="1">
      <c r="B8" s="648"/>
      <c r="C8" s="649"/>
      <c r="D8" s="654"/>
      <c r="E8" s="654"/>
      <c r="F8" s="654"/>
      <c r="G8" s="655"/>
      <c r="H8" s="246"/>
      <c r="I8" s="760"/>
      <c r="J8" s="763"/>
      <c r="K8" s="763"/>
      <c r="L8" s="763"/>
      <c r="M8" s="766"/>
      <c r="N8" s="246"/>
      <c r="O8" s="760"/>
      <c r="P8" s="763"/>
      <c r="Q8" s="763"/>
      <c r="R8" s="763"/>
      <c r="S8" s="766"/>
      <c r="U8" s="757"/>
      <c r="V8" s="757"/>
      <c r="W8" s="757"/>
      <c r="X8" s="757"/>
      <c r="Y8" s="757"/>
      <c r="Z8" s="246"/>
      <c r="AA8" s="757"/>
      <c r="AB8" s="757"/>
      <c r="AC8" s="757"/>
      <c r="AD8" s="757"/>
      <c r="AE8" s="757"/>
    </row>
    <row r="9" spans="2:31" ht="17.25" customHeight="1">
      <c r="B9" s="648"/>
      <c r="C9" s="649"/>
      <c r="D9" s="654"/>
      <c r="E9" s="654"/>
      <c r="F9" s="654"/>
      <c r="G9" s="655"/>
      <c r="H9" s="246"/>
      <c r="I9" s="760"/>
      <c r="J9" s="763"/>
      <c r="K9" s="763"/>
      <c r="L9" s="763"/>
      <c r="M9" s="766"/>
      <c r="N9" s="246"/>
      <c r="O9" s="760"/>
      <c r="P9" s="763"/>
      <c r="Q9" s="763"/>
      <c r="R9" s="763"/>
      <c r="S9" s="766"/>
      <c r="U9" s="757"/>
      <c r="V9" s="757"/>
      <c r="W9" s="757"/>
      <c r="X9" s="757"/>
      <c r="Y9" s="757"/>
      <c r="Z9" s="246"/>
      <c r="AA9" s="757"/>
      <c r="AB9" s="757"/>
      <c r="AC9" s="757"/>
      <c r="AD9" s="757"/>
      <c r="AE9" s="757"/>
    </row>
    <row r="10" spans="2:31" ht="17.25" customHeight="1">
      <c r="B10" s="648"/>
      <c r="C10" s="649"/>
      <c r="D10" s="654"/>
      <c r="E10" s="654"/>
      <c r="F10" s="654"/>
      <c r="G10" s="655"/>
      <c r="H10" s="246"/>
      <c r="I10" s="760"/>
      <c r="J10" s="763"/>
      <c r="K10" s="763"/>
      <c r="L10" s="763"/>
      <c r="M10" s="766"/>
      <c r="N10" s="246"/>
      <c r="O10" s="760"/>
      <c r="P10" s="763"/>
      <c r="Q10" s="763"/>
      <c r="R10" s="763"/>
      <c r="S10" s="766"/>
      <c r="U10" s="757"/>
      <c r="V10" s="757"/>
      <c r="W10" s="757"/>
      <c r="X10" s="757"/>
      <c r="Y10" s="757"/>
      <c r="Z10" s="246"/>
      <c r="AA10" s="757"/>
      <c r="AB10" s="757"/>
      <c r="AC10" s="757"/>
      <c r="AD10" s="757"/>
      <c r="AE10" s="757"/>
    </row>
    <row r="11" spans="2:31" ht="17.25" customHeight="1" thickBot="1">
      <c r="B11" s="648"/>
      <c r="C11" s="649"/>
      <c r="D11" s="656"/>
      <c r="E11" s="656"/>
      <c r="F11" s="656"/>
      <c r="G11" s="657"/>
      <c r="H11" s="246"/>
      <c r="I11" s="761"/>
      <c r="J11" s="764"/>
      <c r="K11" s="764"/>
      <c r="L11" s="764"/>
      <c r="M11" s="767"/>
      <c r="N11" s="246"/>
      <c r="O11" s="761"/>
      <c r="P11" s="764"/>
      <c r="Q11" s="764"/>
      <c r="R11" s="764"/>
      <c r="S11" s="767"/>
      <c r="U11" s="758"/>
      <c r="V11" s="758"/>
      <c r="W11" s="758"/>
      <c r="X11" s="758"/>
      <c r="Y11" s="758"/>
      <c r="Z11" s="246"/>
      <c r="AA11" s="758"/>
      <c r="AB11" s="758"/>
      <c r="AC11" s="758"/>
      <c r="AD11" s="758"/>
      <c r="AE11" s="758"/>
    </row>
    <row r="12" spans="2:31" ht="30.75" customHeight="1" thickBot="1">
      <c r="B12" s="648"/>
      <c r="C12" s="649"/>
      <c r="D12" s="670" t="s">
        <v>42</v>
      </c>
      <c r="E12" s="670"/>
      <c r="F12" s="671"/>
      <c r="G12" s="672"/>
      <c r="H12" s="247"/>
      <c r="I12" s="307" t="s">
        <v>43</v>
      </c>
      <c r="J12" s="248" t="s">
        <v>43</v>
      </c>
      <c r="K12" s="248" t="s">
        <v>43</v>
      </c>
      <c r="L12" s="276" t="s">
        <v>43</v>
      </c>
      <c r="M12" s="277" t="s">
        <v>43</v>
      </c>
      <c r="N12" s="246"/>
      <c r="O12" s="307" t="s">
        <v>43</v>
      </c>
      <c r="P12" s="248" t="s">
        <v>43</v>
      </c>
      <c r="Q12" s="248" t="s">
        <v>43</v>
      </c>
      <c r="R12" s="276" t="s">
        <v>43</v>
      </c>
      <c r="S12" s="277" t="s">
        <v>43</v>
      </c>
      <c r="U12" s="307" t="s">
        <v>43</v>
      </c>
      <c r="V12" s="248" t="s">
        <v>43</v>
      </c>
      <c r="W12" s="248" t="s">
        <v>43</v>
      </c>
      <c r="X12" s="276" t="s">
        <v>43</v>
      </c>
      <c r="Y12" s="277" t="s">
        <v>43</v>
      </c>
      <c r="Z12" s="246"/>
      <c r="AA12" s="307" t="s">
        <v>43</v>
      </c>
      <c r="AB12" s="248" t="s">
        <v>43</v>
      </c>
      <c r="AC12" s="248" t="s">
        <v>43</v>
      </c>
      <c r="AD12" s="276" t="s">
        <v>43</v>
      </c>
      <c r="AE12" s="277" t="s">
        <v>43</v>
      </c>
    </row>
    <row r="13" spans="2:31" ht="65.25" customHeight="1" thickBot="1">
      <c r="B13" s="648"/>
      <c r="C13" s="649"/>
      <c r="D13" s="754" t="s">
        <v>44</v>
      </c>
      <c r="E13" s="670"/>
      <c r="F13" s="671"/>
      <c r="G13" s="672"/>
      <c r="H13" s="247"/>
      <c r="I13" s="310" t="s">
        <v>100</v>
      </c>
      <c r="J13" s="249" t="s">
        <v>100</v>
      </c>
      <c r="K13" s="249" t="s">
        <v>100</v>
      </c>
      <c r="L13" s="278" t="s">
        <v>100</v>
      </c>
      <c r="M13" s="250" t="s">
        <v>100</v>
      </c>
      <c r="N13" s="246"/>
      <c r="O13" s="310" t="s">
        <v>45</v>
      </c>
      <c r="P13" s="249" t="s">
        <v>45</v>
      </c>
      <c r="Q13" s="249" t="s">
        <v>45</v>
      </c>
      <c r="R13" s="278" t="s">
        <v>45</v>
      </c>
      <c r="S13" s="250" t="s">
        <v>45</v>
      </c>
      <c r="U13" s="310" t="s">
        <v>100</v>
      </c>
      <c r="V13" s="249" t="s">
        <v>100</v>
      </c>
      <c r="W13" s="249" t="s">
        <v>100</v>
      </c>
      <c r="X13" s="278" t="s">
        <v>100</v>
      </c>
      <c r="Y13" s="250" t="s">
        <v>100</v>
      </c>
      <c r="Z13" s="246"/>
      <c r="AA13" s="310" t="s">
        <v>45</v>
      </c>
      <c r="AB13" s="249" t="s">
        <v>45</v>
      </c>
      <c r="AC13" s="249" t="s">
        <v>45</v>
      </c>
      <c r="AD13" s="278" t="s">
        <v>45</v>
      </c>
      <c r="AE13" s="250" t="s">
        <v>45</v>
      </c>
    </row>
    <row r="14" spans="2:31" ht="21" customHeight="1" thickBot="1">
      <c r="B14" s="648"/>
      <c r="C14" s="649"/>
      <c r="D14" s="674" t="s">
        <v>46</v>
      </c>
      <c r="E14" s="675"/>
      <c r="F14" s="675"/>
      <c r="G14" s="675"/>
      <c r="H14" s="251"/>
      <c r="I14" s="305" t="s">
        <v>47</v>
      </c>
      <c r="J14" s="269" t="s">
        <v>47</v>
      </c>
      <c r="K14" s="269" t="s">
        <v>47</v>
      </c>
      <c r="L14" s="309" t="s">
        <v>47</v>
      </c>
      <c r="M14" s="270" t="s">
        <v>47</v>
      </c>
      <c r="N14" s="246"/>
      <c r="O14" s="305" t="s">
        <v>47</v>
      </c>
      <c r="P14" s="269" t="s">
        <v>47</v>
      </c>
      <c r="Q14" s="269" t="s">
        <v>47</v>
      </c>
      <c r="R14" s="309" t="s">
        <v>47</v>
      </c>
      <c r="S14" s="270" t="s">
        <v>47</v>
      </c>
      <c r="U14" s="305" t="s">
        <v>49</v>
      </c>
      <c r="V14" s="269" t="s">
        <v>49</v>
      </c>
      <c r="W14" s="269" t="s">
        <v>49</v>
      </c>
      <c r="X14" s="309" t="s">
        <v>49</v>
      </c>
      <c r="Y14" s="270" t="s">
        <v>49</v>
      </c>
      <c r="Z14" s="246"/>
      <c r="AA14" s="305" t="s">
        <v>49</v>
      </c>
      <c r="AB14" s="269" t="s">
        <v>49</v>
      </c>
      <c r="AC14" s="269" t="s">
        <v>49</v>
      </c>
      <c r="AD14" s="309" t="s">
        <v>49</v>
      </c>
      <c r="AE14" s="270" t="s">
        <v>49</v>
      </c>
    </row>
    <row r="15" spans="2:31" ht="21" customHeight="1" thickBot="1">
      <c r="B15" s="648"/>
      <c r="C15" s="649"/>
      <c r="D15" s="754" t="s">
        <v>48</v>
      </c>
      <c r="E15" s="670"/>
      <c r="F15" s="670"/>
      <c r="G15" s="755"/>
      <c r="H15" s="251"/>
      <c r="I15" s="305" t="s">
        <v>49</v>
      </c>
      <c r="J15" s="269" t="s">
        <v>49</v>
      </c>
      <c r="K15" s="269" t="s">
        <v>50</v>
      </c>
      <c r="L15" s="309" t="s">
        <v>50</v>
      </c>
      <c r="M15" s="270" t="s">
        <v>50</v>
      </c>
      <c r="N15" s="246"/>
      <c r="O15" s="305" t="s">
        <v>49</v>
      </c>
      <c r="P15" s="269" t="s">
        <v>49</v>
      </c>
      <c r="Q15" s="269" t="s">
        <v>50</v>
      </c>
      <c r="R15" s="309" t="s">
        <v>50</v>
      </c>
      <c r="S15" s="270" t="s">
        <v>50</v>
      </c>
      <c r="U15" s="305" t="s">
        <v>49</v>
      </c>
      <c r="V15" s="269" t="s">
        <v>49</v>
      </c>
      <c r="W15" s="269" t="s">
        <v>50</v>
      </c>
      <c r="X15" s="309" t="s">
        <v>50</v>
      </c>
      <c r="Y15" s="270" t="s">
        <v>50</v>
      </c>
      <c r="Z15" s="246"/>
      <c r="AA15" s="305" t="s">
        <v>49</v>
      </c>
      <c r="AB15" s="269" t="s">
        <v>49</v>
      </c>
      <c r="AC15" s="269" t="s">
        <v>50</v>
      </c>
      <c r="AD15" s="309" t="s">
        <v>50</v>
      </c>
      <c r="AE15" s="270" t="s">
        <v>50</v>
      </c>
    </row>
    <row r="16" spans="2:31" ht="21" customHeight="1" thickBot="1">
      <c r="B16" s="650"/>
      <c r="C16" s="651"/>
      <c r="D16" s="713" t="s">
        <v>51</v>
      </c>
      <c r="E16" s="714"/>
      <c r="F16" s="714"/>
      <c r="G16" s="715"/>
      <c r="H16" s="251"/>
      <c r="I16" s="305" t="s">
        <v>49</v>
      </c>
      <c r="J16" s="269" t="s">
        <v>49</v>
      </c>
      <c r="K16" s="269" t="s">
        <v>49</v>
      </c>
      <c r="L16" s="309" t="s">
        <v>49</v>
      </c>
      <c r="M16" s="270" t="s">
        <v>49</v>
      </c>
      <c r="N16" s="246"/>
      <c r="O16" s="305" t="s">
        <v>49</v>
      </c>
      <c r="P16" s="269" t="s">
        <v>49</v>
      </c>
      <c r="Q16" s="269" t="s">
        <v>49</v>
      </c>
      <c r="R16" s="309" t="s">
        <v>49</v>
      </c>
      <c r="S16" s="270" t="s">
        <v>49</v>
      </c>
      <c r="U16" s="305" t="s">
        <v>49</v>
      </c>
      <c r="V16" s="269" t="s">
        <v>49</v>
      </c>
      <c r="W16" s="269" t="s">
        <v>49</v>
      </c>
      <c r="X16" s="309" t="s">
        <v>49</v>
      </c>
      <c r="Y16" s="270" t="s">
        <v>49</v>
      </c>
      <c r="Z16" s="246"/>
      <c r="AA16" s="305" t="s">
        <v>49</v>
      </c>
      <c r="AB16" s="269" t="s">
        <v>49</v>
      </c>
      <c r="AC16" s="269" t="s">
        <v>49</v>
      </c>
      <c r="AD16" s="309" t="s">
        <v>49</v>
      </c>
      <c r="AE16" s="270" t="s">
        <v>49</v>
      </c>
    </row>
    <row r="17" spans="2:67" ht="23.25" customHeight="1" thickBot="1">
      <c r="B17" s="748"/>
      <c r="C17" s="749"/>
      <c r="D17" s="749"/>
      <c r="E17" s="749"/>
      <c r="F17" s="749"/>
      <c r="I17" s="25" t="s">
        <v>103</v>
      </c>
      <c r="U17" s="25" t="s">
        <v>103</v>
      </c>
      <c r="AG17" s="751" t="s">
        <v>174</v>
      </c>
      <c r="AH17" s="752"/>
      <c r="AI17" s="752"/>
      <c r="AJ17" s="752"/>
      <c r="AK17" s="752"/>
      <c r="AL17" s="752"/>
      <c r="AM17" s="752"/>
      <c r="AN17" s="752"/>
      <c r="AO17" s="752"/>
      <c r="AP17" s="752"/>
      <c r="AQ17" s="753"/>
      <c r="BE17" s="746" t="s">
        <v>443</v>
      </c>
      <c r="BF17" s="747"/>
      <c r="BG17" s="747"/>
      <c r="BH17" s="747"/>
      <c r="BI17" s="747"/>
      <c r="BJ17" s="747"/>
      <c r="BK17" s="747"/>
      <c r="BL17" s="747"/>
      <c r="BM17" s="747"/>
      <c r="BN17" s="747"/>
      <c r="BO17" s="747"/>
    </row>
    <row r="18" spans="2:67" ht="23.25" customHeight="1" thickBot="1">
      <c r="B18" s="750"/>
      <c r="C18" s="750"/>
      <c r="D18" s="750"/>
      <c r="E18" s="750"/>
      <c r="F18" s="750"/>
      <c r="I18" s="25"/>
      <c r="U18" s="25"/>
      <c r="AG18" s="287"/>
      <c r="AH18" s="287"/>
      <c r="AI18" s="287"/>
      <c r="AJ18" s="287"/>
      <c r="AK18" s="287"/>
      <c r="AL18" s="150"/>
      <c r="AM18" s="287"/>
      <c r="AN18" s="287"/>
      <c r="AO18" s="287"/>
      <c r="AP18" s="287"/>
      <c r="AQ18" s="287"/>
    </row>
    <row r="19" spans="2:67" ht="23.25" customHeight="1">
      <c r="B19" s="716" t="s">
        <v>52</v>
      </c>
      <c r="C19" s="717"/>
      <c r="D19" s="717"/>
      <c r="E19" s="717"/>
      <c r="F19" s="717"/>
      <c r="G19" s="718"/>
      <c r="I19" s="634" t="s">
        <v>105</v>
      </c>
      <c r="J19" s="722"/>
      <c r="K19" s="722"/>
      <c r="L19" s="722"/>
      <c r="M19" s="723"/>
      <c r="N19" s="260"/>
      <c r="O19" s="634" t="s">
        <v>106</v>
      </c>
      <c r="P19" s="722"/>
      <c r="Q19" s="722"/>
      <c r="R19" s="722"/>
      <c r="S19" s="723"/>
      <c r="U19" s="634" t="s">
        <v>53</v>
      </c>
      <c r="V19" s="722"/>
      <c r="W19" s="722"/>
      <c r="X19" s="722"/>
      <c r="Y19" s="723"/>
      <c r="Z19" s="260"/>
      <c r="AA19" s="634" t="s">
        <v>54</v>
      </c>
      <c r="AB19" s="722"/>
      <c r="AC19" s="722"/>
      <c r="AD19" s="722"/>
      <c r="AE19" s="723"/>
      <c r="AG19" s="634" t="s">
        <v>53</v>
      </c>
      <c r="AH19" s="722"/>
      <c r="AI19" s="722"/>
      <c r="AJ19" s="722"/>
      <c r="AK19" s="723"/>
      <c r="AL19" s="288"/>
      <c r="AM19" s="634" t="s">
        <v>54</v>
      </c>
      <c r="AN19" s="722"/>
      <c r="AO19" s="722"/>
      <c r="AP19" s="722"/>
      <c r="AQ19" s="723"/>
      <c r="AS19" s="634" t="s">
        <v>105</v>
      </c>
      <c r="AT19" s="722"/>
      <c r="AU19" s="722"/>
      <c r="AV19" s="722"/>
      <c r="AW19" s="723"/>
      <c r="AX19" s="260"/>
      <c r="AY19" s="634" t="s">
        <v>106</v>
      </c>
      <c r="AZ19" s="722"/>
      <c r="BA19" s="722"/>
      <c r="BB19" s="722"/>
      <c r="BC19" s="723"/>
      <c r="BE19" s="634" t="s">
        <v>53</v>
      </c>
      <c r="BF19" s="722"/>
      <c r="BG19" s="722"/>
      <c r="BH19" s="722"/>
      <c r="BI19" s="723"/>
      <c r="BJ19" s="260"/>
      <c r="BK19" s="634" t="s">
        <v>54</v>
      </c>
      <c r="BL19" s="722"/>
      <c r="BM19" s="722"/>
      <c r="BN19" s="722"/>
      <c r="BO19" s="723"/>
    </row>
    <row r="20" spans="2:67" ht="3.75" customHeight="1">
      <c r="B20" s="719"/>
      <c r="C20" s="720"/>
      <c r="D20" s="720"/>
      <c r="E20" s="720"/>
      <c r="F20" s="720"/>
      <c r="G20" s="721"/>
      <c r="I20" s="259"/>
      <c r="J20" s="259"/>
      <c r="K20" s="260"/>
      <c r="L20" s="260"/>
      <c r="M20" s="260"/>
      <c r="N20" s="260"/>
      <c r="O20" s="259"/>
      <c r="P20" s="259"/>
      <c r="Q20" s="260"/>
      <c r="R20" s="260"/>
      <c r="S20" s="260"/>
      <c r="U20" s="259"/>
      <c r="V20" s="259"/>
      <c r="W20" s="260"/>
      <c r="X20" s="260"/>
      <c r="Y20" s="260"/>
      <c r="Z20" s="260"/>
      <c r="AA20" s="259"/>
      <c r="AB20" s="259"/>
      <c r="AC20" s="260"/>
      <c r="AD20" s="260"/>
      <c r="AE20" s="260"/>
      <c r="AG20" s="259"/>
      <c r="AH20" s="259"/>
      <c r="AI20" s="260"/>
      <c r="AJ20" s="260"/>
      <c r="AK20" s="260"/>
      <c r="AL20" s="288"/>
      <c r="AM20" s="259"/>
      <c r="AN20" s="259"/>
      <c r="AO20" s="260"/>
      <c r="AP20" s="260"/>
      <c r="AQ20" s="260"/>
      <c r="AS20" s="259"/>
      <c r="AT20" s="259"/>
      <c r="AU20" s="260"/>
      <c r="AV20" s="260"/>
      <c r="AW20" s="260"/>
      <c r="AX20" s="260"/>
      <c r="AY20" s="259"/>
      <c r="AZ20" s="259"/>
      <c r="BA20" s="260"/>
      <c r="BB20" s="260"/>
      <c r="BC20" s="260"/>
      <c r="BE20" s="259"/>
      <c r="BF20" s="259"/>
      <c r="BG20" s="260"/>
      <c r="BH20" s="260"/>
      <c r="BI20" s="260"/>
      <c r="BJ20" s="260"/>
      <c r="BK20" s="259"/>
      <c r="BL20" s="259"/>
      <c r="BM20" s="260"/>
      <c r="BN20" s="260"/>
      <c r="BO20" s="260"/>
    </row>
    <row r="21" spans="2:67" ht="33.75" customHeight="1">
      <c r="B21" s="719"/>
      <c r="C21" s="720"/>
      <c r="D21" s="720"/>
      <c r="E21" s="720"/>
      <c r="F21" s="720"/>
      <c r="G21" s="721"/>
      <c r="I21" s="641" t="s">
        <v>55</v>
      </c>
      <c r="J21" s="642"/>
      <c r="K21" s="642"/>
      <c r="L21" s="642"/>
      <c r="M21" s="643"/>
      <c r="N21" s="243"/>
      <c r="O21" s="641" t="s">
        <v>55</v>
      </c>
      <c r="P21" s="642"/>
      <c r="Q21" s="642"/>
      <c r="R21" s="642"/>
      <c r="S21" s="643"/>
      <c r="U21" s="641" t="s">
        <v>55</v>
      </c>
      <c r="V21" s="642"/>
      <c r="W21" s="642"/>
      <c r="X21" s="642"/>
      <c r="Y21" s="643"/>
      <c r="Z21" s="243"/>
      <c r="AA21" s="641" t="s">
        <v>55</v>
      </c>
      <c r="AB21" s="642"/>
      <c r="AC21" s="642"/>
      <c r="AD21" s="642"/>
      <c r="AE21" s="643"/>
      <c r="AG21" s="641" t="s">
        <v>55</v>
      </c>
      <c r="AH21" s="642"/>
      <c r="AI21" s="642"/>
      <c r="AJ21" s="642"/>
      <c r="AK21" s="643"/>
      <c r="AL21" s="289"/>
      <c r="AM21" s="641" t="s">
        <v>55</v>
      </c>
      <c r="AN21" s="642"/>
      <c r="AO21" s="642"/>
      <c r="AP21" s="642"/>
      <c r="AQ21" s="643"/>
      <c r="AS21" s="641" t="s">
        <v>55</v>
      </c>
      <c r="AT21" s="642"/>
      <c r="AU21" s="642"/>
      <c r="AV21" s="642"/>
      <c r="AW21" s="643"/>
      <c r="AX21" s="243"/>
      <c r="AY21" s="641" t="s">
        <v>55</v>
      </c>
      <c r="AZ21" s="642"/>
      <c r="BA21" s="642"/>
      <c r="BB21" s="642"/>
      <c r="BC21" s="643"/>
      <c r="BE21" s="641" t="s">
        <v>55</v>
      </c>
      <c r="BF21" s="642"/>
      <c r="BG21" s="642"/>
      <c r="BH21" s="642"/>
      <c r="BI21" s="643"/>
      <c r="BJ21" s="243"/>
      <c r="BK21" s="641" t="s">
        <v>55</v>
      </c>
      <c r="BL21" s="642"/>
      <c r="BM21" s="642"/>
      <c r="BN21" s="642"/>
      <c r="BO21" s="643"/>
    </row>
    <row r="22" spans="2:67" s="150" customFormat="1" ht="3.75" customHeight="1">
      <c r="B22" s="719"/>
      <c r="C22" s="720"/>
      <c r="D22" s="720"/>
      <c r="E22" s="720"/>
      <c r="F22" s="720"/>
      <c r="G22" s="721"/>
      <c r="I22" s="261"/>
      <c r="J22" s="262"/>
      <c r="K22" s="262"/>
      <c r="L22" s="262"/>
      <c r="M22" s="271"/>
      <c r="N22" s="243"/>
      <c r="O22" s="261"/>
      <c r="P22" s="262"/>
      <c r="Q22" s="262"/>
      <c r="R22" s="262"/>
      <c r="S22" s="271"/>
      <c r="U22" s="261"/>
      <c r="V22" s="262"/>
      <c r="W22" s="262"/>
      <c r="X22" s="262"/>
      <c r="Y22" s="271"/>
      <c r="Z22" s="243"/>
      <c r="AA22" s="261"/>
      <c r="AB22" s="262"/>
      <c r="AC22" s="262"/>
      <c r="AD22" s="262"/>
      <c r="AE22" s="271"/>
      <c r="AG22" s="261"/>
      <c r="AH22" s="262"/>
      <c r="AI22" s="262"/>
      <c r="AJ22" s="262"/>
      <c r="AK22" s="271"/>
      <c r="AL22" s="289"/>
      <c r="AM22" s="261"/>
      <c r="AN22" s="262"/>
      <c r="AO22" s="262"/>
      <c r="AP22" s="262"/>
      <c r="AQ22" s="271"/>
      <c r="AS22" s="261"/>
      <c r="AT22" s="262"/>
      <c r="AU22" s="262"/>
      <c r="AV22" s="262"/>
      <c r="AW22" s="271"/>
      <c r="AX22" s="243"/>
      <c r="AY22" s="261"/>
      <c r="AZ22" s="262"/>
      <c r="BA22" s="262"/>
      <c r="BB22" s="262"/>
      <c r="BC22" s="271"/>
      <c r="BE22" s="261"/>
      <c r="BF22" s="262"/>
      <c r="BG22" s="262"/>
      <c r="BH22" s="262"/>
      <c r="BI22" s="271"/>
      <c r="BJ22" s="243"/>
      <c r="BK22" s="261"/>
      <c r="BL22" s="262"/>
      <c r="BM22" s="262"/>
      <c r="BN22" s="262"/>
      <c r="BO22" s="271"/>
    </row>
    <row r="23" spans="2:67" ht="30" customHeight="1">
      <c r="B23" s="719"/>
      <c r="C23" s="720"/>
      <c r="D23" s="720"/>
      <c r="E23" s="720"/>
      <c r="F23" s="720"/>
      <c r="G23" s="721"/>
      <c r="H23" s="263"/>
      <c r="I23" s="312" t="s">
        <v>108</v>
      </c>
      <c r="J23" s="313" t="s">
        <v>109</v>
      </c>
      <c r="K23" s="313" t="s">
        <v>110</v>
      </c>
      <c r="L23" s="313" t="s">
        <v>111</v>
      </c>
      <c r="M23" s="7" t="s">
        <v>146</v>
      </c>
      <c r="N23" s="243"/>
      <c r="O23" s="312" t="s">
        <v>108</v>
      </c>
      <c r="P23" s="313" t="s">
        <v>109</v>
      </c>
      <c r="Q23" s="313" t="s">
        <v>110</v>
      </c>
      <c r="R23" s="313" t="s">
        <v>111</v>
      </c>
      <c r="S23" s="7" t="s">
        <v>146</v>
      </c>
      <c r="T23" s="71"/>
      <c r="U23" s="312" t="s">
        <v>108</v>
      </c>
      <c r="V23" s="313" t="s">
        <v>109</v>
      </c>
      <c r="W23" s="313" t="s">
        <v>110</v>
      </c>
      <c r="X23" s="313" t="s">
        <v>111</v>
      </c>
      <c r="Y23" s="7" t="s">
        <v>146</v>
      </c>
      <c r="Z23" s="243"/>
      <c r="AA23" s="312" t="s">
        <v>108</v>
      </c>
      <c r="AB23" s="313" t="s">
        <v>109</v>
      </c>
      <c r="AC23" s="313" t="s">
        <v>110</v>
      </c>
      <c r="AD23" s="313" t="s">
        <v>111</v>
      </c>
      <c r="AE23" s="7" t="s">
        <v>146</v>
      </c>
      <c r="AG23" s="304" t="s">
        <v>36</v>
      </c>
      <c r="AH23" s="304" t="s">
        <v>37</v>
      </c>
      <c r="AI23" s="304" t="s">
        <v>38</v>
      </c>
      <c r="AJ23" s="149" t="s">
        <v>39</v>
      </c>
      <c r="AK23" s="149" t="s">
        <v>175</v>
      </c>
      <c r="AL23" s="289"/>
      <c r="AM23" s="304" t="s">
        <v>36</v>
      </c>
      <c r="AN23" s="304" t="s">
        <v>37</v>
      </c>
      <c r="AO23" s="304" t="s">
        <v>38</v>
      </c>
      <c r="AP23" s="149" t="s">
        <v>39</v>
      </c>
      <c r="AQ23" s="149" t="s">
        <v>175</v>
      </c>
      <c r="AS23" s="304" t="s">
        <v>36</v>
      </c>
      <c r="AT23" s="304" t="s">
        <v>37</v>
      </c>
      <c r="AU23" s="304" t="s">
        <v>38</v>
      </c>
      <c r="AV23" s="149" t="s">
        <v>39</v>
      </c>
      <c r="AW23" s="149" t="s">
        <v>175</v>
      </c>
      <c r="AX23" s="243"/>
      <c r="AY23" s="304" t="s">
        <v>36</v>
      </c>
      <c r="AZ23" s="304" t="s">
        <v>37</v>
      </c>
      <c r="BA23" s="304" t="s">
        <v>38</v>
      </c>
      <c r="BB23" s="149" t="s">
        <v>39</v>
      </c>
      <c r="BC23" s="149" t="s">
        <v>175</v>
      </c>
      <c r="BE23" s="312" t="s">
        <v>108</v>
      </c>
      <c r="BF23" s="313" t="s">
        <v>109</v>
      </c>
      <c r="BG23" s="313" t="s">
        <v>110</v>
      </c>
      <c r="BH23" s="313" t="s">
        <v>111</v>
      </c>
      <c r="BI23" s="7" t="s">
        <v>146</v>
      </c>
      <c r="BJ23" s="243"/>
      <c r="BK23" s="312" t="s">
        <v>108</v>
      </c>
      <c r="BL23" s="313" t="s">
        <v>109</v>
      </c>
      <c r="BM23" s="313" t="s">
        <v>110</v>
      </c>
      <c r="BN23" s="313" t="s">
        <v>111</v>
      </c>
      <c r="BO23" s="7" t="s">
        <v>146</v>
      </c>
    </row>
    <row r="24" spans="2:67" customFormat="1" ht="3.75" customHeight="1">
      <c r="B24" s="143"/>
      <c r="C24" s="150"/>
      <c r="D24" s="150"/>
      <c r="E24" s="150"/>
      <c r="F24" s="150"/>
      <c r="G24" s="144"/>
      <c r="H24" s="17"/>
      <c r="I24" s="72"/>
      <c r="J24" s="73"/>
      <c r="K24" s="73"/>
      <c r="L24" s="74"/>
      <c r="M24" s="74"/>
      <c r="N24" s="75"/>
      <c r="O24" s="72"/>
      <c r="P24" s="73"/>
      <c r="Q24" s="73"/>
      <c r="R24" s="74"/>
      <c r="S24" s="74"/>
      <c r="T24" s="5"/>
      <c r="U24" s="15"/>
      <c r="V24" s="6"/>
      <c r="W24" s="6"/>
      <c r="X24" s="16"/>
      <c r="Y24" s="16"/>
      <c r="Z24" s="17"/>
      <c r="AA24" s="15"/>
      <c r="AB24" s="6"/>
      <c r="AC24" s="6"/>
      <c r="AD24" s="16"/>
      <c r="AE24" s="16"/>
      <c r="AG24" s="15"/>
      <c r="AH24" s="6"/>
      <c r="AI24" s="6"/>
      <c r="AJ24" s="16"/>
      <c r="AK24" s="16"/>
      <c r="AL24" s="112"/>
      <c r="AM24" s="15"/>
      <c r="AN24" s="6"/>
      <c r="AO24" s="6"/>
      <c r="AP24" s="16"/>
      <c r="AQ24" s="16"/>
      <c r="AS24" s="15"/>
      <c r="AT24" s="6"/>
      <c r="AU24" s="6"/>
      <c r="AV24" s="16"/>
      <c r="AW24" s="16"/>
      <c r="AX24" s="17"/>
      <c r="AY24" s="15"/>
      <c r="AZ24" s="6"/>
      <c r="BA24" s="6"/>
      <c r="BB24" s="16"/>
      <c r="BC24" s="16"/>
      <c r="BE24" s="435"/>
      <c r="BF24" s="431"/>
      <c r="BG24" s="431"/>
      <c r="BH24" s="436"/>
      <c r="BI24" s="436"/>
      <c r="BJ24" s="431"/>
      <c r="BK24" s="435"/>
      <c r="BL24" s="431"/>
      <c r="BM24" s="431"/>
      <c r="BN24" s="436"/>
      <c r="BO24" s="436"/>
    </row>
    <row r="25" spans="2:67" ht="48.75" customHeight="1">
      <c r="B25" s="226" t="s">
        <v>56</v>
      </c>
      <c r="C25" s="8" t="s">
        <v>57</v>
      </c>
      <c r="D25" s="9" t="s">
        <v>58</v>
      </c>
      <c r="E25" s="101" t="s">
        <v>123</v>
      </c>
      <c r="F25" s="226" t="s">
        <v>59</v>
      </c>
      <c r="G25" s="316"/>
      <c r="H25" s="243"/>
      <c r="I25" s="10" t="s">
        <v>120</v>
      </c>
      <c r="J25" s="10" t="s">
        <v>119</v>
      </c>
      <c r="K25" s="10" t="s">
        <v>119</v>
      </c>
      <c r="L25" s="8" t="s">
        <v>119</v>
      </c>
      <c r="M25" s="8" t="s">
        <v>119</v>
      </c>
      <c r="N25" s="243"/>
      <c r="O25" s="10" t="s">
        <v>119</v>
      </c>
      <c r="P25" s="10" t="s">
        <v>119</v>
      </c>
      <c r="Q25" s="10" t="s">
        <v>119</v>
      </c>
      <c r="R25" s="8" t="s">
        <v>119</v>
      </c>
      <c r="S25" s="8" t="s">
        <v>119</v>
      </c>
      <c r="T25" s="71"/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43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168</v>
      </c>
      <c r="AH25" s="10" t="s">
        <v>168</v>
      </c>
      <c r="AI25" s="10" t="s">
        <v>168</v>
      </c>
      <c r="AJ25" s="10" t="s">
        <v>168</v>
      </c>
      <c r="AK25" s="10" t="s">
        <v>168</v>
      </c>
      <c r="AL25" s="289"/>
      <c r="AM25" s="10" t="s">
        <v>168</v>
      </c>
      <c r="AN25" s="10" t="s">
        <v>168</v>
      </c>
      <c r="AO25" s="10" t="s">
        <v>168</v>
      </c>
      <c r="AP25" s="10" t="s">
        <v>168</v>
      </c>
      <c r="AQ25" s="10" t="s">
        <v>168</v>
      </c>
      <c r="AR25" s="152"/>
      <c r="AS25" s="10" t="s">
        <v>119</v>
      </c>
      <c r="AT25" s="10" t="s">
        <v>119</v>
      </c>
      <c r="AU25" s="10" t="s">
        <v>119</v>
      </c>
      <c r="AV25" s="10" t="s">
        <v>119</v>
      </c>
      <c r="AW25" s="10" t="s">
        <v>119</v>
      </c>
      <c r="AX25" s="243"/>
      <c r="AY25" s="10" t="s">
        <v>119</v>
      </c>
      <c r="AZ25" s="10" t="s">
        <v>119</v>
      </c>
      <c r="BA25" s="10" t="s">
        <v>119</v>
      </c>
      <c r="BB25" s="10" t="s">
        <v>119</v>
      </c>
      <c r="BC25" s="10" t="s">
        <v>119</v>
      </c>
      <c r="BE25" s="10" t="s">
        <v>168</v>
      </c>
      <c r="BF25" s="10" t="s">
        <v>168</v>
      </c>
      <c r="BG25" s="10" t="s">
        <v>168</v>
      </c>
      <c r="BH25" s="10" t="s">
        <v>168</v>
      </c>
      <c r="BI25" s="10" t="s">
        <v>168</v>
      </c>
      <c r="BJ25" s="243"/>
      <c r="BK25" s="10" t="s">
        <v>168</v>
      </c>
      <c r="BL25" s="10" t="s">
        <v>168</v>
      </c>
      <c r="BM25" s="10" t="s">
        <v>168</v>
      </c>
      <c r="BN25" s="10" t="s">
        <v>168</v>
      </c>
      <c r="BO25" s="10" t="s">
        <v>168</v>
      </c>
    </row>
    <row r="26" spans="2:67" ht="18" customHeight="1">
      <c r="B26" s="280" t="s">
        <v>64</v>
      </c>
      <c r="C26" s="281" t="s">
        <v>189</v>
      </c>
      <c r="D26" s="529">
        <v>0</v>
      </c>
      <c r="E26" s="530">
        <v>1.1000000000000001</v>
      </c>
      <c r="F26" s="234" t="s">
        <v>284</v>
      </c>
      <c r="G26" s="315"/>
      <c r="H26" s="264"/>
      <c r="I26" s="282">
        <v>0</v>
      </c>
      <c r="J26" s="282">
        <v>0</v>
      </c>
      <c r="K26" s="282">
        <v>0</v>
      </c>
      <c r="L26" s="282">
        <v>0</v>
      </c>
      <c r="M26" s="283">
        <v>0</v>
      </c>
      <c r="N26" s="284"/>
      <c r="O26" s="282">
        <v>0</v>
      </c>
      <c r="P26" s="282">
        <v>0</v>
      </c>
      <c r="Q26" s="282">
        <v>0</v>
      </c>
      <c r="R26" s="282">
        <v>0</v>
      </c>
      <c r="S26" s="283">
        <v>0</v>
      </c>
      <c r="U26" s="282">
        <v>0</v>
      </c>
      <c r="V26" s="282">
        <v>0</v>
      </c>
      <c r="W26" s="282">
        <v>0</v>
      </c>
      <c r="X26" s="282">
        <v>0</v>
      </c>
      <c r="Y26" s="283">
        <v>0</v>
      </c>
      <c r="Z26" s="284"/>
      <c r="AA26" s="282">
        <v>0</v>
      </c>
      <c r="AB26" s="282">
        <v>0</v>
      </c>
      <c r="AC26" s="282">
        <v>0</v>
      </c>
      <c r="AD26" s="282">
        <v>0</v>
      </c>
      <c r="AE26" s="283">
        <v>0</v>
      </c>
      <c r="AG26" s="282">
        <v>0</v>
      </c>
      <c r="AH26" s="282">
        <v>0</v>
      </c>
      <c r="AI26" s="282">
        <v>0</v>
      </c>
      <c r="AJ26" s="282">
        <v>0</v>
      </c>
      <c r="AK26" s="282">
        <v>0</v>
      </c>
      <c r="AL26" s="282"/>
      <c r="AM26" s="282">
        <v>0</v>
      </c>
      <c r="AN26" s="282">
        <v>0</v>
      </c>
      <c r="AO26" s="282">
        <v>0</v>
      </c>
      <c r="AP26" s="282">
        <v>0</v>
      </c>
      <c r="AQ26" s="282">
        <v>0</v>
      </c>
      <c r="AR26" s="153"/>
      <c r="AS26" s="282" t="s">
        <v>15</v>
      </c>
      <c r="AT26" s="282" t="s">
        <v>15</v>
      </c>
      <c r="AU26" s="282" t="s">
        <v>15</v>
      </c>
      <c r="AV26" s="282" t="s">
        <v>15</v>
      </c>
      <c r="AW26" s="283" t="s">
        <v>15</v>
      </c>
      <c r="AX26" s="284"/>
      <c r="AY26" s="282" t="s">
        <v>15</v>
      </c>
      <c r="AZ26" s="282" t="s">
        <v>15</v>
      </c>
      <c r="BA26" s="282" t="s">
        <v>15</v>
      </c>
      <c r="BB26" s="282" t="s">
        <v>15</v>
      </c>
      <c r="BC26" s="283" t="s">
        <v>15</v>
      </c>
      <c r="BE26" s="282">
        <v>0</v>
      </c>
      <c r="BF26" s="282">
        <v>0</v>
      </c>
      <c r="BG26" s="282">
        <v>0</v>
      </c>
      <c r="BH26" s="282">
        <v>0</v>
      </c>
      <c r="BI26" s="283">
        <v>0</v>
      </c>
      <c r="BJ26" s="284"/>
      <c r="BK26" s="282">
        <v>0</v>
      </c>
      <c r="BL26" s="282">
        <v>0</v>
      </c>
      <c r="BM26" s="282">
        <v>0</v>
      </c>
      <c r="BN26" s="282">
        <v>0</v>
      </c>
      <c r="BO26" s="283">
        <v>0</v>
      </c>
    </row>
    <row r="27" spans="2:67">
      <c r="B27" s="273" t="s">
        <v>64</v>
      </c>
      <c r="C27" s="286" t="s">
        <v>385</v>
      </c>
      <c r="D27" s="189">
        <v>239</v>
      </c>
      <c r="E27" s="115">
        <v>3.75</v>
      </c>
      <c r="F27" s="237" t="s">
        <v>284</v>
      </c>
      <c r="G27" s="314"/>
      <c r="H27" s="264"/>
      <c r="I27" s="267">
        <v>39</v>
      </c>
      <c r="J27" s="267">
        <v>54</v>
      </c>
      <c r="K27" s="267">
        <v>78</v>
      </c>
      <c r="L27" s="267">
        <v>112</v>
      </c>
      <c r="M27" s="268">
        <v>145</v>
      </c>
      <c r="N27" s="284"/>
      <c r="O27" s="267">
        <v>79</v>
      </c>
      <c r="P27" s="267">
        <v>124</v>
      </c>
      <c r="Q27" s="267">
        <v>184</v>
      </c>
      <c r="R27" s="267">
        <v>234</v>
      </c>
      <c r="S27" s="268">
        <v>241</v>
      </c>
      <c r="U27" s="267">
        <v>116</v>
      </c>
      <c r="V27" s="267">
        <v>166</v>
      </c>
      <c r="W27" s="267">
        <v>215</v>
      </c>
      <c r="X27" s="267">
        <v>239</v>
      </c>
      <c r="Y27" s="268">
        <v>239</v>
      </c>
      <c r="Z27" s="284"/>
      <c r="AA27" s="267">
        <v>116</v>
      </c>
      <c r="AB27" s="267">
        <v>166</v>
      </c>
      <c r="AC27" s="267">
        <v>215</v>
      </c>
      <c r="AD27" s="267">
        <v>239</v>
      </c>
      <c r="AE27" s="268">
        <v>239</v>
      </c>
      <c r="AG27" s="282">
        <v>0</v>
      </c>
      <c r="AH27" s="282">
        <v>0</v>
      </c>
      <c r="AI27" s="282">
        <v>0</v>
      </c>
      <c r="AJ27" s="282">
        <v>0</v>
      </c>
      <c r="AK27" s="282">
        <v>0</v>
      </c>
      <c r="AL27" s="282"/>
      <c r="AM27" s="282">
        <v>0</v>
      </c>
      <c r="AN27" s="282">
        <v>0</v>
      </c>
      <c r="AO27" s="282">
        <v>0</v>
      </c>
      <c r="AP27" s="282">
        <v>0</v>
      </c>
      <c r="AQ27" s="282">
        <v>0</v>
      </c>
      <c r="AR27" s="153"/>
      <c r="AS27" s="282">
        <v>123</v>
      </c>
      <c r="AT27" s="282">
        <v>73</v>
      </c>
      <c r="AU27" s="282">
        <v>24</v>
      </c>
      <c r="AV27" s="282">
        <v>0</v>
      </c>
      <c r="AW27" s="283">
        <v>0</v>
      </c>
      <c r="AX27" s="284"/>
      <c r="AY27" s="282">
        <v>123</v>
      </c>
      <c r="AZ27" s="282">
        <v>73</v>
      </c>
      <c r="BA27" s="282">
        <v>24</v>
      </c>
      <c r="BB27" s="282">
        <v>0</v>
      </c>
      <c r="BC27" s="283">
        <v>0</v>
      </c>
      <c r="BE27" s="267">
        <v>116</v>
      </c>
      <c r="BF27" s="267">
        <v>166</v>
      </c>
      <c r="BG27" s="267">
        <v>215</v>
      </c>
      <c r="BH27" s="267">
        <v>239</v>
      </c>
      <c r="BI27" s="268">
        <v>239</v>
      </c>
      <c r="BJ27" s="284"/>
      <c r="BK27" s="267">
        <v>116</v>
      </c>
      <c r="BL27" s="267">
        <v>166</v>
      </c>
      <c r="BM27" s="267">
        <v>215</v>
      </c>
      <c r="BN27" s="267">
        <v>239</v>
      </c>
      <c r="BO27" s="268">
        <v>239</v>
      </c>
    </row>
    <row r="28" spans="2:67" ht="16.5" customHeight="1">
      <c r="B28" s="280" t="s">
        <v>64</v>
      </c>
      <c r="C28" s="281" t="s">
        <v>386</v>
      </c>
      <c r="D28" s="191">
        <v>0</v>
      </c>
      <c r="E28" s="300">
        <v>3.75</v>
      </c>
      <c r="F28" s="239" t="s">
        <v>284</v>
      </c>
      <c r="G28" s="315"/>
      <c r="H28" s="264"/>
      <c r="I28" s="265">
        <v>51</v>
      </c>
      <c r="J28" s="265">
        <v>60</v>
      </c>
      <c r="K28" s="265">
        <v>67</v>
      </c>
      <c r="L28" s="265">
        <v>67</v>
      </c>
      <c r="M28" s="266">
        <v>67</v>
      </c>
      <c r="N28" s="284"/>
      <c r="O28" s="265">
        <v>51</v>
      </c>
      <c r="P28" s="265">
        <v>60</v>
      </c>
      <c r="Q28" s="265">
        <v>67</v>
      </c>
      <c r="R28" s="265">
        <v>67</v>
      </c>
      <c r="S28" s="266">
        <v>67</v>
      </c>
      <c r="U28" s="265">
        <v>0</v>
      </c>
      <c r="V28" s="265">
        <v>0</v>
      </c>
      <c r="W28" s="265">
        <v>0</v>
      </c>
      <c r="X28" s="265">
        <v>0</v>
      </c>
      <c r="Y28" s="266">
        <v>0</v>
      </c>
      <c r="Z28" s="284"/>
      <c r="AA28" s="265">
        <v>0</v>
      </c>
      <c r="AB28" s="265">
        <v>0</v>
      </c>
      <c r="AC28" s="265">
        <v>0</v>
      </c>
      <c r="AD28" s="265">
        <v>0</v>
      </c>
      <c r="AE28" s="266">
        <v>0</v>
      </c>
      <c r="AG28" s="282">
        <v>0</v>
      </c>
      <c r="AH28" s="282">
        <v>0</v>
      </c>
      <c r="AI28" s="282">
        <v>0</v>
      </c>
      <c r="AJ28" s="282">
        <v>0</v>
      </c>
      <c r="AK28" s="282">
        <v>0</v>
      </c>
      <c r="AL28" s="282"/>
      <c r="AM28" s="282">
        <v>0</v>
      </c>
      <c r="AN28" s="282">
        <v>0</v>
      </c>
      <c r="AO28" s="282">
        <v>0</v>
      </c>
      <c r="AP28" s="282">
        <v>0</v>
      </c>
      <c r="AQ28" s="282">
        <v>0</v>
      </c>
      <c r="AR28" s="153"/>
      <c r="AS28" s="282" t="s">
        <v>15</v>
      </c>
      <c r="AT28" s="282" t="s">
        <v>15</v>
      </c>
      <c r="AU28" s="282" t="s">
        <v>15</v>
      </c>
      <c r="AV28" s="282" t="s">
        <v>15</v>
      </c>
      <c r="AW28" s="283" t="s">
        <v>15</v>
      </c>
      <c r="AX28" s="284"/>
      <c r="AY28" s="282" t="s">
        <v>15</v>
      </c>
      <c r="AZ28" s="282" t="s">
        <v>15</v>
      </c>
      <c r="BA28" s="282" t="s">
        <v>15</v>
      </c>
      <c r="BB28" s="282" t="s">
        <v>15</v>
      </c>
      <c r="BC28" s="283" t="s">
        <v>15</v>
      </c>
      <c r="BE28" s="265">
        <v>0</v>
      </c>
      <c r="BF28" s="265">
        <v>0</v>
      </c>
      <c r="BG28" s="265">
        <v>0</v>
      </c>
      <c r="BH28" s="265">
        <v>0</v>
      </c>
      <c r="BI28" s="266">
        <v>0</v>
      </c>
      <c r="BJ28" s="284"/>
      <c r="BK28" s="265">
        <v>0</v>
      </c>
      <c r="BL28" s="265">
        <v>0</v>
      </c>
      <c r="BM28" s="265">
        <v>0</v>
      </c>
      <c r="BN28" s="265">
        <v>0</v>
      </c>
      <c r="BO28" s="266">
        <v>0</v>
      </c>
    </row>
    <row r="29" spans="2:67">
      <c r="B29" s="273" t="s">
        <v>346</v>
      </c>
      <c r="C29" s="286" t="s">
        <v>347</v>
      </c>
      <c r="D29" s="189">
        <v>64</v>
      </c>
      <c r="E29" s="115">
        <v>1.1000000000000001</v>
      </c>
      <c r="F29" s="237" t="s">
        <v>4</v>
      </c>
      <c r="G29" s="314"/>
      <c r="H29" s="264"/>
      <c r="I29" s="267">
        <v>34</v>
      </c>
      <c r="J29" s="267">
        <v>0</v>
      </c>
      <c r="K29" s="267">
        <v>0</v>
      </c>
      <c r="L29" s="267">
        <v>0</v>
      </c>
      <c r="M29" s="268">
        <v>0</v>
      </c>
      <c r="N29" s="284"/>
      <c r="O29" s="267">
        <v>34</v>
      </c>
      <c r="P29" s="267">
        <v>0</v>
      </c>
      <c r="Q29" s="267">
        <v>0</v>
      </c>
      <c r="R29" s="267">
        <v>0</v>
      </c>
      <c r="S29" s="268">
        <v>0</v>
      </c>
      <c r="U29" s="267">
        <v>64</v>
      </c>
      <c r="V29" s="267">
        <v>64</v>
      </c>
      <c r="W29" s="267">
        <v>0</v>
      </c>
      <c r="X29" s="267">
        <v>0</v>
      </c>
      <c r="Y29" s="268">
        <v>0</v>
      </c>
      <c r="Z29" s="284"/>
      <c r="AA29" s="267">
        <v>64</v>
      </c>
      <c r="AB29" s="267">
        <v>64</v>
      </c>
      <c r="AC29" s="267">
        <v>0</v>
      </c>
      <c r="AD29" s="267">
        <v>0</v>
      </c>
      <c r="AE29" s="268">
        <v>0</v>
      </c>
      <c r="AG29" s="282">
        <v>0</v>
      </c>
      <c r="AH29" s="282">
        <v>0</v>
      </c>
      <c r="AI29" s="282">
        <v>0</v>
      </c>
      <c r="AJ29" s="282">
        <v>0</v>
      </c>
      <c r="AK29" s="282">
        <v>0</v>
      </c>
      <c r="AL29" s="282"/>
      <c r="AM29" s="282">
        <v>0</v>
      </c>
      <c r="AN29" s="282">
        <v>0</v>
      </c>
      <c r="AO29" s="282">
        <v>0</v>
      </c>
      <c r="AP29" s="282">
        <v>0</v>
      </c>
      <c r="AQ29" s="282">
        <v>0</v>
      </c>
      <c r="AR29" s="153"/>
      <c r="AS29" s="282">
        <v>0</v>
      </c>
      <c r="AT29" s="282">
        <v>0</v>
      </c>
      <c r="AU29" s="282" t="s">
        <v>15</v>
      </c>
      <c r="AV29" s="282" t="s">
        <v>15</v>
      </c>
      <c r="AW29" s="283" t="s">
        <v>15</v>
      </c>
      <c r="AX29" s="284"/>
      <c r="AY29" s="282">
        <v>0</v>
      </c>
      <c r="AZ29" s="282">
        <v>0</v>
      </c>
      <c r="BA29" s="282" t="s">
        <v>15</v>
      </c>
      <c r="BB29" s="282" t="s">
        <v>15</v>
      </c>
      <c r="BC29" s="283" t="s">
        <v>15</v>
      </c>
      <c r="BE29" s="267">
        <v>64</v>
      </c>
      <c r="BF29" s="267">
        <v>64</v>
      </c>
      <c r="BG29" s="267">
        <v>0</v>
      </c>
      <c r="BH29" s="267">
        <v>0</v>
      </c>
      <c r="BI29" s="268">
        <v>0</v>
      </c>
      <c r="BJ29" s="284"/>
      <c r="BK29" s="267">
        <v>64</v>
      </c>
      <c r="BL29" s="267">
        <v>64</v>
      </c>
      <c r="BM29" s="267">
        <v>0</v>
      </c>
      <c r="BN29" s="267">
        <v>0</v>
      </c>
      <c r="BO29" s="268">
        <v>0</v>
      </c>
    </row>
    <row r="30" spans="2:67">
      <c r="B30" s="280" t="s">
        <v>533</v>
      </c>
      <c r="C30" s="281" t="s">
        <v>534</v>
      </c>
      <c r="D30" s="188">
        <v>77</v>
      </c>
      <c r="E30" s="114">
        <v>1.1000000000000001</v>
      </c>
      <c r="F30" s="239" t="s">
        <v>4</v>
      </c>
      <c r="G30" s="315"/>
      <c r="H30" s="264"/>
      <c r="I30" s="282">
        <v>33</v>
      </c>
      <c r="J30" s="282">
        <v>0</v>
      </c>
      <c r="K30" s="282">
        <v>0</v>
      </c>
      <c r="L30" s="282">
        <v>0</v>
      </c>
      <c r="M30" s="283">
        <v>0</v>
      </c>
      <c r="N30" s="284"/>
      <c r="O30" s="282">
        <v>33</v>
      </c>
      <c r="P30" s="282">
        <v>0</v>
      </c>
      <c r="Q30" s="282">
        <v>0</v>
      </c>
      <c r="R30" s="282">
        <v>0</v>
      </c>
      <c r="S30" s="283">
        <v>0</v>
      </c>
      <c r="T30" s="109"/>
      <c r="U30" s="282">
        <v>77</v>
      </c>
      <c r="V30" s="282">
        <v>77</v>
      </c>
      <c r="W30" s="282">
        <v>0</v>
      </c>
      <c r="X30" s="282">
        <v>0</v>
      </c>
      <c r="Y30" s="283">
        <v>0</v>
      </c>
      <c r="Z30" s="284"/>
      <c r="AA30" s="282">
        <v>77</v>
      </c>
      <c r="AB30" s="282">
        <v>77</v>
      </c>
      <c r="AC30" s="282">
        <v>0</v>
      </c>
      <c r="AD30" s="282">
        <v>0</v>
      </c>
      <c r="AE30" s="283">
        <v>0</v>
      </c>
      <c r="AF30" s="109"/>
      <c r="AG30" s="282">
        <v>0</v>
      </c>
      <c r="AH30" s="282">
        <v>0</v>
      </c>
      <c r="AI30" s="282">
        <v>0</v>
      </c>
      <c r="AJ30" s="282">
        <v>0</v>
      </c>
      <c r="AK30" s="282">
        <v>0</v>
      </c>
      <c r="AL30" s="282"/>
      <c r="AM30" s="282">
        <v>0</v>
      </c>
      <c r="AN30" s="282">
        <v>0</v>
      </c>
      <c r="AO30" s="282">
        <v>0</v>
      </c>
      <c r="AP30" s="282">
        <v>0</v>
      </c>
      <c r="AQ30" s="282">
        <v>0</v>
      </c>
      <c r="AR30" s="153"/>
      <c r="AS30" s="282">
        <v>0</v>
      </c>
      <c r="AT30" s="282">
        <v>0</v>
      </c>
      <c r="AU30" s="282" t="s">
        <v>15</v>
      </c>
      <c r="AV30" s="282" t="s">
        <v>15</v>
      </c>
      <c r="AW30" s="283" t="s">
        <v>15</v>
      </c>
      <c r="AX30" s="284"/>
      <c r="AY30" s="282">
        <v>0</v>
      </c>
      <c r="AZ30" s="282">
        <v>0</v>
      </c>
      <c r="BA30" s="282" t="s">
        <v>15</v>
      </c>
      <c r="BB30" s="282" t="s">
        <v>15</v>
      </c>
      <c r="BC30" s="283" t="s">
        <v>15</v>
      </c>
      <c r="BE30" s="282">
        <v>77</v>
      </c>
      <c r="BF30" s="282">
        <v>77</v>
      </c>
      <c r="BG30" s="282">
        <v>0</v>
      </c>
      <c r="BH30" s="282">
        <v>0</v>
      </c>
      <c r="BI30" s="283">
        <v>0</v>
      </c>
      <c r="BJ30" s="284"/>
      <c r="BK30" s="282">
        <v>77</v>
      </c>
      <c r="BL30" s="282">
        <v>77</v>
      </c>
      <c r="BM30" s="282">
        <v>0</v>
      </c>
      <c r="BN30" s="282">
        <v>0</v>
      </c>
      <c r="BO30" s="283">
        <v>0</v>
      </c>
    </row>
    <row r="31" spans="2:67">
      <c r="B31" s="273" t="s">
        <v>62</v>
      </c>
      <c r="C31" s="286" t="s">
        <v>584</v>
      </c>
      <c r="D31" s="189">
        <v>137</v>
      </c>
      <c r="E31" s="115">
        <v>0</v>
      </c>
      <c r="F31" s="237" t="s">
        <v>458</v>
      </c>
      <c r="G31" s="314"/>
      <c r="H31" s="264"/>
      <c r="I31" s="267">
        <v>43</v>
      </c>
      <c r="J31" s="267">
        <v>0</v>
      </c>
      <c r="K31" s="267">
        <v>0</v>
      </c>
      <c r="L31" s="267">
        <v>0</v>
      </c>
      <c r="M31" s="268">
        <v>0</v>
      </c>
      <c r="N31" s="284"/>
      <c r="O31" s="267">
        <v>43</v>
      </c>
      <c r="P31" s="267">
        <v>0</v>
      </c>
      <c r="Q31" s="267">
        <v>0</v>
      </c>
      <c r="R31" s="267">
        <v>0</v>
      </c>
      <c r="S31" s="268">
        <v>0</v>
      </c>
      <c r="T31" s="109"/>
      <c r="U31" s="267">
        <v>39</v>
      </c>
      <c r="V31" s="267">
        <v>59</v>
      </c>
      <c r="W31" s="267">
        <v>82</v>
      </c>
      <c r="X31" s="267">
        <v>99</v>
      </c>
      <c r="Y31" s="268">
        <v>132</v>
      </c>
      <c r="Z31" s="284"/>
      <c r="AA31" s="267">
        <v>97</v>
      </c>
      <c r="AB31" s="267">
        <v>127</v>
      </c>
      <c r="AC31" s="267">
        <v>176</v>
      </c>
      <c r="AD31" s="267">
        <v>224</v>
      </c>
      <c r="AE31" s="268">
        <v>224</v>
      </c>
      <c r="AF31" s="109"/>
      <c r="AG31" s="282">
        <v>13</v>
      </c>
      <c r="AH31" s="282">
        <v>13</v>
      </c>
      <c r="AI31" s="282">
        <v>13</v>
      </c>
      <c r="AJ31" s="282">
        <v>13</v>
      </c>
      <c r="AK31" s="282">
        <v>13</v>
      </c>
      <c r="AL31" s="282"/>
      <c r="AM31" s="282">
        <v>0</v>
      </c>
      <c r="AN31" s="282">
        <v>0</v>
      </c>
      <c r="AO31" s="282">
        <v>0</v>
      </c>
      <c r="AP31" s="282">
        <v>0</v>
      </c>
      <c r="AQ31" s="282">
        <v>0</v>
      </c>
      <c r="AR31" s="153"/>
      <c r="AS31" s="282">
        <v>98</v>
      </c>
      <c r="AT31" s="282">
        <v>78</v>
      </c>
      <c r="AU31" s="282">
        <v>54.999999999999886</v>
      </c>
      <c r="AV31" s="282">
        <v>38</v>
      </c>
      <c r="AW31" s="283">
        <v>5</v>
      </c>
      <c r="AX31" s="284"/>
      <c r="AY31" s="282">
        <v>40.000000000000057</v>
      </c>
      <c r="AZ31" s="282">
        <v>10</v>
      </c>
      <c r="BA31" s="282">
        <v>-39</v>
      </c>
      <c r="BB31" s="282">
        <v>-86.539999999999992</v>
      </c>
      <c r="BC31" s="283">
        <v>-86.539999999999992</v>
      </c>
      <c r="BE31" s="267">
        <v>39</v>
      </c>
      <c r="BF31" s="267">
        <v>59</v>
      </c>
      <c r="BG31" s="267">
        <v>82</v>
      </c>
      <c r="BH31" s="267">
        <v>99</v>
      </c>
      <c r="BI31" s="268">
        <v>132</v>
      </c>
      <c r="BJ31" s="284"/>
      <c r="BK31" s="267">
        <v>97</v>
      </c>
      <c r="BL31" s="267">
        <v>127</v>
      </c>
      <c r="BM31" s="267">
        <v>176</v>
      </c>
      <c r="BN31" s="267">
        <v>224</v>
      </c>
      <c r="BO31" s="268">
        <v>224</v>
      </c>
    </row>
    <row r="32" spans="2:67">
      <c r="B32" s="280" t="s">
        <v>62</v>
      </c>
      <c r="C32" s="281" t="s">
        <v>585</v>
      </c>
      <c r="D32" s="188">
        <v>184</v>
      </c>
      <c r="E32" s="114">
        <v>0</v>
      </c>
      <c r="F32" s="239" t="s">
        <v>458</v>
      </c>
      <c r="G32" s="315"/>
      <c r="H32" s="264"/>
      <c r="I32" s="265">
        <v>55</v>
      </c>
      <c r="J32" s="265">
        <v>0</v>
      </c>
      <c r="K32" s="265">
        <v>0</v>
      </c>
      <c r="L32" s="265">
        <v>0</v>
      </c>
      <c r="M32" s="266">
        <v>0</v>
      </c>
      <c r="N32" s="284"/>
      <c r="O32" s="265">
        <v>55</v>
      </c>
      <c r="P32" s="265">
        <v>0</v>
      </c>
      <c r="Q32" s="265">
        <v>0</v>
      </c>
      <c r="R32" s="265">
        <v>0</v>
      </c>
      <c r="S32" s="266">
        <v>0</v>
      </c>
      <c r="T32" s="109"/>
      <c r="U32" s="265">
        <v>52</v>
      </c>
      <c r="V32" s="265">
        <v>72</v>
      </c>
      <c r="W32" s="265">
        <v>95</v>
      </c>
      <c r="X32" s="265">
        <v>112</v>
      </c>
      <c r="Y32" s="266">
        <v>145</v>
      </c>
      <c r="Z32" s="284"/>
      <c r="AA32" s="265">
        <v>97</v>
      </c>
      <c r="AB32" s="265">
        <v>127</v>
      </c>
      <c r="AC32" s="265">
        <v>176</v>
      </c>
      <c r="AD32" s="265">
        <v>241</v>
      </c>
      <c r="AE32" s="266">
        <v>250</v>
      </c>
      <c r="AF32" s="109"/>
      <c r="AG32" s="282">
        <v>0</v>
      </c>
      <c r="AH32" s="282">
        <v>0</v>
      </c>
      <c r="AI32" s="282">
        <v>0</v>
      </c>
      <c r="AJ32" s="282">
        <v>0</v>
      </c>
      <c r="AK32" s="282">
        <v>0</v>
      </c>
      <c r="AL32" s="282"/>
      <c r="AM32" s="282">
        <v>0</v>
      </c>
      <c r="AN32" s="282">
        <v>0</v>
      </c>
      <c r="AO32" s="282">
        <v>0</v>
      </c>
      <c r="AP32" s="282">
        <v>0</v>
      </c>
      <c r="AQ32" s="282">
        <v>0</v>
      </c>
      <c r="AR32" s="153"/>
      <c r="AS32" s="282">
        <v>132</v>
      </c>
      <c r="AT32" s="282">
        <v>112</v>
      </c>
      <c r="AU32" s="282">
        <v>88.999999999999886</v>
      </c>
      <c r="AV32" s="282">
        <v>72</v>
      </c>
      <c r="AW32" s="283">
        <v>39</v>
      </c>
      <c r="AX32" s="284"/>
      <c r="AY32" s="282">
        <v>87.000000000000057</v>
      </c>
      <c r="AZ32" s="282">
        <v>57</v>
      </c>
      <c r="BA32" s="282">
        <v>8</v>
      </c>
      <c r="BB32" s="282">
        <v>-57</v>
      </c>
      <c r="BC32" s="283">
        <v>-66.079999999999984</v>
      </c>
      <c r="BE32" s="265">
        <v>52</v>
      </c>
      <c r="BF32" s="265">
        <v>72</v>
      </c>
      <c r="BG32" s="265">
        <v>95</v>
      </c>
      <c r="BH32" s="265">
        <v>112</v>
      </c>
      <c r="BI32" s="266">
        <v>145</v>
      </c>
      <c r="BJ32" s="284"/>
      <c r="BK32" s="265">
        <v>97</v>
      </c>
      <c r="BL32" s="265">
        <v>127</v>
      </c>
      <c r="BM32" s="265">
        <v>176</v>
      </c>
      <c r="BN32" s="265">
        <v>241</v>
      </c>
      <c r="BO32" s="266">
        <v>250</v>
      </c>
    </row>
    <row r="33" spans="2:67">
      <c r="B33" s="273" t="s">
        <v>62</v>
      </c>
      <c r="C33" s="286" t="s">
        <v>420</v>
      </c>
      <c r="D33" s="189">
        <v>279</v>
      </c>
      <c r="E33" s="115">
        <v>0</v>
      </c>
      <c r="F33" s="237" t="s">
        <v>458</v>
      </c>
      <c r="G33" s="314"/>
      <c r="H33" s="264"/>
      <c r="I33" s="267">
        <v>54</v>
      </c>
      <c r="J33" s="267">
        <v>0</v>
      </c>
      <c r="K33" s="267">
        <v>0</v>
      </c>
      <c r="L33" s="267">
        <v>0</v>
      </c>
      <c r="M33" s="268">
        <v>0</v>
      </c>
      <c r="N33" s="284"/>
      <c r="O33" s="267">
        <v>54</v>
      </c>
      <c r="P33" s="267">
        <v>0</v>
      </c>
      <c r="Q33" s="267">
        <v>0</v>
      </c>
      <c r="R33" s="267">
        <v>0</v>
      </c>
      <c r="S33" s="268">
        <v>0</v>
      </c>
      <c r="T33" s="109"/>
      <c r="U33" s="267">
        <v>89</v>
      </c>
      <c r="V33" s="267">
        <v>109</v>
      </c>
      <c r="W33" s="267">
        <v>132</v>
      </c>
      <c r="X33" s="267">
        <v>149</v>
      </c>
      <c r="Y33" s="268">
        <v>182</v>
      </c>
      <c r="Z33" s="284"/>
      <c r="AA33" s="267">
        <v>134</v>
      </c>
      <c r="AB33" s="267">
        <v>164</v>
      </c>
      <c r="AC33" s="267">
        <v>213</v>
      </c>
      <c r="AD33" s="267">
        <v>278</v>
      </c>
      <c r="AE33" s="268">
        <v>373</v>
      </c>
      <c r="AF33" s="109"/>
      <c r="AG33" s="282">
        <v>0</v>
      </c>
      <c r="AH33" s="282">
        <v>0</v>
      </c>
      <c r="AI33" s="282">
        <v>0</v>
      </c>
      <c r="AJ33" s="282">
        <v>0</v>
      </c>
      <c r="AK33" s="282">
        <v>0</v>
      </c>
      <c r="AL33" s="282"/>
      <c r="AM33" s="282">
        <v>0</v>
      </c>
      <c r="AN33" s="282">
        <v>0</v>
      </c>
      <c r="AO33" s="282">
        <v>0</v>
      </c>
      <c r="AP33" s="282">
        <v>0</v>
      </c>
      <c r="AQ33" s="282">
        <v>0</v>
      </c>
      <c r="AR33" s="153"/>
      <c r="AS33" s="282">
        <v>190.46</v>
      </c>
      <c r="AT33" s="282">
        <v>170.46</v>
      </c>
      <c r="AU33" s="282">
        <v>147.45999999999989</v>
      </c>
      <c r="AV33" s="282">
        <v>130.46</v>
      </c>
      <c r="AW33" s="283">
        <v>97.460000000000008</v>
      </c>
      <c r="AX33" s="284"/>
      <c r="AY33" s="282">
        <v>145.46000000000006</v>
      </c>
      <c r="AZ33" s="282">
        <v>115.46000000000001</v>
      </c>
      <c r="BA33" s="282">
        <v>66.460000000000008</v>
      </c>
      <c r="BB33" s="282">
        <v>1.460000000000008</v>
      </c>
      <c r="BC33" s="283">
        <v>-94.229999999999961</v>
      </c>
      <c r="BE33" s="267">
        <v>89</v>
      </c>
      <c r="BF33" s="267">
        <v>109</v>
      </c>
      <c r="BG33" s="267">
        <v>132</v>
      </c>
      <c r="BH33" s="267">
        <v>149</v>
      </c>
      <c r="BI33" s="268">
        <v>182</v>
      </c>
      <c r="BJ33" s="284"/>
      <c r="BK33" s="267">
        <v>134</v>
      </c>
      <c r="BL33" s="267">
        <v>164</v>
      </c>
      <c r="BM33" s="267">
        <v>213</v>
      </c>
      <c r="BN33" s="267">
        <v>278</v>
      </c>
      <c r="BO33" s="268">
        <v>373</v>
      </c>
    </row>
    <row r="34" spans="2:67">
      <c r="B34" s="280" t="s">
        <v>62</v>
      </c>
      <c r="C34" s="281" t="s">
        <v>586</v>
      </c>
      <c r="D34" s="188">
        <v>532</v>
      </c>
      <c r="E34" s="114">
        <v>2.5</v>
      </c>
      <c r="F34" s="239" t="s">
        <v>459</v>
      </c>
      <c r="G34" s="315"/>
      <c r="H34" s="264"/>
      <c r="I34" s="282">
        <v>79</v>
      </c>
      <c r="J34" s="282">
        <v>99</v>
      </c>
      <c r="K34" s="282">
        <v>99</v>
      </c>
      <c r="L34" s="282">
        <v>99</v>
      </c>
      <c r="M34" s="283">
        <v>99</v>
      </c>
      <c r="N34" s="284"/>
      <c r="O34" s="282">
        <v>79</v>
      </c>
      <c r="P34" s="282">
        <v>99</v>
      </c>
      <c r="Q34" s="282">
        <v>99</v>
      </c>
      <c r="R34" s="282">
        <v>99</v>
      </c>
      <c r="S34" s="283">
        <v>99</v>
      </c>
      <c r="T34" s="109"/>
      <c r="U34" s="282">
        <v>52</v>
      </c>
      <c r="V34" s="282">
        <v>138</v>
      </c>
      <c r="W34" s="282">
        <v>161</v>
      </c>
      <c r="X34" s="282">
        <v>178</v>
      </c>
      <c r="Y34" s="283">
        <v>211</v>
      </c>
      <c r="Z34" s="284"/>
      <c r="AA34" s="282">
        <v>97</v>
      </c>
      <c r="AB34" s="282">
        <v>193</v>
      </c>
      <c r="AC34" s="282">
        <v>242</v>
      </c>
      <c r="AD34" s="282">
        <v>307</v>
      </c>
      <c r="AE34" s="283">
        <v>419</v>
      </c>
      <c r="AF34" s="109"/>
      <c r="AG34" s="282">
        <v>0</v>
      </c>
      <c r="AH34" s="282">
        <v>0</v>
      </c>
      <c r="AI34" s="282">
        <v>0</v>
      </c>
      <c r="AJ34" s="282">
        <v>0</v>
      </c>
      <c r="AK34" s="282">
        <v>0</v>
      </c>
      <c r="AL34" s="282"/>
      <c r="AM34" s="282">
        <v>0</v>
      </c>
      <c r="AN34" s="282">
        <v>0</v>
      </c>
      <c r="AO34" s="282">
        <v>0</v>
      </c>
      <c r="AP34" s="282">
        <v>0</v>
      </c>
      <c r="AQ34" s="282">
        <v>0</v>
      </c>
      <c r="AR34" s="153"/>
      <c r="AS34" s="282">
        <v>480</v>
      </c>
      <c r="AT34" s="282">
        <v>393.81</v>
      </c>
      <c r="AU34" s="282">
        <v>370.80999999999989</v>
      </c>
      <c r="AV34" s="282">
        <v>353.81</v>
      </c>
      <c r="AW34" s="283">
        <v>320.81</v>
      </c>
      <c r="AX34" s="284"/>
      <c r="AY34" s="282">
        <v>435.00000000000006</v>
      </c>
      <c r="AZ34" s="282">
        <v>338.81</v>
      </c>
      <c r="BA34" s="282">
        <v>289.81</v>
      </c>
      <c r="BB34" s="282">
        <v>224.81</v>
      </c>
      <c r="BC34" s="283">
        <v>112.81</v>
      </c>
      <c r="BE34" s="282">
        <v>52</v>
      </c>
      <c r="BF34" s="282">
        <v>138</v>
      </c>
      <c r="BG34" s="282">
        <v>161</v>
      </c>
      <c r="BH34" s="282">
        <v>178</v>
      </c>
      <c r="BI34" s="283">
        <v>211</v>
      </c>
      <c r="BJ34" s="284"/>
      <c r="BK34" s="282">
        <v>97</v>
      </c>
      <c r="BL34" s="282">
        <v>223</v>
      </c>
      <c r="BM34" s="282">
        <v>292</v>
      </c>
      <c r="BN34" s="282">
        <v>347</v>
      </c>
      <c r="BO34" s="283">
        <v>479</v>
      </c>
    </row>
    <row r="35" spans="2:67">
      <c r="B35" s="273" t="s">
        <v>62</v>
      </c>
      <c r="C35" s="286" t="s">
        <v>587</v>
      </c>
      <c r="D35" s="189">
        <v>555</v>
      </c>
      <c r="E35" s="115">
        <v>2.5</v>
      </c>
      <c r="F35" s="237" t="s">
        <v>459</v>
      </c>
      <c r="G35" s="314"/>
      <c r="H35" s="264"/>
      <c r="I35" s="267">
        <v>39</v>
      </c>
      <c r="J35" s="267">
        <v>54</v>
      </c>
      <c r="K35" s="267">
        <v>78</v>
      </c>
      <c r="L35" s="267">
        <v>112</v>
      </c>
      <c r="M35" s="268">
        <v>145</v>
      </c>
      <c r="N35" s="284"/>
      <c r="O35" s="267">
        <v>79</v>
      </c>
      <c r="P35" s="267">
        <v>124</v>
      </c>
      <c r="Q35" s="267">
        <v>190</v>
      </c>
      <c r="R35" s="267">
        <v>300</v>
      </c>
      <c r="S35" s="268">
        <v>447</v>
      </c>
      <c r="T35" s="109"/>
      <c r="U35" s="267">
        <v>52</v>
      </c>
      <c r="V35" s="267">
        <v>139</v>
      </c>
      <c r="W35" s="267">
        <v>162</v>
      </c>
      <c r="X35" s="267">
        <v>179</v>
      </c>
      <c r="Y35" s="268">
        <v>212</v>
      </c>
      <c r="Z35" s="284"/>
      <c r="AA35" s="267">
        <v>97</v>
      </c>
      <c r="AB35" s="267">
        <v>194</v>
      </c>
      <c r="AC35" s="267">
        <v>243</v>
      </c>
      <c r="AD35" s="267">
        <v>308</v>
      </c>
      <c r="AE35" s="268">
        <v>420</v>
      </c>
      <c r="AF35" s="109"/>
      <c r="AG35" s="282">
        <v>0</v>
      </c>
      <c r="AH35" s="282">
        <v>0</v>
      </c>
      <c r="AI35" s="282">
        <v>0</v>
      </c>
      <c r="AJ35" s="282">
        <v>0</v>
      </c>
      <c r="AK35" s="282">
        <v>0</v>
      </c>
      <c r="AL35" s="282"/>
      <c r="AM35" s="282">
        <v>0</v>
      </c>
      <c r="AN35" s="282">
        <v>0</v>
      </c>
      <c r="AO35" s="282">
        <v>0</v>
      </c>
      <c r="AP35" s="282">
        <v>0</v>
      </c>
      <c r="AQ35" s="282">
        <v>0</v>
      </c>
      <c r="AR35" s="153"/>
      <c r="AS35" s="282">
        <v>503</v>
      </c>
      <c r="AT35" s="282">
        <v>416.25</v>
      </c>
      <c r="AU35" s="282">
        <v>393.24999999999989</v>
      </c>
      <c r="AV35" s="282">
        <v>376.25</v>
      </c>
      <c r="AW35" s="283">
        <v>343.25</v>
      </c>
      <c r="AX35" s="284"/>
      <c r="AY35" s="282">
        <v>458.00000000000006</v>
      </c>
      <c r="AZ35" s="282">
        <v>361.25</v>
      </c>
      <c r="BA35" s="282">
        <v>312.25</v>
      </c>
      <c r="BB35" s="282">
        <v>247.25</v>
      </c>
      <c r="BC35" s="283">
        <v>135.25</v>
      </c>
      <c r="BE35" s="267">
        <v>52</v>
      </c>
      <c r="BF35" s="267">
        <v>139</v>
      </c>
      <c r="BG35" s="267">
        <v>162</v>
      </c>
      <c r="BH35" s="267">
        <v>179</v>
      </c>
      <c r="BI35" s="268">
        <v>212</v>
      </c>
      <c r="BJ35" s="284"/>
      <c r="BK35" s="267">
        <v>97</v>
      </c>
      <c r="BL35" s="267">
        <v>224</v>
      </c>
      <c r="BM35" s="267">
        <v>293</v>
      </c>
      <c r="BN35" s="267">
        <v>348</v>
      </c>
      <c r="BO35" s="268">
        <v>480</v>
      </c>
    </row>
    <row r="36" spans="2:67">
      <c r="B36" s="280" t="s">
        <v>346</v>
      </c>
      <c r="C36" s="281" t="s">
        <v>387</v>
      </c>
      <c r="D36" s="191">
        <v>71</v>
      </c>
      <c r="E36" s="300">
        <v>0</v>
      </c>
      <c r="F36" s="239" t="s">
        <v>458</v>
      </c>
      <c r="G36" s="315"/>
      <c r="H36" s="264"/>
      <c r="I36" s="265">
        <v>39</v>
      </c>
      <c r="J36" s="265">
        <v>54</v>
      </c>
      <c r="K36" s="265">
        <v>145</v>
      </c>
      <c r="L36" s="265">
        <v>179</v>
      </c>
      <c r="M36" s="266">
        <v>212</v>
      </c>
      <c r="N36" s="284"/>
      <c r="O36" s="265">
        <v>79</v>
      </c>
      <c r="P36" s="265">
        <v>124</v>
      </c>
      <c r="Q36" s="265">
        <v>257</v>
      </c>
      <c r="R36" s="265">
        <v>367</v>
      </c>
      <c r="S36" s="266">
        <v>514</v>
      </c>
      <c r="U36" s="265">
        <v>71</v>
      </c>
      <c r="V36" s="265">
        <v>71</v>
      </c>
      <c r="W36" s="265">
        <v>71</v>
      </c>
      <c r="X36" s="265">
        <v>71</v>
      </c>
      <c r="Y36" s="266">
        <v>71</v>
      </c>
      <c r="Z36" s="284"/>
      <c r="AA36" s="265">
        <v>71</v>
      </c>
      <c r="AB36" s="265">
        <v>71</v>
      </c>
      <c r="AC36" s="265">
        <v>71</v>
      </c>
      <c r="AD36" s="265">
        <v>71</v>
      </c>
      <c r="AE36" s="266">
        <v>71</v>
      </c>
      <c r="AG36" s="282">
        <v>0</v>
      </c>
      <c r="AH36" s="282">
        <v>0</v>
      </c>
      <c r="AI36" s="282">
        <v>0</v>
      </c>
      <c r="AJ36" s="282">
        <v>0</v>
      </c>
      <c r="AK36" s="282">
        <v>0</v>
      </c>
      <c r="AL36" s="282"/>
      <c r="AM36" s="282">
        <v>0</v>
      </c>
      <c r="AN36" s="282">
        <v>0</v>
      </c>
      <c r="AO36" s="282">
        <v>0</v>
      </c>
      <c r="AP36" s="282">
        <v>0</v>
      </c>
      <c r="AQ36" s="282">
        <v>0</v>
      </c>
      <c r="AR36" s="153"/>
      <c r="AS36" s="282">
        <v>0</v>
      </c>
      <c r="AT36" s="282">
        <v>0</v>
      </c>
      <c r="AU36" s="282">
        <v>0</v>
      </c>
      <c r="AV36" s="282">
        <v>0</v>
      </c>
      <c r="AW36" s="283">
        <v>0</v>
      </c>
      <c r="AX36" s="284"/>
      <c r="AY36" s="282">
        <v>0</v>
      </c>
      <c r="AZ36" s="282">
        <v>0</v>
      </c>
      <c r="BA36" s="282">
        <v>0</v>
      </c>
      <c r="BB36" s="282">
        <v>0</v>
      </c>
      <c r="BC36" s="283">
        <v>0</v>
      </c>
      <c r="BE36" s="265">
        <v>71</v>
      </c>
      <c r="BF36" s="265">
        <v>71</v>
      </c>
      <c r="BG36" s="265">
        <v>71</v>
      </c>
      <c r="BH36" s="265">
        <v>71</v>
      </c>
      <c r="BI36" s="266">
        <v>71</v>
      </c>
      <c r="BJ36" s="284"/>
      <c r="BK36" s="265">
        <v>71</v>
      </c>
      <c r="BL36" s="265">
        <v>71</v>
      </c>
      <c r="BM36" s="265">
        <v>71</v>
      </c>
      <c r="BN36" s="265">
        <v>71</v>
      </c>
      <c r="BO36" s="266">
        <v>71</v>
      </c>
    </row>
    <row r="37" spans="2:67">
      <c r="B37" s="273" t="s">
        <v>346</v>
      </c>
      <c r="C37" s="286" t="s">
        <v>388</v>
      </c>
      <c r="D37" s="189">
        <v>49</v>
      </c>
      <c r="E37" s="115">
        <v>0</v>
      </c>
      <c r="F37" s="237" t="s">
        <v>458</v>
      </c>
      <c r="G37" s="314"/>
      <c r="H37" s="264"/>
      <c r="I37" s="267">
        <v>39</v>
      </c>
      <c r="J37" s="267">
        <v>54</v>
      </c>
      <c r="K37" s="267">
        <v>78</v>
      </c>
      <c r="L37" s="267">
        <v>112</v>
      </c>
      <c r="M37" s="268">
        <v>145</v>
      </c>
      <c r="N37" s="284"/>
      <c r="O37" s="267">
        <v>79</v>
      </c>
      <c r="P37" s="267">
        <v>124</v>
      </c>
      <c r="Q37" s="267">
        <v>190</v>
      </c>
      <c r="R37" s="267">
        <v>300</v>
      </c>
      <c r="S37" s="268">
        <v>447</v>
      </c>
      <c r="U37" s="267">
        <v>49</v>
      </c>
      <c r="V37" s="267">
        <v>49</v>
      </c>
      <c r="W37" s="267">
        <v>49</v>
      </c>
      <c r="X37" s="267">
        <v>49</v>
      </c>
      <c r="Y37" s="268">
        <v>49</v>
      </c>
      <c r="Z37" s="284"/>
      <c r="AA37" s="267">
        <v>49</v>
      </c>
      <c r="AB37" s="267">
        <v>49</v>
      </c>
      <c r="AC37" s="267">
        <v>49</v>
      </c>
      <c r="AD37" s="267">
        <v>49</v>
      </c>
      <c r="AE37" s="268">
        <v>49</v>
      </c>
      <c r="AG37" s="282">
        <v>0</v>
      </c>
      <c r="AH37" s="282">
        <v>0</v>
      </c>
      <c r="AI37" s="282">
        <v>0</v>
      </c>
      <c r="AJ37" s="282">
        <v>0</v>
      </c>
      <c r="AK37" s="282">
        <v>0</v>
      </c>
      <c r="AL37" s="282"/>
      <c r="AM37" s="282">
        <v>0</v>
      </c>
      <c r="AN37" s="282">
        <v>0</v>
      </c>
      <c r="AO37" s="282">
        <v>0</v>
      </c>
      <c r="AP37" s="282">
        <v>0</v>
      </c>
      <c r="AQ37" s="282">
        <v>0</v>
      </c>
      <c r="AR37" s="153"/>
      <c r="AS37" s="282">
        <v>0</v>
      </c>
      <c r="AT37" s="282">
        <v>0</v>
      </c>
      <c r="AU37" s="282">
        <v>0</v>
      </c>
      <c r="AV37" s="282">
        <v>0</v>
      </c>
      <c r="AW37" s="283">
        <v>0</v>
      </c>
      <c r="AX37" s="284"/>
      <c r="AY37" s="282">
        <v>0</v>
      </c>
      <c r="AZ37" s="282">
        <v>0</v>
      </c>
      <c r="BA37" s="282">
        <v>0</v>
      </c>
      <c r="BB37" s="282">
        <v>0</v>
      </c>
      <c r="BC37" s="283">
        <v>0</v>
      </c>
      <c r="BE37" s="267">
        <v>49</v>
      </c>
      <c r="BF37" s="267">
        <v>49</v>
      </c>
      <c r="BG37" s="267">
        <v>49</v>
      </c>
      <c r="BH37" s="267">
        <v>49</v>
      </c>
      <c r="BI37" s="268">
        <v>49</v>
      </c>
      <c r="BJ37" s="284"/>
      <c r="BK37" s="267">
        <v>49</v>
      </c>
      <c r="BL37" s="267">
        <v>49</v>
      </c>
      <c r="BM37" s="267">
        <v>49</v>
      </c>
      <c r="BN37" s="267">
        <v>49</v>
      </c>
      <c r="BO37" s="268">
        <v>49</v>
      </c>
    </row>
    <row r="38" spans="2:67">
      <c r="B38" s="280" t="s">
        <v>65</v>
      </c>
      <c r="C38" s="281" t="s">
        <v>564</v>
      </c>
      <c r="D38" s="188">
        <v>172</v>
      </c>
      <c r="E38" s="114">
        <v>0</v>
      </c>
      <c r="F38" s="239" t="s">
        <v>458</v>
      </c>
      <c r="G38" s="315"/>
      <c r="H38" s="264"/>
      <c r="I38" s="282">
        <v>39</v>
      </c>
      <c r="J38" s="282">
        <v>54</v>
      </c>
      <c r="K38" s="282">
        <v>78</v>
      </c>
      <c r="L38" s="282">
        <v>112</v>
      </c>
      <c r="M38" s="283">
        <v>145</v>
      </c>
      <c r="N38" s="284"/>
      <c r="O38" s="282">
        <v>79</v>
      </c>
      <c r="P38" s="282">
        <v>124</v>
      </c>
      <c r="Q38" s="282">
        <v>190</v>
      </c>
      <c r="R38" s="282">
        <v>300</v>
      </c>
      <c r="S38" s="283">
        <v>447</v>
      </c>
      <c r="U38" s="282">
        <v>82</v>
      </c>
      <c r="V38" s="282">
        <v>102</v>
      </c>
      <c r="W38" s="282">
        <v>125</v>
      </c>
      <c r="X38" s="282">
        <v>142</v>
      </c>
      <c r="Y38" s="283">
        <v>175</v>
      </c>
      <c r="Z38" s="284"/>
      <c r="AA38" s="282">
        <v>127</v>
      </c>
      <c r="AB38" s="282">
        <v>157</v>
      </c>
      <c r="AC38" s="282">
        <v>206</v>
      </c>
      <c r="AD38" s="282">
        <v>244</v>
      </c>
      <c r="AE38" s="283">
        <v>244</v>
      </c>
      <c r="AG38" s="282">
        <v>0</v>
      </c>
      <c r="AH38" s="282">
        <v>0</v>
      </c>
      <c r="AI38" s="282">
        <v>0</v>
      </c>
      <c r="AJ38" s="282">
        <v>0</v>
      </c>
      <c r="AK38" s="282">
        <v>0</v>
      </c>
      <c r="AL38" s="282"/>
      <c r="AM38" s="282">
        <v>0</v>
      </c>
      <c r="AN38" s="282">
        <v>0</v>
      </c>
      <c r="AO38" s="282">
        <v>0</v>
      </c>
      <c r="AP38" s="282">
        <v>0</v>
      </c>
      <c r="AQ38" s="282">
        <v>0</v>
      </c>
      <c r="AR38" s="153"/>
      <c r="AS38" s="282">
        <v>90</v>
      </c>
      <c r="AT38" s="282">
        <v>70</v>
      </c>
      <c r="AU38" s="282">
        <v>46.999999999999886</v>
      </c>
      <c r="AV38" s="282">
        <v>30</v>
      </c>
      <c r="AW38" s="283">
        <v>-3</v>
      </c>
      <c r="AX38" s="284"/>
      <c r="AY38" s="282">
        <v>45.000000000000057</v>
      </c>
      <c r="AZ38" s="282">
        <v>15</v>
      </c>
      <c r="BA38" s="282">
        <v>-34</v>
      </c>
      <c r="BB38" s="282">
        <v>-72</v>
      </c>
      <c r="BC38" s="283">
        <v>-72</v>
      </c>
      <c r="BE38" s="282">
        <v>82</v>
      </c>
      <c r="BF38" s="282">
        <v>102</v>
      </c>
      <c r="BG38" s="282">
        <v>125</v>
      </c>
      <c r="BH38" s="282">
        <v>142</v>
      </c>
      <c r="BI38" s="283">
        <v>175</v>
      </c>
      <c r="BJ38" s="284"/>
      <c r="BK38" s="282">
        <v>127</v>
      </c>
      <c r="BL38" s="282">
        <v>157</v>
      </c>
      <c r="BM38" s="282">
        <v>206</v>
      </c>
      <c r="BN38" s="282">
        <v>244</v>
      </c>
      <c r="BO38" s="283">
        <v>244</v>
      </c>
    </row>
    <row r="39" spans="2:67">
      <c r="B39" s="273" t="s">
        <v>65</v>
      </c>
      <c r="C39" s="286" t="s">
        <v>565</v>
      </c>
      <c r="D39" s="189">
        <v>240</v>
      </c>
      <c r="E39" s="115">
        <v>0</v>
      </c>
      <c r="F39" s="237" t="s">
        <v>458</v>
      </c>
      <c r="G39" s="314"/>
      <c r="H39" s="264"/>
      <c r="I39" s="267">
        <v>39</v>
      </c>
      <c r="J39" s="267">
        <v>54</v>
      </c>
      <c r="K39" s="267">
        <v>125</v>
      </c>
      <c r="L39" s="267">
        <v>159</v>
      </c>
      <c r="M39" s="268">
        <v>192</v>
      </c>
      <c r="N39" s="284"/>
      <c r="O39" s="267">
        <v>79</v>
      </c>
      <c r="P39" s="267">
        <v>124</v>
      </c>
      <c r="Q39" s="267">
        <v>237</v>
      </c>
      <c r="R39" s="267">
        <v>347</v>
      </c>
      <c r="S39" s="268">
        <v>494</v>
      </c>
      <c r="U39" s="267">
        <v>103</v>
      </c>
      <c r="V39" s="267">
        <v>123</v>
      </c>
      <c r="W39" s="267">
        <v>146</v>
      </c>
      <c r="X39" s="267">
        <v>163</v>
      </c>
      <c r="Y39" s="268">
        <v>196</v>
      </c>
      <c r="Z39" s="284"/>
      <c r="AA39" s="267">
        <v>148</v>
      </c>
      <c r="AB39" s="267">
        <v>178</v>
      </c>
      <c r="AC39" s="267">
        <v>227</v>
      </c>
      <c r="AD39" s="267">
        <v>292</v>
      </c>
      <c r="AE39" s="268">
        <v>308</v>
      </c>
      <c r="AG39" s="282">
        <v>0</v>
      </c>
      <c r="AH39" s="282">
        <v>0</v>
      </c>
      <c r="AI39" s="282">
        <v>0</v>
      </c>
      <c r="AJ39" s="282">
        <v>0</v>
      </c>
      <c r="AK39" s="282">
        <v>0</v>
      </c>
      <c r="AL39" s="282"/>
      <c r="AM39" s="282">
        <v>0</v>
      </c>
      <c r="AN39" s="282">
        <v>0</v>
      </c>
      <c r="AO39" s="282">
        <v>0</v>
      </c>
      <c r="AP39" s="282">
        <v>0</v>
      </c>
      <c r="AQ39" s="282">
        <v>0</v>
      </c>
      <c r="AR39" s="153"/>
      <c r="AS39" s="282">
        <v>137</v>
      </c>
      <c r="AT39" s="282">
        <v>117</v>
      </c>
      <c r="AU39" s="282">
        <v>93.999999999999886</v>
      </c>
      <c r="AV39" s="282">
        <v>77</v>
      </c>
      <c r="AW39" s="283">
        <v>44</v>
      </c>
      <c r="AX39" s="284"/>
      <c r="AY39" s="282">
        <v>92.000000000000057</v>
      </c>
      <c r="AZ39" s="282">
        <v>62</v>
      </c>
      <c r="BA39" s="282">
        <v>13</v>
      </c>
      <c r="BB39" s="282">
        <v>-52</v>
      </c>
      <c r="BC39" s="283">
        <v>-67.5</v>
      </c>
      <c r="BE39" s="267">
        <v>103</v>
      </c>
      <c r="BF39" s="267">
        <v>123</v>
      </c>
      <c r="BG39" s="267">
        <v>146</v>
      </c>
      <c r="BH39" s="267">
        <v>163</v>
      </c>
      <c r="BI39" s="268">
        <v>196</v>
      </c>
      <c r="BJ39" s="284"/>
      <c r="BK39" s="267">
        <v>148</v>
      </c>
      <c r="BL39" s="267">
        <v>178</v>
      </c>
      <c r="BM39" s="267">
        <v>227</v>
      </c>
      <c r="BN39" s="267">
        <v>292</v>
      </c>
      <c r="BO39" s="268">
        <v>308</v>
      </c>
    </row>
    <row r="40" spans="2:67">
      <c r="B40" s="280" t="s">
        <v>115</v>
      </c>
      <c r="C40" s="281" t="s">
        <v>407</v>
      </c>
      <c r="D40" s="188">
        <v>44</v>
      </c>
      <c r="E40" s="114">
        <v>0</v>
      </c>
      <c r="F40" s="239" t="s">
        <v>458</v>
      </c>
      <c r="G40" s="315"/>
      <c r="H40" s="264"/>
      <c r="I40" s="265">
        <v>39</v>
      </c>
      <c r="J40" s="265">
        <v>54</v>
      </c>
      <c r="K40" s="265">
        <v>145</v>
      </c>
      <c r="L40" s="265">
        <v>179</v>
      </c>
      <c r="M40" s="266">
        <v>212</v>
      </c>
      <c r="N40" s="284"/>
      <c r="O40" s="265">
        <v>79</v>
      </c>
      <c r="P40" s="265">
        <v>124</v>
      </c>
      <c r="Q40" s="265">
        <v>257</v>
      </c>
      <c r="R40" s="265">
        <v>367</v>
      </c>
      <c r="S40" s="266">
        <v>514</v>
      </c>
      <c r="T40" s="109"/>
      <c r="U40" s="265">
        <v>44</v>
      </c>
      <c r="V40" s="265">
        <v>44</v>
      </c>
      <c r="W40" s="265">
        <v>44</v>
      </c>
      <c r="X40" s="265">
        <v>44</v>
      </c>
      <c r="Y40" s="266">
        <v>44</v>
      </c>
      <c r="Z40" s="284"/>
      <c r="AA40" s="265">
        <v>44</v>
      </c>
      <c r="AB40" s="265">
        <v>44</v>
      </c>
      <c r="AC40" s="265">
        <v>44</v>
      </c>
      <c r="AD40" s="265">
        <v>44</v>
      </c>
      <c r="AE40" s="266">
        <v>44</v>
      </c>
      <c r="AF40" s="109"/>
      <c r="AG40" s="282">
        <v>0</v>
      </c>
      <c r="AH40" s="282">
        <v>0</v>
      </c>
      <c r="AI40" s="282">
        <v>0</v>
      </c>
      <c r="AJ40" s="282">
        <v>0</v>
      </c>
      <c r="AK40" s="282">
        <v>0</v>
      </c>
      <c r="AL40" s="282"/>
      <c r="AM40" s="282">
        <v>0</v>
      </c>
      <c r="AN40" s="282">
        <v>0</v>
      </c>
      <c r="AO40" s="282">
        <v>0</v>
      </c>
      <c r="AP40" s="282">
        <v>0</v>
      </c>
      <c r="AQ40" s="282">
        <v>0</v>
      </c>
      <c r="AR40" s="153"/>
      <c r="AS40" s="282">
        <v>0</v>
      </c>
      <c r="AT40" s="282">
        <v>0</v>
      </c>
      <c r="AU40" s="282">
        <v>0</v>
      </c>
      <c r="AV40" s="282">
        <v>0</v>
      </c>
      <c r="AW40" s="283">
        <v>0</v>
      </c>
      <c r="AX40" s="284"/>
      <c r="AY40" s="282">
        <v>0</v>
      </c>
      <c r="AZ40" s="282">
        <v>0</v>
      </c>
      <c r="BA40" s="282">
        <v>0</v>
      </c>
      <c r="BB40" s="282">
        <v>0</v>
      </c>
      <c r="BC40" s="283">
        <v>0</v>
      </c>
      <c r="BE40" s="265">
        <v>44</v>
      </c>
      <c r="BF40" s="265">
        <v>44</v>
      </c>
      <c r="BG40" s="265">
        <v>44</v>
      </c>
      <c r="BH40" s="265">
        <v>44</v>
      </c>
      <c r="BI40" s="266">
        <v>44</v>
      </c>
      <c r="BJ40" s="284"/>
      <c r="BK40" s="265">
        <v>44</v>
      </c>
      <c r="BL40" s="265">
        <v>44</v>
      </c>
      <c r="BM40" s="265">
        <v>44</v>
      </c>
      <c r="BN40" s="265">
        <v>44</v>
      </c>
      <c r="BO40" s="266">
        <v>44</v>
      </c>
    </row>
    <row r="41" spans="2:67">
      <c r="B41" s="273" t="s">
        <v>115</v>
      </c>
      <c r="C41" s="286" t="s">
        <v>408</v>
      </c>
      <c r="D41" s="189">
        <v>77</v>
      </c>
      <c r="E41" s="115">
        <v>0</v>
      </c>
      <c r="F41" s="237" t="s">
        <v>458</v>
      </c>
      <c r="G41" s="314"/>
      <c r="H41" s="264"/>
      <c r="I41" s="267">
        <v>39</v>
      </c>
      <c r="J41" s="267">
        <v>54</v>
      </c>
      <c r="K41" s="267">
        <v>124</v>
      </c>
      <c r="L41" s="267">
        <v>158</v>
      </c>
      <c r="M41" s="268">
        <v>191</v>
      </c>
      <c r="N41" s="284"/>
      <c r="O41" s="267">
        <v>79</v>
      </c>
      <c r="P41" s="267">
        <v>124</v>
      </c>
      <c r="Q41" s="267">
        <v>236</v>
      </c>
      <c r="R41" s="267">
        <v>346</v>
      </c>
      <c r="S41" s="268">
        <v>493</v>
      </c>
      <c r="U41" s="267">
        <v>77</v>
      </c>
      <c r="V41" s="267">
        <v>77</v>
      </c>
      <c r="W41" s="267">
        <v>77</v>
      </c>
      <c r="X41" s="267">
        <v>77</v>
      </c>
      <c r="Y41" s="268">
        <v>77</v>
      </c>
      <c r="Z41" s="284"/>
      <c r="AA41" s="267">
        <v>77</v>
      </c>
      <c r="AB41" s="267">
        <v>77</v>
      </c>
      <c r="AC41" s="267">
        <v>77</v>
      </c>
      <c r="AD41" s="267">
        <v>77</v>
      </c>
      <c r="AE41" s="268">
        <v>77</v>
      </c>
      <c r="AG41" s="282">
        <v>0</v>
      </c>
      <c r="AH41" s="282">
        <v>0</v>
      </c>
      <c r="AI41" s="282">
        <v>0</v>
      </c>
      <c r="AJ41" s="282">
        <v>0</v>
      </c>
      <c r="AK41" s="282">
        <v>0</v>
      </c>
      <c r="AL41" s="282"/>
      <c r="AM41" s="282">
        <v>0</v>
      </c>
      <c r="AN41" s="282">
        <v>0</v>
      </c>
      <c r="AO41" s="282">
        <v>0</v>
      </c>
      <c r="AP41" s="282">
        <v>0</v>
      </c>
      <c r="AQ41" s="282">
        <v>0</v>
      </c>
      <c r="AR41" s="153"/>
      <c r="AS41" s="282">
        <v>0</v>
      </c>
      <c r="AT41" s="282">
        <v>0</v>
      </c>
      <c r="AU41" s="282">
        <v>0</v>
      </c>
      <c r="AV41" s="282">
        <v>0</v>
      </c>
      <c r="AW41" s="283">
        <v>0</v>
      </c>
      <c r="AX41" s="284"/>
      <c r="AY41" s="282">
        <v>0</v>
      </c>
      <c r="AZ41" s="282">
        <v>0</v>
      </c>
      <c r="BA41" s="282">
        <v>0</v>
      </c>
      <c r="BB41" s="282">
        <v>0</v>
      </c>
      <c r="BC41" s="283">
        <v>0</v>
      </c>
      <c r="BE41" s="267">
        <v>77</v>
      </c>
      <c r="BF41" s="267">
        <v>77</v>
      </c>
      <c r="BG41" s="267">
        <v>77</v>
      </c>
      <c r="BH41" s="267">
        <v>77</v>
      </c>
      <c r="BI41" s="268">
        <v>77</v>
      </c>
      <c r="BJ41" s="284"/>
      <c r="BK41" s="267">
        <v>77</v>
      </c>
      <c r="BL41" s="267">
        <v>77</v>
      </c>
      <c r="BM41" s="267">
        <v>77</v>
      </c>
      <c r="BN41" s="267">
        <v>77</v>
      </c>
      <c r="BO41" s="268">
        <v>77</v>
      </c>
    </row>
    <row r="42" spans="2:67">
      <c r="B42" s="280" t="s">
        <v>181</v>
      </c>
      <c r="C42" s="281" t="s">
        <v>544</v>
      </c>
      <c r="D42" s="188">
        <v>93</v>
      </c>
      <c r="E42" s="114">
        <v>0</v>
      </c>
      <c r="F42" s="239" t="s">
        <v>458</v>
      </c>
      <c r="G42" s="315"/>
      <c r="H42" s="264"/>
      <c r="I42" s="282">
        <v>39</v>
      </c>
      <c r="J42" s="282">
        <v>54</v>
      </c>
      <c r="K42" s="282">
        <v>124</v>
      </c>
      <c r="L42" s="282">
        <v>158</v>
      </c>
      <c r="M42" s="283">
        <v>191</v>
      </c>
      <c r="N42" s="284"/>
      <c r="O42" s="282">
        <v>79</v>
      </c>
      <c r="P42" s="282">
        <v>124</v>
      </c>
      <c r="Q42" s="282">
        <v>236</v>
      </c>
      <c r="R42" s="282">
        <v>346</v>
      </c>
      <c r="S42" s="283">
        <v>492</v>
      </c>
      <c r="T42" s="109"/>
      <c r="U42" s="282">
        <v>52</v>
      </c>
      <c r="V42" s="282">
        <v>72</v>
      </c>
      <c r="W42" s="282">
        <v>95</v>
      </c>
      <c r="X42" s="282">
        <v>112</v>
      </c>
      <c r="Y42" s="283">
        <v>145</v>
      </c>
      <c r="Z42" s="284"/>
      <c r="AA42" s="282">
        <v>97</v>
      </c>
      <c r="AB42" s="282">
        <v>127</v>
      </c>
      <c r="AC42" s="282">
        <v>176</v>
      </c>
      <c r="AD42" s="282">
        <v>173</v>
      </c>
      <c r="AE42" s="283">
        <v>173</v>
      </c>
      <c r="AF42" s="109"/>
      <c r="AG42" s="282">
        <v>0</v>
      </c>
      <c r="AH42" s="282">
        <v>0</v>
      </c>
      <c r="AI42" s="282">
        <v>0</v>
      </c>
      <c r="AJ42" s="282">
        <v>0</v>
      </c>
      <c r="AK42" s="282">
        <v>0</v>
      </c>
      <c r="AL42" s="282"/>
      <c r="AM42" s="282">
        <v>0</v>
      </c>
      <c r="AN42" s="282">
        <v>0</v>
      </c>
      <c r="AO42" s="282">
        <v>0</v>
      </c>
      <c r="AP42" s="282">
        <v>0</v>
      </c>
      <c r="AQ42" s="282">
        <v>0</v>
      </c>
      <c r="AR42" s="153"/>
      <c r="AS42" s="282">
        <v>41</v>
      </c>
      <c r="AT42" s="282">
        <v>21</v>
      </c>
      <c r="AU42" s="282">
        <v>-2.0000000000001137</v>
      </c>
      <c r="AV42" s="282">
        <v>-19</v>
      </c>
      <c r="AW42" s="283">
        <v>-52</v>
      </c>
      <c r="AX42" s="284"/>
      <c r="AY42" s="282">
        <v>-3.9999999999999432</v>
      </c>
      <c r="AZ42" s="282">
        <v>-34</v>
      </c>
      <c r="BA42" s="282">
        <v>-83</v>
      </c>
      <c r="BB42" s="282">
        <v>-79.78</v>
      </c>
      <c r="BC42" s="283">
        <v>-79.78</v>
      </c>
      <c r="BE42" s="282">
        <v>52</v>
      </c>
      <c r="BF42" s="282">
        <v>72</v>
      </c>
      <c r="BG42" s="282">
        <v>95</v>
      </c>
      <c r="BH42" s="282">
        <v>112</v>
      </c>
      <c r="BI42" s="283">
        <v>145</v>
      </c>
      <c r="BJ42" s="284"/>
      <c r="BK42" s="282">
        <v>97</v>
      </c>
      <c r="BL42" s="282">
        <v>127</v>
      </c>
      <c r="BM42" s="282">
        <v>176</v>
      </c>
      <c r="BN42" s="282">
        <v>173</v>
      </c>
      <c r="BO42" s="283">
        <v>173</v>
      </c>
    </row>
    <row r="43" spans="2:67">
      <c r="B43" s="273" t="s">
        <v>421</v>
      </c>
      <c r="C43" s="286" t="s">
        <v>422</v>
      </c>
      <c r="D43" s="189">
        <v>48</v>
      </c>
      <c r="E43" s="115">
        <v>0</v>
      </c>
      <c r="F43" s="237" t="s">
        <v>460</v>
      </c>
      <c r="G43" s="314"/>
      <c r="I43" s="267">
        <v>39</v>
      </c>
      <c r="J43" s="267">
        <v>54</v>
      </c>
      <c r="K43" s="267">
        <v>78</v>
      </c>
      <c r="L43" s="267">
        <v>112</v>
      </c>
      <c r="M43" s="268">
        <v>145</v>
      </c>
      <c r="O43" s="267">
        <v>79</v>
      </c>
      <c r="P43" s="267">
        <v>124</v>
      </c>
      <c r="Q43" s="267">
        <v>190</v>
      </c>
      <c r="R43" s="267">
        <v>300</v>
      </c>
      <c r="S43" s="268">
        <v>447</v>
      </c>
      <c r="U43" s="267">
        <v>48</v>
      </c>
      <c r="V43" s="267">
        <v>48</v>
      </c>
      <c r="W43" s="267">
        <v>48</v>
      </c>
      <c r="X43" s="267">
        <v>48</v>
      </c>
      <c r="Y43" s="268">
        <v>48</v>
      </c>
      <c r="AA43" s="267">
        <v>48</v>
      </c>
      <c r="AB43" s="267">
        <v>48</v>
      </c>
      <c r="AC43" s="267">
        <v>48</v>
      </c>
      <c r="AD43" s="267">
        <v>48</v>
      </c>
      <c r="AE43" s="268">
        <v>48</v>
      </c>
      <c r="AG43" s="282">
        <v>0</v>
      </c>
      <c r="AH43" s="282">
        <v>0</v>
      </c>
      <c r="AI43" s="282">
        <v>0</v>
      </c>
      <c r="AJ43" s="282">
        <v>0</v>
      </c>
      <c r="AK43" s="282">
        <v>0</v>
      </c>
      <c r="AL43" s="282"/>
      <c r="AM43" s="282">
        <v>0</v>
      </c>
      <c r="AN43" s="282">
        <v>0</v>
      </c>
      <c r="AO43" s="282">
        <v>0</v>
      </c>
      <c r="AP43" s="282">
        <v>0</v>
      </c>
      <c r="AQ43" s="282">
        <v>0</v>
      </c>
      <c r="AR43" s="153"/>
      <c r="AS43" s="282">
        <v>0</v>
      </c>
      <c r="AT43" s="282">
        <v>0</v>
      </c>
      <c r="AU43" s="282">
        <v>0</v>
      </c>
      <c r="AV43" s="282">
        <v>0</v>
      </c>
      <c r="AW43" s="283">
        <v>0</v>
      </c>
      <c r="AX43" s="284"/>
      <c r="AY43" s="282">
        <v>0</v>
      </c>
      <c r="AZ43" s="282">
        <v>0</v>
      </c>
      <c r="BA43" s="282">
        <v>0</v>
      </c>
      <c r="BB43" s="282">
        <v>0</v>
      </c>
      <c r="BC43" s="283">
        <v>0</v>
      </c>
      <c r="BE43" s="267">
        <v>48</v>
      </c>
      <c r="BF43" s="267">
        <v>48</v>
      </c>
      <c r="BG43" s="267">
        <v>48</v>
      </c>
      <c r="BH43" s="267">
        <v>48</v>
      </c>
      <c r="BI43" s="268">
        <v>48</v>
      </c>
      <c r="BJ43" s="150"/>
      <c r="BK43" s="267">
        <v>48</v>
      </c>
      <c r="BL43" s="267">
        <v>48</v>
      </c>
      <c r="BM43" s="267">
        <v>48</v>
      </c>
      <c r="BN43" s="267">
        <v>48</v>
      </c>
      <c r="BO43" s="268">
        <v>48</v>
      </c>
    </row>
    <row r="44" spans="2:67">
      <c r="B44" s="280" t="s">
        <v>423</v>
      </c>
      <c r="C44" s="281" t="s">
        <v>535</v>
      </c>
      <c r="D44" s="188">
        <v>520</v>
      </c>
      <c r="E44" s="114">
        <v>3.25</v>
      </c>
      <c r="F44" s="239" t="s">
        <v>190</v>
      </c>
      <c r="G44" s="315"/>
      <c r="I44" s="265">
        <v>39</v>
      </c>
      <c r="J44" s="265">
        <v>54</v>
      </c>
      <c r="K44" s="265">
        <v>78</v>
      </c>
      <c r="L44" s="265">
        <v>112</v>
      </c>
      <c r="M44" s="266">
        <v>145</v>
      </c>
      <c r="O44" s="265">
        <v>79</v>
      </c>
      <c r="P44" s="265">
        <v>124</v>
      </c>
      <c r="Q44" s="265">
        <v>190</v>
      </c>
      <c r="R44" s="265">
        <v>300</v>
      </c>
      <c r="S44" s="266">
        <v>447</v>
      </c>
      <c r="U44" s="265">
        <v>229</v>
      </c>
      <c r="V44" s="265">
        <v>249</v>
      </c>
      <c r="W44" s="265">
        <v>272</v>
      </c>
      <c r="X44" s="265">
        <v>289</v>
      </c>
      <c r="Y44" s="266">
        <v>322</v>
      </c>
      <c r="AA44" s="265">
        <v>274</v>
      </c>
      <c r="AB44" s="265">
        <v>304</v>
      </c>
      <c r="AC44" s="265">
        <v>353</v>
      </c>
      <c r="AD44" s="265">
        <v>418</v>
      </c>
      <c r="AE44" s="266">
        <v>530</v>
      </c>
      <c r="AG44" s="282">
        <v>0</v>
      </c>
      <c r="AH44" s="282">
        <v>0</v>
      </c>
      <c r="AI44" s="282">
        <v>0</v>
      </c>
      <c r="AJ44" s="282">
        <v>0</v>
      </c>
      <c r="AK44" s="282">
        <v>0</v>
      </c>
      <c r="AL44" s="282"/>
      <c r="AM44" s="282">
        <v>0</v>
      </c>
      <c r="AN44" s="282">
        <v>0</v>
      </c>
      <c r="AO44" s="282">
        <v>0</v>
      </c>
      <c r="AP44" s="282">
        <v>0</v>
      </c>
      <c r="AQ44" s="282">
        <v>0</v>
      </c>
      <c r="AR44" s="153"/>
      <c r="AS44" s="282">
        <v>290.88</v>
      </c>
      <c r="AT44" s="282">
        <v>270.88</v>
      </c>
      <c r="AU44" s="282">
        <v>247.87999999999988</v>
      </c>
      <c r="AV44" s="282">
        <v>230.88</v>
      </c>
      <c r="AW44" s="283">
        <v>197.88</v>
      </c>
      <c r="AX44" s="284"/>
      <c r="AY44" s="282">
        <v>245.88000000000005</v>
      </c>
      <c r="AZ44" s="282">
        <v>215.88</v>
      </c>
      <c r="BA44" s="282">
        <v>166.88</v>
      </c>
      <c r="BB44" s="282">
        <v>101.88</v>
      </c>
      <c r="BC44" s="283">
        <v>-10.120000000000005</v>
      </c>
      <c r="BE44" s="265">
        <v>229</v>
      </c>
      <c r="BF44" s="265">
        <v>249</v>
      </c>
      <c r="BG44" s="265">
        <v>272</v>
      </c>
      <c r="BH44" s="265">
        <v>289</v>
      </c>
      <c r="BI44" s="266">
        <v>322</v>
      </c>
      <c r="BJ44" s="150"/>
      <c r="BK44" s="265">
        <v>274</v>
      </c>
      <c r="BL44" s="265">
        <v>334</v>
      </c>
      <c r="BM44" s="265">
        <v>403</v>
      </c>
      <c r="BN44" s="265">
        <v>458</v>
      </c>
      <c r="BO44" s="266">
        <v>583</v>
      </c>
    </row>
    <row r="45" spans="2:67">
      <c r="B45" s="273" t="s">
        <v>423</v>
      </c>
      <c r="C45" s="286" t="s">
        <v>536</v>
      </c>
      <c r="D45" s="189">
        <v>564</v>
      </c>
      <c r="E45" s="115">
        <v>3.25</v>
      </c>
      <c r="F45" s="237" t="s">
        <v>190</v>
      </c>
      <c r="G45" s="314"/>
      <c r="I45" s="267">
        <v>39</v>
      </c>
      <c r="J45" s="267">
        <v>54</v>
      </c>
      <c r="K45" s="267">
        <v>108</v>
      </c>
      <c r="L45" s="267">
        <v>142</v>
      </c>
      <c r="M45" s="268">
        <v>175</v>
      </c>
      <c r="O45" s="267">
        <v>79</v>
      </c>
      <c r="P45" s="267">
        <v>124</v>
      </c>
      <c r="Q45" s="267">
        <v>220</v>
      </c>
      <c r="R45" s="267">
        <v>330</v>
      </c>
      <c r="S45" s="268">
        <v>477</v>
      </c>
      <c r="U45" s="267">
        <v>208</v>
      </c>
      <c r="V45" s="267">
        <v>228</v>
      </c>
      <c r="W45" s="267">
        <v>251</v>
      </c>
      <c r="X45" s="267">
        <v>268</v>
      </c>
      <c r="Y45" s="268">
        <v>301</v>
      </c>
      <c r="AA45" s="267">
        <v>253</v>
      </c>
      <c r="AB45" s="267">
        <v>283</v>
      </c>
      <c r="AC45" s="267">
        <v>332</v>
      </c>
      <c r="AD45" s="267">
        <v>397</v>
      </c>
      <c r="AE45" s="268">
        <v>509</v>
      </c>
      <c r="AG45" s="282">
        <v>0</v>
      </c>
      <c r="AH45" s="282">
        <v>0</v>
      </c>
      <c r="AI45" s="282">
        <v>0</v>
      </c>
      <c r="AJ45" s="282">
        <v>0</v>
      </c>
      <c r="AK45" s="282">
        <v>0</v>
      </c>
      <c r="AL45" s="282"/>
      <c r="AM45" s="282">
        <v>0</v>
      </c>
      <c r="AN45" s="282">
        <v>0</v>
      </c>
      <c r="AO45" s="282">
        <v>0</v>
      </c>
      <c r="AP45" s="282">
        <v>20</v>
      </c>
      <c r="AQ45" s="282">
        <v>20</v>
      </c>
      <c r="AR45" s="153"/>
      <c r="AS45" s="282">
        <v>356.01</v>
      </c>
      <c r="AT45" s="282">
        <v>336.01</v>
      </c>
      <c r="AU45" s="282">
        <v>313.00999999999988</v>
      </c>
      <c r="AV45" s="282">
        <v>296.01</v>
      </c>
      <c r="AW45" s="283">
        <v>263.01</v>
      </c>
      <c r="AX45" s="284"/>
      <c r="AY45" s="282">
        <v>311.01000000000005</v>
      </c>
      <c r="AZ45" s="282">
        <v>281.01</v>
      </c>
      <c r="BA45" s="282">
        <v>232.01</v>
      </c>
      <c r="BB45" s="282">
        <v>167.01</v>
      </c>
      <c r="BC45" s="283">
        <v>55.009999999999991</v>
      </c>
      <c r="BE45" s="267">
        <v>208</v>
      </c>
      <c r="BF45" s="267">
        <v>228</v>
      </c>
      <c r="BG45" s="267">
        <v>251</v>
      </c>
      <c r="BH45" s="267">
        <v>268</v>
      </c>
      <c r="BI45" s="268">
        <v>301</v>
      </c>
      <c r="BJ45" s="150"/>
      <c r="BK45" s="267">
        <v>253</v>
      </c>
      <c r="BL45" s="267">
        <v>313</v>
      </c>
      <c r="BM45" s="267">
        <v>382</v>
      </c>
      <c r="BN45" s="267">
        <v>437</v>
      </c>
      <c r="BO45" s="268">
        <v>569</v>
      </c>
    </row>
    <row r="46" spans="2:67">
      <c r="B46" s="280" t="s">
        <v>423</v>
      </c>
      <c r="C46" s="281" t="s">
        <v>578</v>
      </c>
      <c r="D46" s="188">
        <v>823</v>
      </c>
      <c r="E46" s="114">
        <v>3.25</v>
      </c>
      <c r="F46" s="239" t="s">
        <v>190</v>
      </c>
      <c r="G46" s="315"/>
      <c r="I46" s="282">
        <v>39</v>
      </c>
      <c r="J46" s="282">
        <v>54</v>
      </c>
      <c r="K46" s="282">
        <v>145</v>
      </c>
      <c r="L46" s="282">
        <v>179</v>
      </c>
      <c r="M46" s="283">
        <v>212</v>
      </c>
      <c r="O46" s="282">
        <v>79</v>
      </c>
      <c r="P46" s="282">
        <v>124</v>
      </c>
      <c r="Q46" s="282">
        <v>257</v>
      </c>
      <c r="R46" s="282">
        <v>367</v>
      </c>
      <c r="S46" s="283">
        <v>514</v>
      </c>
      <c r="U46" s="282">
        <v>52</v>
      </c>
      <c r="V46" s="282">
        <v>304</v>
      </c>
      <c r="W46" s="282">
        <v>327</v>
      </c>
      <c r="X46" s="282">
        <v>344</v>
      </c>
      <c r="Y46" s="283">
        <v>377</v>
      </c>
      <c r="AA46" s="282">
        <v>97</v>
      </c>
      <c r="AB46" s="282">
        <v>359</v>
      </c>
      <c r="AC46" s="282">
        <v>408</v>
      </c>
      <c r="AD46" s="282">
        <v>473</v>
      </c>
      <c r="AE46" s="283">
        <v>585</v>
      </c>
      <c r="AG46" s="282">
        <v>0</v>
      </c>
      <c r="AH46" s="282">
        <v>0</v>
      </c>
      <c r="AI46" s="282">
        <v>0</v>
      </c>
      <c r="AJ46" s="282">
        <v>0</v>
      </c>
      <c r="AK46" s="282">
        <v>0</v>
      </c>
      <c r="AL46" s="282"/>
      <c r="AM46" s="282">
        <v>0</v>
      </c>
      <c r="AN46" s="282">
        <v>0</v>
      </c>
      <c r="AO46" s="282">
        <v>0</v>
      </c>
      <c r="AP46" s="282">
        <v>0</v>
      </c>
      <c r="AQ46" s="282">
        <v>0</v>
      </c>
      <c r="AR46" s="153"/>
      <c r="AS46" s="282">
        <v>771</v>
      </c>
      <c r="AT46" s="282">
        <v>519.11</v>
      </c>
      <c r="AU46" s="282">
        <v>496.1099999999999</v>
      </c>
      <c r="AV46" s="282">
        <v>479.11</v>
      </c>
      <c r="AW46" s="283">
        <v>446.11</v>
      </c>
      <c r="AX46" s="284"/>
      <c r="AY46" s="282">
        <v>726</v>
      </c>
      <c r="AZ46" s="282">
        <v>464.11</v>
      </c>
      <c r="BA46" s="282">
        <v>415.11</v>
      </c>
      <c r="BB46" s="282">
        <v>350.11</v>
      </c>
      <c r="BC46" s="283">
        <v>238.11</v>
      </c>
      <c r="BE46" s="282">
        <v>52</v>
      </c>
      <c r="BF46" s="282">
        <v>304</v>
      </c>
      <c r="BG46" s="282">
        <v>327</v>
      </c>
      <c r="BH46" s="282">
        <v>344</v>
      </c>
      <c r="BI46" s="283">
        <v>377</v>
      </c>
      <c r="BJ46" s="150"/>
      <c r="BK46" s="282">
        <v>97</v>
      </c>
      <c r="BL46" s="282">
        <v>389</v>
      </c>
      <c r="BM46" s="282">
        <v>458</v>
      </c>
      <c r="BN46" s="282">
        <v>513</v>
      </c>
      <c r="BO46" s="283">
        <v>645</v>
      </c>
    </row>
    <row r="47" spans="2:67">
      <c r="B47" s="273" t="s">
        <v>423</v>
      </c>
      <c r="C47" s="286" t="s">
        <v>579</v>
      </c>
      <c r="D47" s="189">
        <v>1062</v>
      </c>
      <c r="E47" s="115">
        <v>3.25</v>
      </c>
      <c r="F47" s="237" t="s">
        <v>190</v>
      </c>
      <c r="G47" s="314"/>
      <c r="I47" s="267">
        <v>124</v>
      </c>
      <c r="J47" s="267">
        <v>139</v>
      </c>
      <c r="K47" s="267">
        <v>163</v>
      </c>
      <c r="L47" s="267">
        <v>197</v>
      </c>
      <c r="M47" s="268">
        <v>230</v>
      </c>
      <c r="O47" s="267">
        <v>164</v>
      </c>
      <c r="P47" s="267">
        <v>209</v>
      </c>
      <c r="Q47" s="267">
        <v>275</v>
      </c>
      <c r="R47" s="267">
        <v>363</v>
      </c>
      <c r="S47" s="268">
        <v>369</v>
      </c>
      <c r="U47" s="267">
        <v>52</v>
      </c>
      <c r="V47" s="267">
        <v>377</v>
      </c>
      <c r="W47" s="267">
        <v>400</v>
      </c>
      <c r="X47" s="267">
        <v>417</v>
      </c>
      <c r="Y47" s="268">
        <v>450</v>
      </c>
      <c r="AA47" s="267">
        <v>97</v>
      </c>
      <c r="AB47" s="267">
        <v>432</v>
      </c>
      <c r="AC47" s="267">
        <v>481</v>
      </c>
      <c r="AD47" s="267">
        <v>546</v>
      </c>
      <c r="AE47" s="268">
        <v>658</v>
      </c>
      <c r="AG47" s="282">
        <v>0</v>
      </c>
      <c r="AH47" s="282">
        <v>0</v>
      </c>
      <c r="AI47" s="282">
        <v>0</v>
      </c>
      <c r="AJ47" s="282">
        <v>0</v>
      </c>
      <c r="AK47" s="282">
        <v>0</v>
      </c>
      <c r="AL47" s="282"/>
      <c r="AM47" s="282">
        <v>0</v>
      </c>
      <c r="AN47" s="282">
        <v>0</v>
      </c>
      <c r="AO47" s="282">
        <v>0</v>
      </c>
      <c r="AP47" s="282">
        <v>0</v>
      </c>
      <c r="AQ47" s="282">
        <v>0</v>
      </c>
      <c r="AR47" s="153"/>
      <c r="AS47" s="282">
        <v>1010</v>
      </c>
      <c r="AT47" s="282">
        <v>684.73</v>
      </c>
      <c r="AU47" s="282">
        <v>661.7299999999999</v>
      </c>
      <c r="AV47" s="282">
        <v>644.73</v>
      </c>
      <c r="AW47" s="283">
        <v>611.73</v>
      </c>
      <c r="AX47" s="284"/>
      <c r="AY47" s="282">
        <v>965</v>
      </c>
      <c r="AZ47" s="282">
        <v>629.73</v>
      </c>
      <c r="BA47" s="282">
        <v>580.73</v>
      </c>
      <c r="BB47" s="282">
        <v>515.73</v>
      </c>
      <c r="BC47" s="283">
        <v>403.73</v>
      </c>
      <c r="BE47" s="267">
        <v>52</v>
      </c>
      <c r="BF47" s="267">
        <v>377</v>
      </c>
      <c r="BG47" s="267">
        <v>400</v>
      </c>
      <c r="BH47" s="267">
        <v>417</v>
      </c>
      <c r="BI47" s="268">
        <v>450</v>
      </c>
      <c r="BJ47" s="150"/>
      <c r="BK47" s="267">
        <v>97</v>
      </c>
      <c r="BL47" s="267">
        <v>462</v>
      </c>
      <c r="BM47" s="267">
        <v>531</v>
      </c>
      <c r="BN47" s="267">
        <v>586</v>
      </c>
      <c r="BO47" s="268">
        <v>718</v>
      </c>
    </row>
    <row r="48" spans="2:67">
      <c r="B48" s="280" t="s">
        <v>423</v>
      </c>
      <c r="C48" s="281" t="s">
        <v>580</v>
      </c>
      <c r="D48" s="188">
        <v>1234</v>
      </c>
      <c r="E48" s="114">
        <v>3.25</v>
      </c>
      <c r="F48" s="239" t="s">
        <v>190</v>
      </c>
      <c r="G48" s="315"/>
      <c r="I48" s="282">
        <v>54</v>
      </c>
      <c r="J48" s="282">
        <v>69</v>
      </c>
      <c r="K48" s="282">
        <v>93</v>
      </c>
      <c r="L48" s="282">
        <v>127</v>
      </c>
      <c r="M48" s="283">
        <v>160</v>
      </c>
      <c r="O48" s="282">
        <v>94</v>
      </c>
      <c r="P48" s="282">
        <v>139</v>
      </c>
      <c r="Q48" s="282">
        <v>205</v>
      </c>
      <c r="R48" s="282">
        <v>300</v>
      </c>
      <c r="S48" s="283">
        <v>307</v>
      </c>
      <c r="U48" s="282">
        <v>52</v>
      </c>
      <c r="V48" s="282">
        <v>406</v>
      </c>
      <c r="W48" s="282">
        <v>429</v>
      </c>
      <c r="X48" s="282">
        <v>446</v>
      </c>
      <c r="Y48" s="283">
        <v>479</v>
      </c>
      <c r="AA48" s="282">
        <v>97</v>
      </c>
      <c r="AB48" s="282">
        <v>461</v>
      </c>
      <c r="AC48" s="282">
        <v>510</v>
      </c>
      <c r="AD48" s="282">
        <v>575</v>
      </c>
      <c r="AE48" s="283">
        <v>687</v>
      </c>
      <c r="AG48" s="282">
        <v>0</v>
      </c>
      <c r="AH48" s="282">
        <v>0</v>
      </c>
      <c r="AI48" s="282">
        <v>0</v>
      </c>
      <c r="AJ48" s="282">
        <v>0</v>
      </c>
      <c r="AK48" s="282">
        <v>0</v>
      </c>
      <c r="AL48" s="282"/>
      <c r="AM48" s="282">
        <v>0</v>
      </c>
      <c r="AN48" s="282">
        <v>0</v>
      </c>
      <c r="AO48" s="282">
        <v>0</v>
      </c>
      <c r="AP48" s="282">
        <v>0</v>
      </c>
      <c r="AQ48" s="282">
        <v>0</v>
      </c>
      <c r="AR48" s="153"/>
      <c r="AS48" s="282">
        <v>1182</v>
      </c>
      <c r="AT48" s="282">
        <v>827.7</v>
      </c>
      <c r="AU48" s="282">
        <v>804.7</v>
      </c>
      <c r="AV48" s="282">
        <v>787.7</v>
      </c>
      <c r="AW48" s="283">
        <v>754.7</v>
      </c>
      <c r="AX48" s="284"/>
      <c r="AY48" s="282">
        <v>1137</v>
      </c>
      <c r="AZ48" s="282">
        <v>772.7</v>
      </c>
      <c r="BA48" s="282">
        <v>723.7</v>
      </c>
      <c r="BB48" s="282">
        <v>658.7</v>
      </c>
      <c r="BC48" s="283">
        <v>546.70000000000005</v>
      </c>
      <c r="BE48" s="282">
        <v>52</v>
      </c>
      <c r="BF48" s="282">
        <v>406</v>
      </c>
      <c r="BG48" s="282">
        <v>429</v>
      </c>
      <c r="BH48" s="282">
        <v>446</v>
      </c>
      <c r="BI48" s="283">
        <v>479</v>
      </c>
      <c r="BJ48" s="150"/>
      <c r="BK48" s="282">
        <v>97</v>
      </c>
      <c r="BL48" s="282">
        <v>491</v>
      </c>
      <c r="BM48" s="282">
        <v>560</v>
      </c>
      <c r="BN48" s="282">
        <v>615</v>
      </c>
      <c r="BO48" s="283">
        <v>747</v>
      </c>
    </row>
    <row r="49" spans="2:67">
      <c r="B49" s="273" t="s">
        <v>318</v>
      </c>
      <c r="C49" s="286" t="s">
        <v>545</v>
      </c>
      <c r="D49" s="189">
        <v>539</v>
      </c>
      <c r="E49" s="115">
        <v>3.25</v>
      </c>
      <c r="F49" s="237" t="s">
        <v>190</v>
      </c>
      <c r="G49" s="314"/>
      <c r="I49" s="267">
        <v>39</v>
      </c>
      <c r="J49" s="267">
        <v>54</v>
      </c>
      <c r="K49" s="267">
        <v>225</v>
      </c>
      <c r="L49" s="267">
        <v>259</v>
      </c>
      <c r="M49" s="268">
        <v>292</v>
      </c>
      <c r="O49" s="267">
        <v>79</v>
      </c>
      <c r="P49" s="267">
        <v>124</v>
      </c>
      <c r="Q49" s="267">
        <v>337</v>
      </c>
      <c r="R49" s="267">
        <v>447</v>
      </c>
      <c r="S49" s="268">
        <v>594</v>
      </c>
      <c r="U49" s="267">
        <v>324</v>
      </c>
      <c r="V49" s="267">
        <v>344</v>
      </c>
      <c r="W49" s="267">
        <v>367</v>
      </c>
      <c r="X49" s="267">
        <v>384</v>
      </c>
      <c r="Y49" s="268">
        <v>417</v>
      </c>
      <c r="AA49" s="267">
        <v>369</v>
      </c>
      <c r="AB49" s="267">
        <v>399</v>
      </c>
      <c r="AC49" s="267">
        <v>448</v>
      </c>
      <c r="AD49" s="267">
        <v>539</v>
      </c>
      <c r="AE49" s="268">
        <v>625</v>
      </c>
      <c r="AG49" s="282">
        <v>0</v>
      </c>
      <c r="AH49" s="282">
        <v>0</v>
      </c>
      <c r="AI49" s="282">
        <v>0</v>
      </c>
      <c r="AJ49" s="282">
        <v>0</v>
      </c>
      <c r="AK49" s="282">
        <v>0</v>
      </c>
      <c r="AL49" s="282"/>
      <c r="AM49" s="282">
        <v>0</v>
      </c>
      <c r="AN49" s="282">
        <v>0</v>
      </c>
      <c r="AO49" s="282">
        <v>0</v>
      </c>
      <c r="AP49" s="282">
        <v>0</v>
      </c>
      <c r="AQ49" s="282">
        <v>0</v>
      </c>
      <c r="AR49" s="153"/>
      <c r="AS49" s="282">
        <v>215.25</v>
      </c>
      <c r="AT49" s="282">
        <v>195.25</v>
      </c>
      <c r="AU49" s="282">
        <v>172.24999999999989</v>
      </c>
      <c r="AV49" s="282">
        <v>155.25</v>
      </c>
      <c r="AW49" s="283">
        <v>122.25</v>
      </c>
      <c r="AX49" s="284"/>
      <c r="AY49" s="282">
        <v>170.25000000000006</v>
      </c>
      <c r="AZ49" s="282">
        <v>140.25</v>
      </c>
      <c r="BA49" s="282">
        <v>91.25</v>
      </c>
      <c r="BB49" s="282">
        <v>0.25</v>
      </c>
      <c r="BC49" s="283">
        <v>-85.75</v>
      </c>
      <c r="BE49" s="267">
        <v>324</v>
      </c>
      <c r="BF49" s="267">
        <v>344</v>
      </c>
      <c r="BG49" s="267">
        <v>367</v>
      </c>
      <c r="BH49" s="267">
        <v>384</v>
      </c>
      <c r="BI49" s="268">
        <v>417</v>
      </c>
      <c r="BJ49" s="150"/>
      <c r="BK49" s="267">
        <v>369</v>
      </c>
      <c r="BL49" s="267">
        <v>399</v>
      </c>
      <c r="BM49" s="267">
        <v>448</v>
      </c>
      <c r="BN49" s="267">
        <v>539</v>
      </c>
      <c r="BO49" s="268">
        <v>625</v>
      </c>
    </row>
    <row r="50" spans="2:67">
      <c r="B50" s="280" t="s">
        <v>318</v>
      </c>
      <c r="C50" s="281" t="s">
        <v>546</v>
      </c>
      <c r="D50" s="188">
        <v>309</v>
      </c>
      <c r="E50" s="114">
        <v>3.25</v>
      </c>
      <c r="F50" s="239" t="s">
        <v>190</v>
      </c>
      <c r="G50" s="315"/>
      <c r="I50" s="265">
        <v>39</v>
      </c>
      <c r="J50" s="265">
        <v>54</v>
      </c>
      <c r="K50" s="265">
        <v>205</v>
      </c>
      <c r="L50" s="265">
        <v>239</v>
      </c>
      <c r="M50" s="266">
        <v>272</v>
      </c>
      <c r="O50" s="265">
        <v>79</v>
      </c>
      <c r="P50" s="265">
        <v>124</v>
      </c>
      <c r="Q50" s="265">
        <v>317</v>
      </c>
      <c r="R50" s="265">
        <v>427</v>
      </c>
      <c r="S50" s="266">
        <v>573</v>
      </c>
      <c r="U50" s="265">
        <v>171</v>
      </c>
      <c r="V50" s="265">
        <v>191</v>
      </c>
      <c r="W50" s="265">
        <v>214</v>
      </c>
      <c r="X50" s="265">
        <v>231</v>
      </c>
      <c r="Y50" s="266">
        <v>264</v>
      </c>
      <c r="AA50" s="265">
        <v>216</v>
      </c>
      <c r="AB50" s="265">
        <v>246</v>
      </c>
      <c r="AC50" s="265">
        <v>295</v>
      </c>
      <c r="AD50" s="265">
        <v>360</v>
      </c>
      <c r="AE50" s="266">
        <v>377</v>
      </c>
      <c r="AG50" s="282">
        <v>15</v>
      </c>
      <c r="AH50" s="282">
        <v>15</v>
      </c>
      <c r="AI50" s="282">
        <v>15</v>
      </c>
      <c r="AJ50" s="282">
        <v>15</v>
      </c>
      <c r="AK50" s="282">
        <v>15</v>
      </c>
      <c r="AL50" s="282"/>
      <c r="AM50" s="282">
        <v>15</v>
      </c>
      <c r="AN50" s="282">
        <v>15</v>
      </c>
      <c r="AO50" s="282">
        <v>15</v>
      </c>
      <c r="AP50" s="282">
        <v>15</v>
      </c>
      <c r="AQ50" s="282">
        <v>-2</v>
      </c>
      <c r="AR50" s="153"/>
      <c r="AS50" s="282">
        <v>138.25</v>
      </c>
      <c r="AT50" s="282">
        <v>118.25</v>
      </c>
      <c r="AU50" s="282">
        <v>95.249999999999886</v>
      </c>
      <c r="AV50" s="282">
        <v>78.25</v>
      </c>
      <c r="AW50" s="283">
        <v>45.25</v>
      </c>
      <c r="AX50" s="284"/>
      <c r="AY50" s="282">
        <v>93.250000000000057</v>
      </c>
      <c r="AZ50" s="282">
        <v>63.25</v>
      </c>
      <c r="BA50" s="282">
        <v>14.25</v>
      </c>
      <c r="BB50" s="282">
        <v>-50.75</v>
      </c>
      <c r="BC50" s="283">
        <v>-68.125</v>
      </c>
      <c r="BE50" s="265">
        <v>171</v>
      </c>
      <c r="BF50" s="265">
        <v>191</v>
      </c>
      <c r="BG50" s="265">
        <v>214</v>
      </c>
      <c r="BH50" s="265">
        <v>231</v>
      </c>
      <c r="BI50" s="266">
        <v>264</v>
      </c>
      <c r="BJ50" s="150"/>
      <c r="BK50" s="265">
        <v>216</v>
      </c>
      <c r="BL50" s="265">
        <v>246</v>
      </c>
      <c r="BM50" s="265">
        <v>295</v>
      </c>
      <c r="BN50" s="265">
        <v>360</v>
      </c>
      <c r="BO50" s="266">
        <v>377</v>
      </c>
    </row>
    <row r="51" spans="2:67">
      <c r="B51" s="273" t="s">
        <v>318</v>
      </c>
      <c r="C51" s="286" t="s">
        <v>547</v>
      </c>
      <c r="D51" s="189">
        <v>661</v>
      </c>
      <c r="E51" s="115">
        <v>3.25</v>
      </c>
      <c r="F51" s="237" t="s">
        <v>190</v>
      </c>
      <c r="G51" s="314"/>
      <c r="I51" s="267">
        <v>39</v>
      </c>
      <c r="J51" s="267">
        <v>54</v>
      </c>
      <c r="K51" s="267">
        <v>225</v>
      </c>
      <c r="L51" s="267">
        <v>259</v>
      </c>
      <c r="M51" s="268">
        <v>292</v>
      </c>
      <c r="O51" s="267">
        <v>79</v>
      </c>
      <c r="P51" s="267">
        <v>124</v>
      </c>
      <c r="Q51" s="267">
        <v>337</v>
      </c>
      <c r="R51" s="267">
        <v>447</v>
      </c>
      <c r="S51" s="268">
        <v>593</v>
      </c>
      <c r="U51" s="267">
        <v>331</v>
      </c>
      <c r="V51" s="267">
        <v>351</v>
      </c>
      <c r="W51" s="267">
        <v>374</v>
      </c>
      <c r="X51" s="267">
        <v>391</v>
      </c>
      <c r="Y51" s="268">
        <v>424</v>
      </c>
      <c r="AA51" s="267">
        <v>376</v>
      </c>
      <c r="AB51" s="267">
        <v>406</v>
      </c>
      <c r="AC51" s="267">
        <v>455</v>
      </c>
      <c r="AD51" s="267">
        <v>520</v>
      </c>
      <c r="AE51" s="268">
        <v>661</v>
      </c>
      <c r="AG51" s="282">
        <v>-279</v>
      </c>
      <c r="AH51" s="282">
        <v>-60</v>
      </c>
      <c r="AI51" s="282">
        <v>-60</v>
      </c>
      <c r="AJ51" s="282">
        <v>-60</v>
      </c>
      <c r="AK51" s="282">
        <v>-60</v>
      </c>
      <c r="AL51" s="282"/>
      <c r="AM51" s="282">
        <v>-279</v>
      </c>
      <c r="AN51" s="282">
        <v>-60</v>
      </c>
      <c r="AO51" s="282">
        <v>-60</v>
      </c>
      <c r="AP51" s="282">
        <v>-60</v>
      </c>
      <c r="AQ51" s="282">
        <v>-89</v>
      </c>
      <c r="AR51" s="153"/>
      <c r="AS51" s="282">
        <v>330.25</v>
      </c>
      <c r="AT51" s="282">
        <v>310.25</v>
      </c>
      <c r="AU51" s="282">
        <v>287.24999999999989</v>
      </c>
      <c r="AV51" s="282">
        <v>270.25</v>
      </c>
      <c r="AW51" s="283">
        <v>237.25</v>
      </c>
      <c r="AX51" s="284"/>
      <c r="AY51" s="282">
        <v>285.25</v>
      </c>
      <c r="AZ51" s="282">
        <v>255.25</v>
      </c>
      <c r="BA51" s="282">
        <v>206.25</v>
      </c>
      <c r="BB51" s="282">
        <v>141.25</v>
      </c>
      <c r="BC51" s="283">
        <v>0.25</v>
      </c>
      <c r="BE51" s="267">
        <v>331</v>
      </c>
      <c r="BF51" s="267">
        <v>351</v>
      </c>
      <c r="BG51" s="267">
        <v>374</v>
      </c>
      <c r="BH51" s="267">
        <v>391</v>
      </c>
      <c r="BI51" s="268">
        <v>424</v>
      </c>
      <c r="BJ51" s="150"/>
      <c r="BK51" s="267">
        <v>376</v>
      </c>
      <c r="BL51" s="267">
        <v>436</v>
      </c>
      <c r="BM51" s="267">
        <v>505</v>
      </c>
      <c r="BN51" s="267">
        <v>560</v>
      </c>
      <c r="BO51" s="268">
        <v>721</v>
      </c>
    </row>
    <row r="52" spans="2:67">
      <c r="B52" s="280" t="s">
        <v>318</v>
      </c>
      <c r="C52" s="281" t="s">
        <v>588</v>
      </c>
      <c r="D52" s="188">
        <v>181</v>
      </c>
      <c r="E52" s="114">
        <v>3.25</v>
      </c>
      <c r="F52" s="239" t="s">
        <v>190</v>
      </c>
      <c r="G52" s="315"/>
      <c r="I52" s="282">
        <v>39</v>
      </c>
      <c r="J52" s="282">
        <v>54</v>
      </c>
      <c r="K52" s="282">
        <v>144</v>
      </c>
      <c r="L52" s="282">
        <v>178</v>
      </c>
      <c r="M52" s="283">
        <v>211</v>
      </c>
      <c r="O52" s="282">
        <v>79</v>
      </c>
      <c r="P52" s="282">
        <v>124</v>
      </c>
      <c r="Q52" s="282">
        <v>257</v>
      </c>
      <c r="R52" s="282">
        <v>367</v>
      </c>
      <c r="S52" s="283">
        <v>513</v>
      </c>
      <c r="U52" s="282">
        <v>101</v>
      </c>
      <c r="V52" s="282">
        <v>121</v>
      </c>
      <c r="W52" s="282">
        <v>144</v>
      </c>
      <c r="X52" s="282">
        <v>161</v>
      </c>
      <c r="Y52" s="283">
        <v>194</v>
      </c>
      <c r="AA52" s="282">
        <v>146</v>
      </c>
      <c r="AB52" s="282">
        <v>176</v>
      </c>
      <c r="AC52" s="282">
        <v>225</v>
      </c>
      <c r="AD52" s="282">
        <v>248</v>
      </c>
      <c r="AE52" s="283">
        <v>248</v>
      </c>
      <c r="AG52" s="282">
        <v>12</v>
      </c>
      <c r="AH52" s="282">
        <v>12</v>
      </c>
      <c r="AI52" s="282">
        <v>12</v>
      </c>
      <c r="AJ52" s="282">
        <v>12</v>
      </c>
      <c r="AK52" s="282">
        <v>12</v>
      </c>
      <c r="AL52" s="282"/>
      <c r="AM52" s="282">
        <v>12</v>
      </c>
      <c r="AN52" s="282">
        <v>12</v>
      </c>
      <c r="AO52" s="282">
        <v>12</v>
      </c>
      <c r="AP52" s="282">
        <v>-6</v>
      </c>
      <c r="AQ52" s="282">
        <v>-6</v>
      </c>
      <c r="AR52" s="153"/>
      <c r="AS52" s="282">
        <v>80.25</v>
      </c>
      <c r="AT52" s="282">
        <v>60.25</v>
      </c>
      <c r="AU52" s="282">
        <v>37.249999999999886</v>
      </c>
      <c r="AV52" s="282">
        <v>20.25</v>
      </c>
      <c r="AW52" s="283">
        <v>-12.75</v>
      </c>
      <c r="AX52" s="284"/>
      <c r="AY52" s="282">
        <v>35.250000000000057</v>
      </c>
      <c r="AZ52" s="282">
        <v>5.25</v>
      </c>
      <c r="BA52" s="282">
        <v>-43.75</v>
      </c>
      <c r="BB52" s="282">
        <v>-67.125</v>
      </c>
      <c r="BC52" s="283">
        <v>-67.125</v>
      </c>
      <c r="BE52" s="282">
        <v>101</v>
      </c>
      <c r="BF52" s="282">
        <v>121</v>
      </c>
      <c r="BG52" s="282">
        <v>144</v>
      </c>
      <c r="BH52" s="282">
        <v>161</v>
      </c>
      <c r="BI52" s="283">
        <v>194</v>
      </c>
      <c r="BJ52" s="150"/>
      <c r="BK52" s="282">
        <v>146</v>
      </c>
      <c r="BL52" s="282">
        <v>176</v>
      </c>
      <c r="BM52" s="282">
        <v>225</v>
      </c>
      <c r="BN52" s="282">
        <v>248</v>
      </c>
      <c r="BO52" s="283">
        <v>248</v>
      </c>
    </row>
    <row r="53" spans="2:67">
      <c r="B53" s="273" t="s">
        <v>318</v>
      </c>
      <c r="C53" s="286" t="s">
        <v>581</v>
      </c>
      <c r="D53" s="189">
        <v>1653</v>
      </c>
      <c r="E53" s="115">
        <v>3.25</v>
      </c>
      <c r="F53" s="237" t="s">
        <v>190</v>
      </c>
      <c r="G53" s="314"/>
      <c r="I53" s="267">
        <v>39</v>
      </c>
      <c r="J53" s="267">
        <v>54</v>
      </c>
      <c r="K53" s="267">
        <v>145</v>
      </c>
      <c r="L53" s="267">
        <v>179</v>
      </c>
      <c r="M53" s="268">
        <v>212</v>
      </c>
      <c r="O53" s="267">
        <v>79</v>
      </c>
      <c r="P53" s="267">
        <v>124</v>
      </c>
      <c r="Q53" s="267">
        <v>257</v>
      </c>
      <c r="R53" s="267">
        <v>367</v>
      </c>
      <c r="S53" s="268">
        <v>513</v>
      </c>
      <c r="U53" s="267">
        <v>52</v>
      </c>
      <c r="V53" s="267">
        <v>562</v>
      </c>
      <c r="W53" s="267">
        <v>585</v>
      </c>
      <c r="X53" s="267">
        <v>602</v>
      </c>
      <c r="Y53" s="268">
        <v>635</v>
      </c>
      <c r="AA53" s="267">
        <v>97</v>
      </c>
      <c r="AB53" s="267">
        <v>617</v>
      </c>
      <c r="AC53" s="267">
        <v>666</v>
      </c>
      <c r="AD53" s="267">
        <v>731</v>
      </c>
      <c r="AE53" s="268">
        <v>843</v>
      </c>
      <c r="AG53" s="282">
        <v>0</v>
      </c>
      <c r="AH53" s="282">
        <v>100</v>
      </c>
      <c r="AI53" s="282">
        <v>100</v>
      </c>
      <c r="AJ53" s="282">
        <v>100</v>
      </c>
      <c r="AK53" s="282">
        <v>100</v>
      </c>
      <c r="AL53" s="282"/>
      <c r="AM53" s="282">
        <v>0</v>
      </c>
      <c r="AN53" s="282">
        <v>100</v>
      </c>
      <c r="AO53" s="282">
        <v>150</v>
      </c>
      <c r="AP53" s="282">
        <v>150</v>
      </c>
      <c r="AQ53" s="282">
        <v>150</v>
      </c>
      <c r="AR53" s="153"/>
      <c r="AS53" s="282">
        <v>1601</v>
      </c>
      <c r="AT53" s="282">
        <v>1091.25</v>
      </c>
      <c r="AU53" s="282">
        <v>1068.25</v>
      </c>
      <c r="AV53" s="282">
        <v>1051.25</v>
      </c>
      <c r="AW53" s="283">
        <v>1018.25</v>
      </c>
      <c r="AX53" s="284"/>
      <c r="AY53" s="282">
        <v>1556</v>
      </c>
      <c r="AZ53" s="282">
        <v>1036.25</v>
      </c>
      <c r="BA53" s="282">
        <v>987.25</v>
      </c>
      <c r="BB53" s="282">
        <v>922.25</v>
      </c>
      <c r="BC53" s="283">
        <v>810.25</v>
      </c>
      <c r="BE53" s="267">
        <v>52</v>
      </c>
      <c r="BF53" s="267">
        <v>562</v>
      </c>
      <c r="BG53" s="267">
        <v>585</v>
      </c>
      <c r="BH53" s="267">
        <v>602</v>
      </c>
      <c r="BI53" s="268">
        <v>635</v>
      </c>
      <c r="BJ53" s="150"/>
      <c r="BK53" s="267">
        <v>97</v>
      </c>
      <c r="BL53" s="267">
        <v>647</v>
      </c>
      <c r="BM53" s="267">
        <v>716</v>
      </c>
      <c r="BN53" s="267">
        <v>771</v>
      </c>
      <c r="BO53" s="268">
        <v>903</v>
      </c>
    </row>
    <row r="54" spans="2:67">
      <c r="B54" s="280" t="s">
        <v>318</v>
      </c>
      <c r="C54" s="281" t="s">
        <v>461</v>
      </c>
      <c r="D54" s="188">
        <v>358</v>
      </c>
      <c r="E54" s="114">
        <v>3.25</v>
      </c>
      <c r="F54" s="239" t="s">
        <v>190</v>
      </c>
      <c r="G54" s="315"/>
      <c r="I54" s="282">
        <v>39</v>
      </c>
      <c r="J54" s="282">
        <v>54</v>
      </c>
      <c r="K54" s="282">
        <v>114</v>
      </c>
      <c r="L54" s="282">
        <v>148</v>
      </c>
      <c r="M54" s="283">
        <v>181</v>
      </c>
      <c r="O54" s="282">
        <v>79</v>
      </c>
      <c r="P54" s="282">
        <v>124</v>
      </c>
      <c r="Q54" s="282">
        <v>226</v>
      </c>
      <c r="R54" s="282">
        <v>336</v>
      </c>
      <c r="S54" s="283">
        <v>483</v>
      </c>
      <c r="U54" s="282">
        <v>148</v>
      </c>
      <c r="V54" s="282">
        <v>168</v>
      </c>
      <c r="W54" s="282">
        <v>191</v>
      </c>
      <c r="X54" s="282">
        <v>208</v>
      </c>
      <c r="Y54" s="283">
        <v>241</v>
      </c>
      <c r="AA54" s="282">
        <v>193</v>
      </c>
      <c r="AB54" s="282">
        <v>223</v>
      </c>
      <c r="AC54" s="282">
        <v>272</v>
      </c>
      <c r="AD54" s="282">
        <v>358</v>
      </c>
      <c r="AE54" s="283">
        <v>449</v>
      </c>
      <c r="AG54" s="282">
        <v>0</v>
      </c>
      <c r="AH54" s="282">
        <v>0</v>
      </c>
      <c r="AI54" s="282">
        <v>0</v>
      </c>
      <c r="AJ54" s="282">
        <v>0</v>
      </c>
      <c r="AK54" s="282">
        <v>0</v>
      </c>
      <c r="AL54" s="282"/>
      <c r="AM54" s="282">
        <v>0</v>
      </c>
      <c r="AN54" s="282">
        <v>0</v>
      </c>
      <c r="AO54" s="282">
        <v>0</v>
      </c>
      <c r="AP54" s="282">
        <v>0</v>
      </c>
      <c r="AQ54" s="282">
        <v>0</v>
      </c>
      <c r="AR54" s="153"/>
      <c r="AS54" s="282">
        <v>210.25</v>
      </c>
      <c r="AT54" s="282">
        <v>190.25</v>
      </c>
      <c r="AU54" s="282">
        <v>167.24999999999989</v>
      </c>
      <c r="AV54" s="282">
        <v>150.25</v>
      </c>
      <c r="AW54" s="283">
        <v>117.25</v>
      </c>
      <c r="AX54" s="284"/>
      <c r="AY54" s="282">
        <v>165.25000000000006</v>
      </c>
      <c r="AZ54" s="282">
        <v>135.25</v>
      </c>
      <c r="BA54" s="282">
        <v>86.25</v>
      </c>
      <c r="BB54" s="282">
        <v>0.25</v>
      </c>
      <c r="BC54" s="283">
        <v>-90.75</v>
      </c>
      <c r="BE54" s="282">
        <v>148</v>
      </c>
      <c r="BF54" s="282">
        <v>168</v>
      </c>
      <c r="BG54" s="282">
        <v>191</v>
      </c>
      <c r="BH54" s="282">
        <v>208</v>
      </c>
      <c r="BI54" s="283">
        <v>241</v>
      </c>
      <c r="BJ54" s="150"/>
      <c r="BK54" s="282">
        <v>193</v>
      </c>
      <c r="BL54" s="282">
        <v>223</v>
      </c>
      <c r="BM54" s="282">
        <v>272</v>
      </c>
      <c r="BN54" s="282">
        <v>358</v>
      </c>
      <c r="BO54" s="283">
        <v>449</v>
      </c>
    </row>
    <row r="55" spans="2:67">
      <c r="B55" s="273" t="s">
        <v>318</v>
      </c>
      <c r="C55" s="286" t="s">
        <v>508</v>
      </c>
      <c r="D55" s="189">
        <v>1074</v>
      </c>
      <c r="E55" s="115">
        <v>3.25</v>
      </c>
      <c r="F55" s="237" t="s">
        <v>190</v>
      </c>
      <c r="G55" s="314"/>
      <c r="I55" s="267">
        <v>39</v>
      </c>
      <c r="J55" s="267">
        <v>54</v>
      </c>
      <c r="K55" s="267">
        <v>123</v>
      </c>
      <c r="L55" s="267">
        <v>157</v>
      </c>
      <c r="M55" s="268">
        <v>190</v>
      </c>
      <c r="O55" s="267">
        <v>79</v>
      </c>
      <c r="P55" s="267">
        <v>124</v>
      </c>
      <c r="Q55" s="267">
        <v>236</v>
      </c>
      <c r="R55" s="267">
        <v>346</v>
      </c>
      <c r="S55" s="268">
        <v>492</v>
      </c>
      <c r="U55" s="267">
        <v>52</v>
      </c>
      <c r="V55" s="267">
        <v>444</v>
      </c>
      <c r="W55" s="267">
        <v>467</v>
      </c>
      <c r="X55" s="267">
        <v>484</v>
      </c>
      <c r="Y55" s="268">
        <v>517</v>
      </c>
      <c r="AA55" s="267">
        <v>97</v>
      </c>
      <c r="AB55" s="267">
        <v>499</v>
      </c>
      <c r="AC55" s="267">
        <v>548</v>
      </c>
      <c r="AD55" s="267">
        <v>613</v>
      </c>
      <c r="AE55" s="268">
        <v>725</v>
      </c>
      <c r="AG55" s="282">
        <v>0</v>
      </c>
      <c r="AH55" s="282">
        <v>0</v>
      </c>
      <c r="AI55" s="282">
        <v>0</v>
      </c>
      <c r="AJ55" s="282">
        <v>0</v>
      </c>
      <c r="AK55" s="282">
        <v>0</v>
      </c>
      <c r="AL55" s="282"/>
      <c r="AM55" s="282">
        <v>0</v>
      </c>
      <c r="AN55" s="282">
        <v>0</v>
      </c>
      <c r="AO55" s="282">
        <v>0</v>
      </c>
      <c r="AP55" s="282">
        <v>0</v>
      </c>
      <c r="AQ55" s="282">
        <v>0</v>
      </c>
      <c r="AR55" s="153"/>
      <c r="AS55" s="282">
        <v>1022</v>
      </c>
      <c r="AT55" s="282">
        <v>630.25</v>
      </c>
      <c r="AU55" s="282">
        <v>607.24999999999989</v>
      </c>
      <c r="AV55" s="282">
        <v>590.25</v>
      </c>
      <c r="AW55" s="283">
        <v>557.25</v>
      </c>
      <c r="AX55" s="284"/>
      <c r="AY55" s="282">
        <v>977</v>
      </c>
      <c r="AZ55" s="282">
        <v>575.25</v>
      </c>
      <c r="BA55" s="282">
        <v>526.25</v>
      </c>
      <c r="BB55" s="282">
        <v>461.25</v>
      </c>
      <c r="BC55" s="283">
        <v>349.25</v>
      </c>
      <c r="BE55" s="267">
        <v>52</v>
      </c>
      <c r="BF55" s="267">
        <v>444</v>
      </c>
      <c r="BG55" s="267">
        <v>467</v>
      </c>
      <c r="BH55" s="267">
        <v>484</v>
      </c>
      <c r="BI55" s="268">
        <v>517</v>
      </c>
      <c r="BJ55" s="150"/>
      <c r="BK55" s="267">
        <v>97</v>
      </c>
      <c r="BL55" s="267">
        <v>529</v>
      </c>
      <c r="BM55" s="267">
        <v>598</v>
      </c>
      <c r="BN55" s="267">
        <v>653</v>
      </c>
      <c r="BO55" s="268">
        <v>785</v>
      </c>
    </row>
    <row r="56" spans="2:67">
      <c r="B56" s="280" t="s">
        <v>318</v>
      </c>
      <c r="C56" s="118" t="s">
        <v>630</v>
      </c>
      <c r="D56" s="188">
        <v>137</v>
      </c>
      <c r="E56" s="114">
        <v>3.75</v>
      </c>
      <c r="F56" s="239" t="s">
        <v>210</v>
      </c>
      <c r="G56" s="315"/>
      <c r="I56" s="282">
        <v>39</v>
      </c>
      <c r="J56" s="282">
        <v>54</v>
      </c>
      <c r="K56" s="282">
        <v>96</v>
      </c>
      <c r="L56" s="282">
        <v>130</v>
      </c>
      <c r="M56" s="283">
        <v>163</v>
      </c>
      <c r="O56" s="282">
        <v>79</v>
      </c>
      <c r="P56" s="282">
        <v>124</v>
      </c>
      <c r="Q56" s="282">
        <v>208</v>
      </c>
      <c r="R56" s="282">
        <v>318</v>
      </c>
      <c r="S56" s="283">
        <v>465</v>
      </c>
      <c r="U56" s="282">
        <v>52</v>
      </c>
      <c r="V56" s="282">
        <v>72</v>
      </c>
      <c r="W56" s="282">
        <v>95</v>
      </c>
      <c r="X56" s="282">
        <v>112</v>
      </c>
      <c r="Y56" s="283">
        <v>145</v>
      </c>
      <c r="AA56" s="282">
        <v>97</v>
      </c>
      <c r="AB56" s="282">
        <v>127</v>
      </c>
      <c r="AC56" s="282">
        <v>176</v>
      </c>
      <c r="AD56" s="282">
        <v>223</v>
      </c>
      <c r="AE56" s="283">
        <v>223</v>
      </c>
      <c r="AG56" s="282" t="e">
        <v>#N/A</v>
      </c>
      <c r="AH56" s="282" t="e">
        <v>#N/A</v>
      </c>
      <c r="AI56" s="282" t="e">
        <v>#N/A</v>
      </c>
      <c r="AJ56" s="282" t="e">
        <v>#N/A</v>
      </c>
      <c r="AK56" s="282" t="e">
        <v>#N/A</v>
      </c>
      <c r="AL56" s="282"/>
      <c r="AM56" s="282" t="e">
        <v>#N/A</v>
      </c>
      <c r="AN56" s="282" t="e">
        <v>#N/A</v>
      </c>
      <c r="AO56" s="282" t="e">
        <v>#N/A</v>
      </c>
      <c r="AP56" s="282" t="e">
        <v>#N/A</v>
      </c>
      <c r="AQ56" s="282" t="e">
        <v>#N/A</v>
      </c>
      <c r="AR56" s="153"/>
      <c r="AS56" s="282">
        <v>85</v>
      </c>
      <c r="AT56" s="282">
        <v>65</v>
      </c>
      <c r="AU56" s="282">
        <v>41.999999999999886</v>
      </c>
      <c r="AV56" s="282">
        <v>25</v>
      </c>
      <c r="AW56" s="283">
        <v>-8</v>
      </c>
      <c r="AX56" s="284"/>
      <c r="AY56" s="282">
        <v>40.000000000000057</v>
      </c>
      <c r="AZ56" s="282">
        <v>10</v>
      </c>
      <c r="BA56" s="282">
        <v>-39</v>
      </c>
      <c r="BB56" s="282">
        <v>-86.375</v>
      </c>
      <c r="BC56" s="283">
        <v>-86.375</v>
      </c>
      <c r="BE56" s="282">
        <v>52</v>
      </c>
      <c r="BF56" s="282">
        <v>72</v>
      </c>
      <c r="BG56" s="282">
        <v>95</v>
      </c>
      <c r="BH56" s="282">
        <v>112</v>
      </c>
      <c r="BI56" s="283">
        <v>145</v>
      </c>
      <c r="BJ56" s="150"/>
      <c r="BK56" s="282">
        <v>97</v>
      </c>
      <c r="BL56" s="282">
        <v>127</v>
      </c>
      <c r="BM56" s="282">
        <v>176</v>
      </c>
      <c r="BN56" s="282">
        <v>223</v>
      </c>
      <c r="BO56" s="283">
        <v>223</v>
      </c>
    </row>
    <row r="57" spans="2:67">
      <c r="B57" s="273" t="s">
        <v>318</v>
      </c>
      <c r="C57" s="286" t="s">
        <v>537</v>
      </c>
      <c r="D57" s="189">
        <v>204</v>
      </c>
      <c r="E57" s="115">
        <v>3.75</v>
      </c>
      <c r="F57" s="237" t="s">
        <v>191</v>
      </c>
      <c r="G57" s="314"/>
      <c r="I57" s="267">
        <v>39</v>
      </c>
      <c r="J57" s="267">
        <v>54</v>
      </c>
      <c r="K57" s="267">
        <v>198</v>
      </c>
      <c r="L57" s="267">
        <v>232</v>
      </c>
      <c r="M57" s="268">
        <v>265</v>
      </c>
      <c r="O57" s="267">
        <v>79</v>
      </c>
      <c r="P57" s="267">
        <v>124</v>
      </c>
      <c r="Q57" s="267">
        <v>310</v>
      </c>
      <c r="R57" s="267">
        <v>420</v>
      </c>
      <c r="S57" s="268">
        <v>567</v>
      </c>
      <c r="U57" s="267">
        <v>81</v>
      </c>
      <c r="V57" s="267">
        <v>101</v>
      </c>
      <c r="W57" s="267">
        <v>124</v>
      </c>
      <c r="X57" s="267">
        <v>141</v>
      </c>
      <c r="Y57" s="268">
        <v>174</v>
      </c>
      <c r="AA57" s="267">
        <v>126</v>
      </c>
      <c r="AB57" s="267">
        <v>156</v>
      </c>
      <c r="AC57" s="267">
        <v>205</v>
      </c>
      <c r="AD57" s="267">
        <v>270</v>
      </c>
      <c r="AE57" s="268">
        <v>270</v>
      </c>
      <c r="AG57" s="282">
        <v>0</v>
      </c>
      <c r="AH57" s="282">
        <v>0</v>
      </c>
      <c r="AI57" s="282">
        <v>0</v>
      </c>
      <c r="AJ57" s="282">
        <v>0</v>
      </c>
      <c r="AK57" s="282">
        <v>0</v>
      </c>
      <c r="AL57" s="282"/>
      <c r="AM57" s="282">
        <v>0</v>
      </c>
      <c r="AN57" s="282">
        <v>0</v>
      </c>
      <c r="AO57" s="282">
        <v>0</v>
      </c>
      <c r="AP57" s="282">
        <v>0</v>
      </c>
      <c r="AQ57" s="282">
        <v>0</v>
      </c>
      <c r="AR57" s="153"/>
      <c r="AS57" s="282">
        <v>122.75</v>
      </c>
      <c r="AT57" s="282">
        <v>102.75</v>
      </c>
      <c r="AU57" s="282">
        <v>79.749999999999886</v>
      </c>
      <c r="AV57" s="282">
        <v>62.75</v>
      </c>
      <c r="AW57" s="283">
        <v>29.75</v>
      </c>
      <c r="AX57" s="284"/>
      <c r="AY57" s="282">
        <v>77.750000000000057</v>
      </c>
      <c r="AZ57" s="282">
        <v>47.75</v>
      </c>
      <c r="BA57" s="282">
        <v>-1.25</v>
      </c>
      <c r="BB57" s="282">
        <v>-66.25</v>
      </c>
      <c r="BC57" s="283">
        <v>-66.25</v>
      </c>
      <c r="BE57" s="267">
        <v>81</v>
      </c>
      <c r="BF57" s="267">
        <v>101</v>
      </c>
      <c r="BG57" s="267">
        <v>124</v>
      </c>
      <c r="BH57" s="267">
        <v>141</v>
      </c>
      <c r="BI57" s="268">
        <v>174</v>
      </c>
      <c r="BJ57" s="150"/>
      <c r="BK57" s="267">
        <v>126</v>
      </c>
      <c r="BL57" s="267">
        <v>156</v>
      </c>
      <c r="BM57" s="267">
        <v>205</v>
      </c>
      <c r="BN57" s="267">
        <v>270</v>
      </c>
      <c r="BO57" s="268">
        <v>270</v>
      </c>
    </row>
    <row r="58" spans="2:67">
      <c r="B58" s="280" t="s">
        <v>61</v>
      </c>
      <c r="C58" s="281" t="s">
        <v>482</v>
      </c>
      <c r="D58" s="188">
        <v>751</v>
      </c>
      <c r="E58" s="114">
        <v>5.33</v>
      </c>
      <c r="F58" s="239" t="s">
        <v>193</v>
      </c>
      <c r="G58" s="315"/>
      <c r="I58" s="282">
        <v>39</v>
      </c>
      <c r="J58" s="282">
        <v>54</v>
      </c>
      <c r="K58" s="282">
        <v>92</v>
      </c>
      <c r="L58" s="282">
        <v>126</v>
      </c>
      <c r="M58" s="283">
        <v>159</v>
      </c>
      <c r="O58" s="282">
        <v>79</v>
      </c>
      <c r="P58" s="282">
        <v>124</v>
      </c>
      <c r="Q58" s="282">
        <v>204</v>
      </c>
      <c r="R58" s="282">
        <v>314</v>
      </c>
      <c r="S58" s="283">
        <v>460</v>
      </c>
      <c r="U58" s="282">
        <v>52</v>
      </c>
      <c r="V58" s="282">
        <v>268</v>
      </c>
      <c r="W58" s="282">
        <v>291</v>
      </c>
      <c r="X58" s="282">
        <v>308</v>
      </c>
      <c r="Y58" s="283">
        <v>341</v>
      </c>
      <c r="AA58" s="282">
        <v>97</v>
      </c>
      <c r="AB58" s="282">
        <v>323</v>
      </c>
      <c r="AC58" s="282">
        <v>372</v>
      </c>
      <c r="AD58" s="282">
        <v>437</v>
      </c>
      <c r="AE58" s="283">
        <v>549</v>
      </c>
      <c r="AG58" s="282">
        <v>0</v>
      </c>
      <c r="AH58" s="282">
        <v>0</v>
      </c>
      <c r="AI58" s="282">
        <v>0</v>
      </c>
      <c r="AJ58" s="282">
        <v>0</v>
      </c>
      <c r="AK58" s="282">
        <v>0</v>
      </c>
      <c r="AL58" s="282"/>
      <c r="AM58" s="282">
        <v>0</v>
      </c>
      <c r="AN58" s="282">
        <v>0</v>
      </c>
      <c r="AO58" s="282">
        <v>0</v>
      </c>
      <c r="AP58" s="282">
        <v>20</v>
      </c>
      <c r="AQ58" s="282">
        <v>20</v>
      </c>
      <c r="AR58" s="153"/>
      <c r="AS58" s="282">
        <v>699</v>
      </c>
      <c r="AT58" s="282">
        <v>483.33000000000004</v>
      </c>
      <c r="AU58" s="282">
        <v>460.32999999999993</v>
      </c>
      <c r="AV58" s="282">
        <v>443.33000000000004</v>
      </c>
      <c r="AW58" s="283">
        <v>410.33000000000004</v>
      </c>
      <c r="AX58" s="284"/>
      <c r="AY58" s="282">
        <v>654</v>
      </c>
      <c r="AZ58" s="282">
        <v>428.33000000000004</v>
      </c>
      <c r="BA58" s="282">
        <v>379.33000000000004</v>
      </c>
      <c r="BB58" s="282">
        <v>314.33000000000004</v>
      </c>
      <c r="BC58" s="283">
        <v>202.33000000000004</v>
      </c>
      <c r="BE58" s="282">
        <v>52</v>
      </c>
      <c r="BF58" s="282">
        <v>268</v>
      </c>
      <c r="BG58" s="282">
        <v>291</v>
      </c>
      <c r="BH58" s="282">
        <v>308</v>
      </c>
      <c r="BI58" s="283">
        <v>341</v>
      </c>
      <c r="BJ58" s="150"/>
      <c r="BK58" s="282">
        <v>97</v>
      </c>
      <c r="BL58" s="282">
        <v>353</v>
      </c>
      <c r="BM58" s="282">
        <v>422</v>
      </c>
      <c r="BN58" s="282">
        <v>477</v>
      </c>
      <c r="BO58" s="283">
        <v>609</v>
      </c>
    </row>
    <row r="59" spans="2:67">
      <c r="B59" s="273" t="s">
        <v>61</v>
      </c>
      <c r="C59" s="286" t="s">
        <v>509</v>
      </c>
      <c r="D59" s="189">
        <v>915</v>
      </c>
      <c r="E59" s="115">
        <v>5.33</v>
      </c>
      <c r="F59" s="237" t="s">
        <v>193</v>
      </c>
      <c r="G59" s="314"/>
      <c r="I59" s="267">
        <v>39</v>
      </c>
      <c r="J59" s="267">
        <v>54</v>
      </c>
      <c r="K59" s="267">
        <v>78</v>
      </c>
      <c r="L59" s="267">
        <v>112</v>
      </c>
      <c r="M59" s="268">
        <v>145</v>
      </c>
      <c r="O59" s="267">
        <v>79</v>
      </c>
      <c r="P59" s="267">
        <v>124</v>
      </c>
      <c r="Q59" s="267">
        <v>190</v>
      </c>
      <c r="R59" s="267">
        <v>300</v>
      </c>
      <c r="S59" s="268">
        <v>447</v>
      </c>
      <c r="U59" s="267">
        <v>52</v>
      </c>
      <c r="V59" s="267">
        <v>372</v>
      </c>
      <c r="W59" s="267">
        <v>395</v>
      </c>
      <c r="X59" s="267">
        <v>412</v>
      </c>
      <c r="Y59" s="268">
        <v>445</v>
      </c>
      <c r="AA59" s="267">
        <v>97</v>
      </c>
      <c r="AB59" s="267">
        <v>427</v>
      </c>
      <c r="AC59" s="267">
        <v>476</v>
      </c>
      <c r="AD59" s="267">
        <v>561</v>
      </c>
      <c r="AE59" s="268">
        <v>673</v>
      </c>
      <c r="AG59" s="282">
        <v>0</v>
      </c>
      <c r="AH59" s="282">
        <v>0</v>
      </c>
      <c r="AI59" s="282">
        <v>0</v>
      </c>
      <c r="AJ59" s="282">
        <v>0</v>
      </c>
      <c r="AK59" s="282">
        <v>0</v>
      </c>
      <c r="AL59" s="282"/>
      <c r="AM59" s="282">
        <v>0</v>
      </c>
      <c r="AN59" s="282">
        <v>0</v>
      </c>
      <c r="AO59" s="282">
        <v>0</v>
      </c>
      <c r="AP59" s="282">
        <v>0</v>
      </c>
      <c r="AQ59" s="282">
        <v>0</v>
      </c>
      <c r="AR59" s="153"/>
      <c r="AS59" s="282">
        <v>863</v>
      </c>
      <c r="AT59" s="282">
        <v>543.33000000000004</v>
      </c>
      <c r="AU59" s="282">
        <v>520.32999999999993</v>
      </c>
      <c r="AV59" s="282">
        <v>503.33000000000004</v>
      </c>
      <c r="AW59" s="283">
        <v>470.33000000000004</v>
      </c>
      <c r="AX59" s="284"/>
      <c r="AY59" s="282">
        <v>818</v>
      </c>
      <c r="AZ59" s="282">
        <v>488.33000000000004</v>
      </c>
      <c r="BA59" s="282">
        <v>439.33000000000004</v>
      </c>
      <c r="BB59" s="282">
        <v>354.33000000000004</v>
      </c>
      <c r="BC59" s="283">
        <v>242.33000000000004</v>
      </c>
      <c r="BE59" s="267">
        <v>52</v>
      </c>
      <c r="BF59" s="267">
        <v>372</v>
      </c>
      <c r="BG59" s="267">
        <v>395</v>
      </c>
      <c r="BH59" s="267">
        <v>412</v>
      </c>
      <c r="BI59" s="268">
        <v>445</v>
      </c>
      <c r="BJ59" s="150"/>
      <c r="BK59" s="267">
        <v>97</v>
      </c>
      <c r="BL59" s="267">
        <v>457</v>
      </c>
      <c r="BM59" s="267">
        <v>526</v>
      </c>
      <c r="BN59" s="267">
        <v>601</v>
      </c>
      <c r="BO59" s="268">
        <v>733</v>
      </c>
    </row>
    <row r="60" spans="2:67">
      <c r="B60" s="280" t="s">
        <v>62</v>
      </c>
      <c r="C60" s="118" t="s">
        <v>631</v>
      </c>
      <c r="D60" s="191">
        <v>367</v>
      </c>
      <c r="E60" s="300">
        <v>3.75</v>
      </c>
      <c r="F60" s="239" t="s">
        <v>210</v>
      </c>
      <c r="G60" s="315"/>
      <c r="I60" s="265">
        <v>39</v>
      </c>
      <c r="J60" s="265">
        <v>54</v>
      </c>
      <c r="K60" s="265">
        <v>271</v>
      </c>
      <c r="L60" s="265">
        <v>305</v>
      </c>
      <c r="M60" s="266">
        <v>338</v>
      </c>
      <c r="O60" s="265">
        <v>79</v>
      </c>
      <c r="P60" s="265">
        <v>124</v>
      </c>
      <c r="Q60" s="265">
        <v>378</v>
      </c>
      <c r="R60" s="265">
        <v>483</v>
      </c>
      <c r="S60" s="266">
        <v>625</v>
      </c>
      <c r="U60" s="265">
        <v>88</v>
      </c>
      <c r="V60" s="265">
        <v>108</v>
      </c>
      <c r="W60" s="265">
        <v>131</v>
      </c>
      <c r="X60" s="265">
        <v>148</v>
      </c>
      <c r="Y60" s="266">
        <v>181</v>
      </c>
      <c r="AA60" s="265">
        <v>133</v>
      </c>
      <c r="AB60" s="265">
        <v>163</v>
      </c>
      <c r="AC60" s="265">
        <v>212</v>
      </c>
      <c r="AD60" s="265">
        <v>277</v>
      </c>
      <c r="AE60" s="266">
        <v>389</v>
      </c>
      <c r="AG60" s="282" t="e">
        <v>#N/A</v>
      </c>
      <c r="AH60" s="282" t="e">
        <v>#N/A</v>
      </c>
      <c r="AI60" s="282" t="e">
        <v>#N/A</v>
      </c>
      <c r="AJ60" s="282" t="e">
        <v>#N/A</v>
      </c>
      <c r="AK60" s="282" t="e">
        <v>#N/A</v>
      </c>
      <c r="AL60" s="282"/>
      <c r="AM60" s="282" t="e">
        <v>#N/A</v>
      </c>
      <c r="AN60" s="282" t="e">
        <v>#N/A</v>
      </c>
      <c r="AO60" s="282" t="e">
        <v>#N/A</v>
      </c>
      <c r="AP60" s="282" t="e">
        <v>#N/A</v>
      </c>
      <c r="AQ60" s="282" t="e">
        <v>#N/A</v>
      </c>
      <c r="AR60" s="153"/>
      <c r="AS60" s="282">
        <v>278.95</v>
      </c>
      <c r="AT60" s="282">
        <v>258.95</v>
      </c>
      <c r="AU60" s="282">
        <v>235.94999999999987</v>
      </c>
      <c r="AV60" s="282">
        <v>218.95</v>
      </c>
      <c r="AW60" s="283">
        <v>185.95</v>
      </c>
      <c r="AX60" s="284"/>
      <c r="AY60" s="282">
        <v>233.95000000000005</v>
      </c>
      <c r="AZ60" s="282">
        <v>203.95</v>
      </c>
      <c r="BA60" s="282">
        <v>154.94999999999999</v>
      </c>
      <c r="BB60" s="282">
        <v>89.949999999999989</v>
      </c>
      <c r="BC60" s="283">
        <v>-22.050000000000011</v>
      </c>
      <c r="BE60" s="265">
        <v>88</v>
      </c>
      <c r="BF60" s="265">
        <v>108</v>
      </c>
      <c r="BG60" s="265">
        <v>131</v>
      </c>
      <c r="BH60" s="265">
        <v>148</v>
      </c>
      <c r="BI60" s="266">
        <v>181</v>
      </c>
      <c r="BJ60" s="150"/>
      <c r="BK60" s="265">
        <v>133</v>
      </c>
      <c r="BL60" s="265">
        <v>193</v>
      </c>
      <c r="BM60" s="265">
        <v>253</v>
      </c>
      <c r="BN60" s="265">
        <v>317</v>
      </c>
      <c r="BO60" s="266">
        <v>430</v>
      </c>
    </row>
    <row r="61" spans="2:67">
      <c r="B61" s="273" t="s">
        <v>62</v>
      </c>
      <c r="C61" s="286" t="s">
        <v>538</v>
      </c>
      <c r="D61" s="189">
        <v>623</v>
      </c>
      <c r="E61" s="115">
        <v>3.75</v>
      </c>
      <c r="F61" s="237" t="s">
        <v>191</v>
      </c>
      <c r="G61" s="314"/>
      <c r="I61" s="267">
        <v>39</v>
      </c>
      <c r="J61" s="267">
        <v>54</v>
      </c>
      <c r="K61" s="267">
        <v>279</v>
      </c>
      <c r="L61" s="267">
        <v>313</v>
      </c>
      <c r="M61" s="268">
        <v>346</v>
      </c>
      <c r="O61" s="267">
        <v>79</v>
      </c>
      <c r="P61" s="267">
        <v>124</v>
      </c>
      <c r="Q61" s="267">
        <v>386</v>
      </c>
      <c r="R61" s="267">
        <v>491</v>
      </c>
      <c r="S61" s="268">
        <v>633</v>
      </c>
      <c r="U61" s="267">
        <v>52</v>
      </c>
      <c r="V61" s="267">
        <v>139</v>
      </c>
      <c r="W61" s="267">
        <v>162</v>
      </c>
      <c r="X61" s="267">
        <v>179</v>
      </c>
      <c r="Y61" s="268">
        <v>212</v>
      </c>
      <c r="AA61" s="267">
        <v>97</v>
      </c>
      <c r="AB61" s="267">
        <v>194</v>
      </c>
      <c r="AC61" s="267">
        <v>243</v>
      </c>
      <c r="AD61" s="267">
        <v>308</v>
      </c>
      <c r="AE61" s="268">
        <v>420</v>
      </c>
      <c r="AG61" s="282">
        <v>0</v>
      </c>
      <c r="AH61" s="282">
        <v>0</v>
      </c>
      <c r="AI61" s="282">
        <v>0</v>
      </c>
      <c r="AJ61" s="282">
        <v>0</v>
      </c>
      <c r="AK61" s="282">
        <v>0</v>
      </c>
      <c r="AL61" s="282"/>
      <c r="AM61" s="282">
        <v>0</v>
      </c>
      <c r="AN61" s="282">
        <v>0</v>
      </c>
      <c r="AO61" s="282">
        <v>0</v>
      </c>
      <c r="AP61" s="282">
        <v>0</v>
      </c>
      <c r="AQ61" s="282">
        <v>0</v>
      </c>
      <c r="AR61" s="153"/>
      <c r="AS61" s="282">
        <v>571</v>
      </c>
      <c r="AT61" s="282">
        <v>483.99</v>
      </c>
      <c r="AU61" s="282">
        <v>460.9899999999999</v>
      </c>
      <c r="AV61" s="282">
        <v>443.99</v>
      </c>
      <c r="AW61" s="283">
        <v>410.99</v>
      </c>
      <c r="AX61" s="284"/>
      <c r="AY61" s="282">
        <v>526</v>
      </c>
      <c r="AZ61" s="282">
        <v>428.99</v>
      </c>
      <c r="BA61" s="282">
        <v>379.99</v>
      </c>
      <c r="BB61" s="282">
        <v>314.99</v>
      </c>
      <c r="BC61" s="283">
        <v>202.99</v>
      </c>
      <c r="BE61" s="267">
        <v>52</v>
      </c>
      <c r="BF61" s="267">
        <v>139</v>
      </c>
      <c r="BG61" s="267">
        <v>162</v>
      </c>
      <c r="BH61" s="267">
        <v>179</v>
      </c>
      <c r="BI61" s="268">
        <v>212</v>
      </c>
      <c r="BJ61" s="150"/>
      <c r="BK61" s="267">
        <v>97</v>
      </c>
      <c r="BL61" s="267">
        <v>224</v>
      </c>
      <c r="BM61" s="267">
        <v>293</v>
      </c>
      <c r="BN61" s="267">
        <v>348</v>
      </c>
      <c r="BO61" s="268">
        <v>480</v>
      </c>
    </row>
    <row r="62" spans="2:67">
      <c r="B62" s="280" t="s">
        <v>62</v>
      </c>
      <c r="C62" s="281" t="s">
        <v>539</v>
      </c>
      <c r="D62" s="188">
        <v>847</v>
      </c>
      <c r="E62" s="114">
        <v>3.75</v>
      </c>
      <c r="F62" s="239" t="s">
        <v>191</v>
      </c>
      <c r="G62" s="315"/>
      <c r="I62" s="282">
        <v>39</v>
      </c>
      <c r="J62" s="282">
        <v>54</v>
      </c>
      <c r="K62" s="282">
        <v>268</v>
      </c>
      <c r="L62" s="282">
        <v>302</v>
      </c>
      <c r="M62" s="283">
        <v>335</v>
      </c>
      <c r="O62" s="282">
        <v>79</v>
      </c>
      <c r="P62" s="282">
        <v>124</v>
      </c>
      <c r="Q62" s="282">
        <v>375</v>
      </c>
      <c r="R62" s="282">
        <v>480</v>
      </c>
      <c r="S62" s="283">
        <v>622</v>
      </c>
      <c r="U62" s="282">
        <v>52</v>
      </c>
      <c r="V62" s="282">
        <v>179</v>
      </c>
      <c r="W62" s="282">
        <v>202</v>
      </c>
      <c r="X62" s="282">
        <v>219</v>
      </c>
      <c r="Y62" s="283">
        <v>252</v>
      </c>
      <c r="AA62" s="282">
        <v>97</v>
      </c>
      <c r="AB62" s="282">
        <v>234</v>
      </c>
      <c r="AC62" s="282">
        <v>283</v>
      </c>
      <c r="AD62" s="282">
        <v>348</v>
      </c>
      <c r="AE62" s="283">
        <v>460</v>
      </c>
      <c r="AG62" s="282">
        <v>0</v>
      </c>
      <c r="AH62" s="282">
        <v>0</v>
      </c>
      <c r="AI62" s="282">
        <v>0</v>
      </c>
      <c r="AJ62" s="282">
        <v>0</v>
      </c>
      <c r="AK62" s="282">
        <v>0</v>
      </c>
      <c r="AL62" s="282"/>
      <c r="AM62" s="282">
        <v>0</v>
      </c>
      <c r="AN62" s="282">
        <v>0</v>
      </c>
      <c r="AO62" s="282">
        <v>0</v>
      </c>
      <c r="AP62" s="282">
        <v>0</v>
      </c>
      <c r="AQ62" s="282">
        <v>0</v>
      </c>
      <c r="AR62" s="153"/>
      <c r="AS62" s="282">
        <v>795</v>
      </c>
      <c r="AT62" s="282">
        <v>668.39</v>
      </c>
      <c r="AU62" s="282">
        <v>645.38999999999987</v>
      </c>
      <c r="AV62" s="282">
        <v>628.39</v>
      </c>
      <c r="AW62" s="283">
        <v>595.39</v>
      </c>
      <c r="AX62" s="284"/>
      <c r="AY62" s="282">
        <v>750</v>
      </c>
      <c r="AZ62" s="282">
        <v>613.39</v>
      </c>
      <c r="BA62" s="282">
        <v>564.39</v>
      </c>
      <c r="BB62" s="282">
        <v>499.39</v>
      </c>
      <c r="BC62" s="283">
        <v>387.39</v>
      </c>
      <c r="BE62" s="282">
        <v>52</v>
      </c>
      <c r="BF62" s="282">
        <v>179</v>
      </c>
      <c r="BG62" s="282">
        <v>202</v>
      </c>
      <c r="BH62" s="282">
        <v>219</v>
      </c>
      <c r="BI62" s="283">
        <v>252</v>
      </c>
      <c r="BJ62" s="150"/>
      <c r="BK62" s="282">
        <v>97</v>
      </c>
      <c r="BL62" s="282">
        <v>264</v>
      </c>
      <c r="BM62" s="282">
        <v>333</v>
      </c>
      <c r="BN62" s="282">
        <v>388</v>
      </c>
      <c r="BO62" s="283">
        <v>520</v>
      </c>
    </row>
    <row r="63" spans="2:67">
      <c r="B63" s="273" t="s">
        <v>62</v>
      </c>
      <c r="C63" s="286" t="s">
        <v>540</v>
      </c>
      <c r="D63" s="189">
        <v>1044</v>
      </c>
      <c r="E63" s="115">
        <v>3.75</v>
      </c>
      <c r="F63" s="237" t="s">
        <v>191</v>
      </c>
      <c r="G63" s="314"/>
      <c r="I63" s="267">
        <v>39</v>
      </c>
      <c r="J63" s="267">
        <v>54</v>
      </c>
      <c r="K63" s="267">
        <v>186</v>
      </c>
      <c r="L63" s="267">
        <v>220</v>
      </c>
      <c r="M63" s="268">
        <v>253</v>
      </c>
      <c r="O63" s="267">
        <v>79</v>
      </c>
      <c r="P63" s="267">
        <v>124</v>
      </c>
      <c r="Q63" s="267">
        <v>293</v>
      </c>
      <c r="R63" s="267">
        <v>398</v>
      </c>
      <c r="S63" s="268">
        <v>540</v>
      </c>
      <c r="U63" s="267">
        <v>52</v>
      </c>
      <c r="V63" s="267">
        <v>191</v>
      </c>
      <c r="W63" s="267">
        <v>214</v>
      </c>
      <c r="X63" s="267">
        <v>231</v>
      </c>
      <c r="Y63" s="268">
        <v>264</v>
      </c>
      <c r="AA63" s="267">
        <v>97</v>
      </c>
      <c r="AB63" s="267">
        <v>246</v>
      </c>
      <c r="AC63" s="267">
        <v>295</v>
      </c>
      <c r="AD63" s="267">
        <v>360</v>
      </c>
      <c r="AE63" s="268">
        <v>472</v>
      </c>
      <c r="AG63" s="282">
        <v>0</v>
      </c>
      <c r="AH63" s="282">
        <v>0</v>
      </c>
      <c r="AI63" s="282">
        <v>0</v>
      </c>
      <c r="AJ63" s="282">
        <v>0</v>
      </c>
      <c r="AK63" s="282">
        <v>0</v>
      </c>
      <c r="AL63" s="282"/>
      <c r="AM63" s="282">
        <v>0</v>
      </c>
      <c r="AN63" s="282">
        <v>0</v>
      </c>
      <c r="AO63" s="282">
        <v>0</v>
      </c>
      <c r="AP63" s="282">
        <v>0</v>
      </c>
      <c r="AQ63" s="282">
        <v>0</v>
      </c>
      <c r="AR63" s="153"/>
      <c r="AS63" s="282">
        <v>992</v>
      </c>
      <c r="AT63" s="282">
        <v>852.79</v>
      </c>
      <c r="AU63" s="282">
        <v>829.78999999999985</v>
      </c>
      <c r="AV63" s="282">
        <v>812.79</v>
      </c>
      <c r="AW63" s="283">
        <v>779.79</v>
      </c>
      <c r="AX63" s="284"/>
      <c r="AY63" s="282">
        <v>947</v>
      </c>
      <c r="AZ63" s="282">
        <v>797.79</v>
      </c>
      <c r="BA63" s="282">
        <v>748.79</v>
      </c>
      <c r="BB63" s="282">
        <v>683.79</v>
      </c>
      <c r="BC63" s="283">
        <v>571.79</v>
      </c>
      <c r="BE63" s="267">
        <v>52</v>
      </c>
      <c r="BF63" s="267">
        <v>191</v>
      </c>
      <c r="BG63" s="267">
        <v>214</v>
      </c>
      <c r="BH63" s="267">
        <v>231</v>
      </c>
      <c r="BI63" s="268">
        <v>264</v>
      </c>
      <c r="BJ63" s="150"/>
      <c r="BK63" s="267">
        <v>97</v>
      </c>
      <c r="BL63" s="267">
        <v>276</v>
      </c>
      <c r="BM63" s="267">
        <v>345</v>
      </c>
      <c r="BN63" s="267">
        <v>400</v>
      </c>
      <c r="BO63" s="268">
        <v>532</v>
      </c>
    </row>
    <row r="64" spans="2:67">
      <c r="B64" s="280" t="s">
        <v>62</v>
      </c>
      <c r="C64" s="281" t="s">
        <v>330</v>
      </c>
      <c r="D64" s="188">
        <v>920</v>
      </c>
      <c r="E64" s="114">
        <v>3.25</v>
      </c>
      <c r="F64" s="239" t="s">
        <v>190</v>
      </c>
      <c r="G64" s="315"/>
      <c r="I64" s="265">
        <v>39</v>
      </c>
      <c r="J64" s="265">
        <v>54</v>
      </c>
      <c r="K64" s="265">
        <v>183</v>
      </c>
      <c r="L64" s="265">
        <v>217</v>
      </c>
      <c r="M64" s="266">
        <v>250</v>
      </c>
      <c r="O64" s="265">
        <v>79</v>
      </c>
      <c r="P64" s="265">
        <v>124</v>
      </c>
      <c r="Q64" s="265">
        <v>290</v>
      </c>
      <c r="R64" s="265">
        <v>395</v>
      </c>
      <c r="S64" s="266">
        <v>537</v>
      </c>
      <c r="U64" s="265">
        <v>52</v>
      </c>
      <c r="V64" s="265">
        <v>397</v>
      </c>
      <c r="W64" s="265">
        <v>420</v>
      </c>
      <c r="X64" s="265">
        <v>437</v>
      </c>
      <c r="Y64" s="266">
        <v>470</v>
      </c>
      <c r="AA64" s="265">
        <v>97</v>
      </c>
      <c r="AB64" s="265">
        <v>452</v>
      </c>
      <c r="AC64" s="265">
        <v>496</v>
      </c>
      <c r="AD64" s="265">
        <v>556</v>
      </c>
      <c r="AE64" s="266">
        <v>663</v>
      </c>
      <c r="AG64" s="282">
        <v>0</v>
      </c>
      <c r="AH64" s="282">
        <v>0</v>
      </c>
      <c r="AI64" s="282">
        <v>0</v>
      </c>
      <c r="AJ64" s="282">
        <v>0</v>
      </c>
      <c r="AK64" s="282">
        <v>0</v>
      </c>
      <c r="AL64" s="282"/>
      <c r="AM64" s="282">
        <v>0</v>
      </c>
      <c r="AN64" s="282">
        <v>0</v>
      </c>
      <c r="AO64" s="282">
        <v>0</v>
      </c>
      <c r="AP64" s="282">
        <v>0</v>
      </c>
      <c r="AQ64" s="282">
        <v>0</v>
      </c>
      <c r="AR64" s="153"/>
      <c r="AS64" s="282">
        <v>868</v>
      </c>
      <c r="AT64" s="282">
        <v>523.25</v>
      </c>
      <c r="AU64" s="282">
        <v>500.24999999999989</v>
      </c>
      <c r="AV64" s="282">
        <v>483.25</v>
      </c>
      <c r="AW64" s="283">
        <v>450.25</v>
      </c>
      <c r="AX64" s="284"/>
      <c r="AY64" s="282">
        <v>823</v>
      </c>
      <c r="AZ64" s="282">
        <v>468.25</v>
      </c>
      <c r="BA64" s="282">
        <v>424.25</v>
      </c>
      <c r="BB64" s="282">
        <v>364.25</v>
      </c>
      <c r="BC64" s="283">
        <v>257.25</v>
      </c>
      <c r="BE64" s="265">
        <v>52</v>
      </c>
      <c r="BF64" s="265">
        <v>397</v>
      </c>
      <c r="BG64" s="265">
        <v>420</v>
      </c>
      <c r="BH64" s="265">
        <v>437</v>
      </c>
      <c r="BI64" s="266">
        <v>470</v>
      </c>
      <c r="BJ64" s="150"/>
      <c r="BK64" s="265">
        <v>97</v>
      </c>
      <c r="BL64" s="265">
        <v>482</v>
      </c>
      <c r="BM64" s="265">
        <v>546</v>
      </c>
      <c r="BN64" s="265">
        <v>596</v>
      </c>
      <c r="BO64" s="266">
        <v>723</v>
      </c>
    </row>
    <row r="65" spans="2:67">
      <c r="B65" s="273" t="s">
        <v>62</v>
      </c>
      <c r="C65" s="286" t="s">
        <v>424</v>
      </c>
      <c r="D65" s="189">
        <v>883</v>
      </c>
      <c r="E65" s="115">
        <v>3.25</v>
      </c>
      <c r="F65" s="237" t="s">
        <v>190</v>
      </c>
      <c r="G65" s="314"/>
      <c r="I65" s="267">
        <v>39</v>
      </c>
      <c r="J65" s="267">
        <v>54</v>
      </c>
      <c r="K65" s="267">
        <v>195</v>
      </c>
      <c r="L65" s="267">
        <v>229</v>
      </c>
      <c r="M65" s="268">
        <v>262</v>
      </c>
      <c r="O65" s="267">
        <v>79</v>
      </c>
      <c r="P65" s="267">
        <v>124</v>
      </c>
      <c r="Q65" s="267">
        <v>302</v>
      </c>
      <c r="R65" s="267">
        <v>407</v>
      </c>
      <c r="S65" s="268">
        <v>549</v>
      </c>
      <c r="U65" s="267">
        <v>52</v>
      </c>
      <c r="V65" s="267">
        <v>306</v>
      </c>
      <c r="W65" s="267">
        <v>329</v>
      </c>
      <c r="X65" s="267">
        <v>346</v>
      </c>
      <c r="Y65" s="268">
        <v>379</v>
      </c>
      <c r="AA65" s="267">
        <v>97</v>
      </c>
      <c r="AB65" s="267">
        <v>361</v>
      </c>
      <c r="AC65" s="267">
        <v>410</v>
      </c>
      <c r="AD65" s="267">
        <v>465</v>
      </c>
      <c r="AE65" s="268">
        <v>572</v>
      </c>
      <c r="AG65" s="282">
        <v>0</v>
      </c>
      <c r="AH65" s="282">
        <v>-38</v>
      </c>
      <c r="AI65" s="282">
        <v>-38</v>
      </c>
      <c r="AJ65" s="282">
        <v>-38</v>
      </c>
      <c r="AK65" s="282">
        <v>-38</v>
      </c>
      <c r="AL65" s="282"/>
      <c r="AM65" s="282">
        <v>0</v>
      </c>
      <c r="AN65" s="282">
        <v>-38</v>
      </c>
      <c r="AO65" s="282">
        <v>-38</v>
      </c>
      <c r="AP65" s="282">
        <v>19</v>
      </c>
      <c r="AQ65" s="282">
        <v>12</v>
      </c>
      <c r="AR65" s="153"/>
      <c r="AS65" s="282">
        <v>831</v>
      </c>
      <c r="AT65" s="282">
        <v>577.25</v>
      </c>
      <c r="AU65" s="282">
        <v>554.24999999999989</v>
      </c>
      <c r="AV65" s="282">
        <v>537.25</v>
      </c>
      <c r="AW65" s="283">
        <v>504.25</v>
      </c>
      <c r="AX65" s="284"/>
      <c r="AY65" s="282">
        <v>786</v>
      </c>
      <c r="AZ65" s="282">
        <v>522.25</v>
      </c>
      <c r="BA65" s="282">
        <v>473.25</v>
      </c>
      <c r="BB65" s="282">
        <v>418.25</v>
      </c>
      <c r="BC65" s="283">
        <v>311.25</v>
      </c>
      <c r="BE65" s="267">
        <v>52</v>
      </c>
      <c r="BF65" s="267">
        <v>306</v>
      </c>
      <c r="BG65" s="267">
        <v>329</v>
      </c>
      <c r="BH65" s="267">
        <v>346</v>
      </c>
      <c r="BI65" s="268">
        <v>379</v>
      </c>
      <c r="BJ65" s="150"/>
      <c r="BK65" s="267">
        <v>97</v>
      </c>
      <c r="BL65" s="267">
        <v>391</v>
      </c>
      <c r="BM65" s="267">
        <v>460</v>
      </c>
      <c r="BN65" s="267">
        <v>505</v>
      </c>
      <c r="BO65" s="268">
        <v>632</v>
      </c>
    </row>
    <row r="66" spans="2:67">
      <c r="B66" s="280" t="s">
        <v>62</v>
      </c>
      <c r="C66" s="281" t="s">
        <v>589</v>
      </c>
      <c r="D66" s="188">
        <v>883</v>
      </c>
      <c r="E66" s="114">
        <v>3.25</v>
      </c>
      <c r="F66" s="239" t="s">
        <v>190</v>
      </c>
      <c r="G66" s="315"/>
      <c r="I66" s="282">
        <v>39</v>
      </c>
      <c r="J66" s="282">
        <v>54</v>
      </c>
      <c r="K66" s="282">
        <v>192</v>
      </c>
      <c r="L66" s="282">
        <v>226</v>
      </c>
      <c r="M66" s="283">
        <v>259</v>
      </c>
      <c r="O66" s="282">
        <v>79</v>
      </c>
      <c r="P66" s="282">
        <v>124</v>
      </c>
      <c r="Q66" s="282">
        <v>299</v>
      </c>
      <c r="R66" s="282">
        <v>404</v>
      </c>
      <c r="S66" s="283">
        <v>546</v>
      </c>
      <c r="U66" s="282">
        <v>52</v>
      </c>
      <c r="V66" s="282">
        <v>230</v>
      </c>
      <c r="W66" s="282">
        <v>253</v>
      </c>
      <c r="X66" s="282">
        <v>270</v>
      </c>
      <c r="Y66" s="283">
        <v>303</v>
      </c>
      <c r="AA66" s="282">
        <v>97</v>
      </c>
      <c r="AB66" s="282">
        <v>285</v>
      </c>
      <c r="AC66" s="282">
        <v>329</v>
      </c>
      <c r="AD66" s="282">
        <v>389</v>
      </c>
      <c r="AE66" s="283">
        <v>496</v>
      </c>
      <c r="AG66" s="282">
        <v>0</v>
      </c>
      <c r="AH66" s="282">
        <v>-38</v>
      </c>
      <c r="AI66" s="282">
        <v>-38</v>
      </c>
      <c r="AJ66" s="282">
        <v>-38</v>
      </c>
      <c r="AK66" s="282">
        <v>-38</v>
      </c>
      <c r="AL66" s="282"/>
      <c r="AM66" s="282">
        <v>0</v>
      </c>
      <c r="AN66" s="282">
        <v>-38</v>
      </c>
      <c r="AO66" s="282">
        <v>-38</v>
      </c>
      <c r="AP66" s="282">
        <v>-38</v>
      </c>
      <c r="AQ66" s="282">
        <v>-38</v>
      </c>
      <c r="AR66" s="153"/>
      <c r="AS66" s="282">
        <v>831</v>
      </c>
      <c r="AT66" s="282">
        <v>653.25</v>
      </c>
      <c r="AU66" s="282">
        <v>630.24999999999989</v>
      </c>
      <c r="AV66" s="282">
        <v>613.25</v>
      </c>
      <c r="AW66" s="283">
        <v>580.25</v>
      </c>
      <c r="AX66" s="284"/>
      <c r="AY66" s="282">
        <v>786</v>
      </c>
      <c r="AZ66" s="282">
        <v>598.25</v>
      </c>
      <c r="BA66" s="282">
        <v>554.25</v>
      </c>
      <c r="BB66" s="282">
        <v>494.25</v>
      </c>
      <c r="BC66" s="283">
        <v>387.25</v>
      </c>
      <c r="BE66" s="282">
        <v>52</v>
      </c>
      <c r="BF66" s="282">
        <v>230</v>
      </c>
      <c r="BG66" s="282">
        <v>253</v>
      </c>
      <c r="BH66" s="282">
        <v>270</v>
      </c>
      <c r="BI66" s="283">
        <v>303</v>
      </c>
      <c r="BJ66" s="150"/>
      <c r="BK66" s="282">
        <v>97</v>
      </c>
      <c r="BL66" s="282">
        <v>315</v>
      </c>
      <c r="BM66" s="282">
        <v>379</v>
      </c>
      <c r="BN66" s="282">
        <v>429</v>
      </c>
      <c r="BO66" s="283">
        <v>556</v>
      </c>
    </row>
    <row r="67" spans="2:67">
      <c r="B67" s="273" t="s">
        <v>62</v>
      </c>
      <c r="C67" s="286" t="s">
        <v>590</v>
      </c>
      <c r="D67" s="189">
        <v>983</v>
      </c>
      <c r="E67" s="115">
        <v>3.25</v>
      </c>
      <c r="F67" s="237" t="s">
        <v>190</v>
      </c>
      <c r="G67" s="314"/>
      <c r="I67" s="267">
        <v>39</v>
      </c>
      <c r="J67" s="267">
        <v>54</v>
      </c>
      <c r="K67" s="267">
        <v>184</v>
      </c>
      <c r="L67" s="267">
        <v>218</v>
      </c>
      <c r="M67" s="268">
        <v>251</v>
      </c>
      <c r="O67" s="267">
        <v>79</v>
      </c>
      <c r="P67" s="267">
        <v>124</v>
      </c>
      <c r="Q67" s="267">
        <v>291</v>
      </c>
      <c r="R67" s="267">
        <v>396</v>
      </c>
      <c r="S67" s="268">
        <v>538</v>
      </c>
      <c r="U67" s="267">
        <v>52</v>
      </c>
      <c r="V67" s="267">
        <v>230</v>
      </c>
      <c r="W67" s="267">
        <v>253</v>
      </c>
      <c r="X67" s="267">
        <v>270</v>
      </c>
      <c r="Y67" s="268">
        <v>303</v>
      </c>
      <c r="AA67" s="267">
        <v>97</v>
      </c>
      <c r="AB67" s="267">
        <v>285</v>
      </c>
      <c r="AC67" s="267">
        <v>329</v>
      </c>
      <c r="AD67" s="267">
        <v>389</v>
      </c>
      <c r="AE67" s="268">
        <v>496</v>
      </c>
      <c r="AG67" s="282">
        <v>0</v>
      </c>
      <c r="AH67" s="282">
        <v>-38</v>
      </c>
      <c r="AI67" s="282">
        <v>-38</v>
      </c>
      <c r="AJ67" s="282">
        <v>-38</v>
      </c>
      <c r="AK67" s="282">
        <v>-38</v>
      </c>
      <c r="AL67" s="282"/>
      <c r="AM67" s="282">
        <v>0</v>
      </c>
      <c r="AN67" s="282">
        <v>-38</v>
      </c>
      <c r="AO67" s="282">
        <v>-38</v>
      </c>
      <c r="AP67" s="282">
        <v>-38</v>
      </c>
      <c r="AQ67" s="282">
        <v>-38</v>
      </c>
      <c r="AR67" s="153"/>
      <c r="AS67" s="282">
        <v>931</v>
      </c>
      <c r="AT67" s="282">
        <v>753.25</v>
      </c>
      <c r="AU67" s="282">
        <v>730.24999999999989</v>
      </c>
      <c r="AV67" s="282">
        <v>713.25</v>
      </c>
      <c r="AW67" s="283">
        <v>680.25</v>
      </c>
      <c r="AX67" s="284"/>
      <c r="AY67" s="282">
        <v>886</v>
      </c>
      <c r="AZ67" s="282">
        <v>698.25</v>
      </c>
      <c r="BA67" s="282">
        <v>654.25</v>
      </c>
      <c r="BB67" s="282">
        <v>594.25</v>
      </c>
      <c r="BC67" s="283">
        <v>487.25</v>
      </c>
      <c r="BE67" s="267">
        <v>52</v>
      </c>
      <c r="BF67" s="267">
        <v>230</v>
      </c>
      <c r="BG67" s="267">
        <v>253</v>
      </c>
      <c r="BH67" s="267">
        <v>270</v>
      </c>
      <c r="BI67" s="268">
        <v>303</v>
      </c>
      <c r="BJ67" s="150"/>
      <c r="BK67" s="267">
        <v>97</v>
      </c>
      <c r="BL67" s="267">
        <v>315</v>
      </c>
      <c r="BM67" s="267">
        <v>379</v>
      </c>
      <c r="BN67" s="267">
        <v>429</v>
      </c>
      <c r="BO67" s="268">
        <v>556</v>
      </c>
    </row>
    <row r="68" spans="2:67">
      <c r="B68" s="280" t="s">
        <v>62</v>
      </c>
      <c r="C68" s="281" t="s">
        <v>591</v>
      </c>
      <c r="D68" s="188">
        <v>998</v>
      </c>
      <c r="E68" s="114">
        <v>3.25</v>
      </c>
      <c r="F68" s="239" t="s">
        <v>190</v>
      </c>
      <c r="G68" s="315"/>
      <c r="I68" s="265">
        <v>39</v>
      </c>
      <c r="J68" s="265">
        <v>54</v>
      </c>
      <c r="K68" s="265">
        <v>198</v>
      </c>
      <c r="L68" s="265">
        <v>232</v>
      </c>
      <c r="M68" s="266">
        <v>265</v>
      </c>
      <c r="O68" s="265">
        <v>79</v>
      </c>
      <c r="P68" s="265">
        <v>124</v>
      </c>
      <c r="Q68" s="265">
        <v>305</v>
      </c>
      <c r="R68" s="265">
        <v>410</v>
      </c>
      <c r="S68" s="266">
        <v>552</v>
      </c>
      <c r="U68" s="265">
        <v>52</v>
      </c>
      <c r="V68" s="265">
        <v>230</v>
      </c>
      <c r="W68" s="265">
        <v>253</v>
      </c>
      <c r="X68" s="265">
        <v>270</v>
      </c>
      <c r="Y68" s="266">
        <v>303</v>
      </c>
      <c r="AA68" s="265">
        <v>97</v>
      </c>
      <c r="AB68" s="265">
        <v>285</v>
      </c>
      <c r="AC68" s="265">
        <v>329</v>
      </c>
      <c r="AD68" s="265">
        <v>389</v>
      </c>
      <c r="AE68" s="266">
        <v>496</v>
      </c>
      <c r="AG68" s="282">
        <v>0</v>
      </c>
      <c r="AH68" s="282">
        <v>-38</v>
      </c>
      <c r="AI68" s="282">
        <v>-38</v>
      </c>
      <c r="AJ68" s="282">
        <v>-38</v>
      </c>
      <c r="AK68" s="282">
        <v>-38</v>
      </c>
      <c r="AL68" s="282"/>
      <c r="AM68" s="282">
        <v>0</v>
      </c>
      <c r="AN68" s="282">
        <v>-38</v>
      </c>
      <c r="AO68" s="282">
        <v>-38</v>
      </c>
      <c r="AP68" s="282">
        <v>-38</v>
      </c>
      <c r="AQ68" s="282">
        <v>-38</v>
      </c>
      <c r="AR68" s="153"/>
      <c r="AS68" s="282">
        <v>946</v>
      </c>
      <c r="AT68" s="282">
        <v>768.25</v>
      </c>
      <c r="AU68" s="282">
        <v>745.24999999999989</v>
      </c>
      <c r="AV68" s="282">
        <v>728.25</v>
      </c>
      <c r="AW68" s="283">
        <v>695.25</v>
      </c>
      <c r="AX68" s="284"/>
      <c r="AY68" s="282">
        <v>901</v>
      </c>
      <c r="AZ68" s="282">
        <v>713.25</v>
      </c>
      <c r="BA68" s="282">
        <v>669.25</v>
      </c>
      <c r="BB68" s="282">
        <v>609.25</v>
      </c>
      <c r="BC68" s="283">
        <v>502.25</v>
      </c>
      <c r="BE68" s="265">
        <v>52</v>
      </c>
      <c r="BF68" s="265">
        <v>230</v>
      </c>
      <c r="BG68" s="265">
        <v>253</v>
      </c>
      <c r="BH68" s="265">
        <v>270</v>
      </c>
      <c r="BI68" s="266">
        <v>303</v>
      </c>
      <c r="BJ68" s="150"/>
      <c r="BK68" s="265">
        <v>97</v>
      </c>
      <c r="BL68" s="265">
        <v>315</v>
      </c>
      <c r="BM68" s="265">
        <v>379</v>
      </c>
      <c r="BN68" s="265">
        <v>429</v>
      </c>
      <c r="BO68" s="266">
        <v>556</v>
      </c>
    </row>
    <row r="69" spans="2:67">
      <c r="B69" s="273" t="s">
        <v>62</v>
      </c>
      <c r="C69" s="286" t="s">
        <v>592</v>
      </c>
      <c r="D69" s="189">
        <v>1097</v>
      </c>
      <c r="E69" s="115">
        <v>3.25</v>
      </c>
      <c r="F69" s="237" t="s">
        <v>190</v>
      </c>
      <c r="G69" s="314"/>
      <c r="I69" s="267">
        <v>39</v>
      </c>
      <c r="J69" s="267">
        <v>54</v>
      </c>
      <c r="K69" s="267">
        <v>184</v>
      </c>
      <c r="L69" s="267">
        <v>218</v>
      </c>
      <c r="M69" s="268">
        <v>251</v>
      </c>
      <c r="O69" s="267">
        <v>79</v>
      </c>
      <c r="P69" s="267">
        <v>124</v>
      </c>
      <c r="Q69" s="267">
        <v>291</v>
      </c>
      <c r="R69" s="267">
        <v>396</v>
      </c>
      <c r="S69" s="268">
        <v>538</v>
      </c>
      <c r="U69" s="267">
        <v>52</v>
      </c>
      <c r="V69" s="267">
        <v>230</v>
      </c>
      <c r="W69" s="267">
        <v>253</v>
      </c>
      <c r="X69" s="267">
        <v>270</v>
      </c>
      <c r="Y69" s="268">
        <v>303</v>
      </c>
      <c r="AA69" s="267">
        <v>97</v>
      </c>
      <c r="AB69" s="267">
        <v>285</v>
      </c>
      <c r="AC69" s="267">
        <v>329</v>
      </c>
      <c r="AD69" s="267">
        <v>389</v>
      </c>
      <c r="AE69" s="268">
        <v>496</v>
      </c>
      <c r="AG69" s="282">
        <v>0</v>
      </c>
      <c r="AH69" s="282">
        <v>-38</v>
      </c>
      <c r="AI69" s="282">
        <v>-38</v>
      </c>
      <c r="AJ69" s="282">
        <v>-38</v>
      </c>
      <c r="AK69" s="282">
        <v>-38</v>
      </c>
      <c r="AL69" s="282"/>
      <c r="AM69" s="282">
        <v>0</v>
      </c>
      <c r="AN69" s="282">
        <v>-38</v>
      </c>
      <c r="AO69" s="282">
        <v>-38</v>
      </c>
      <c r="AP69" s="282">
        <v>-38</v>
      </c>
      <c r="AQ69" s="282">
        <v>-38</v>
      </c>
      <c r="AR69" s="153"/>
      <c r="AS69" s="282">
        <v>1045</v>
      </c>
      <c r="AT69" s="282">
        <v>867.25</v>
      </c>
      <c r="AU69" s="282">
        <v>844.24999999999989</v>
      </c>
      <c r="AV69" s="282">
        <v>827.25</v>
      </c>
      <c r="AW69" s="283">
        <v>794.25</v>
      </c>
      <c r="AX69" s="284"/>
      <c r="AY69" s="282">
        <v>1000</v>
      </c>
      <c r="AZ69" s="282">
        <v>812.25</v>
      </c>
      <c r="BA69" s="282">
        <v>768.25</v>
      </c>
      <c r="BB69" s="282">
        <v>708.25</v>
      </c>
      <c r="BC69" s="283">
        <v>601.25</v>
      </c>
      <c r="BE69" s="267">
        <v>52</v>
      </c>
      <c r="BF69" s="267">
        <v>230</v>
      </c>
      <c r="BG69" s="267">
        <v>253</v>
      </c>
      <c r="BH69" s="267">
        <v>270</v>
      </c>
      <c r="BI69" s="268">
        <v>303</v>
      </c>
      <c r="BJ69" s="150"/>
      <c r="BK69" s="267">
        <v>97</v>
      </c>
      <c r="BL69" s="267">
        <v>315</v>
      </c>
      <c r="BM69" s="267">
        <v>379</v>
      </c>
      <c r="BN69" s="267">
        <v>429</v>
      </c>
      <c r="BO69" s="268">
        <v>556</v>
      </c>
    </row>
    <row r="70" spans="2:67">
      <c r="B70" s="280" t="s">
        <v>62</v>
      </c>
      <c r="C70" s="281" t="s">
        <v>593</v>
      </c>
      <c r="D70" s="188">
        <v>1074</v>
      </c>
      <c r="E70" s="114">
        <v>3.25</v>
      </c>
      <c r="F70" s="239" t="s">
        <v>190</v>
      </c>
      <c r="G70" s="315"/>
      <c r="I70" s="282">
        <v>39</v>
      </c>
      <c r="J70" s="282">
        <v>54</v>
      </c>
      <c r="K70" s="282">
        <v>184</v>
      </c>
      <c r="L70" s="282">
        <v>218</v>
      </c>
      <c r="M70" s="283">
        <v>251</v>
      </c>
      <c r="O70" s="282">
        <v>79</v>
      </c>
      <c r="P70" s="282">
        <v>124</v>
      </c>
      <c r="Q70" s="282">
        <v>291</v>
      </c>
      <c r="R70" s="282">
        <v>396</v>
      </c>
      <c r="S70" s="283">
        <v>538</v>
      </c>
      <c r="U70" s="282">
        <v>52</v>
      </c>
      <c r="V70" s="282">
        <v>232</v>
      </c>
      <c r="W70" s="282">
        <v>255</v>
      </c>
      <c r="X70" s="282">
        <v>272</v>
      </c>
      <c r="Y70" s="283">
        <v>305</v>
      </c>
      <c r="AA70" s="282">
        <v>97</v>
      </c>
      <c r="AB70" s="282">
        <v>287</v>
      </c>
      <c r="AC70" s="282">
        <v>331</v>
      </c>
      <c r="AD70" s="282">
        <v>391</v>
      </c>
      <c r="AE70" s="283">
        <v>498</v>
      </c>
      <c r="AG70" s="282">
        <v>0</v>
      </c>
      <c r="AH70" s="282">
        <v>-40</v>
      </c>
      <c r="AI70" s="282">
        <v>-40</v>
      </c>
      <c r="AJ70" s="282">
        <v>-40</v>
      </c>
      <c r="AK70" s="282">
        <v>-40</v>
      </c>
      <c r="AL70" s="282"/>
      <c r="AM70" s="282">
        <v>0</v>
      </c>
      <c r="AN70" s="282">
        <v>-40</v>
      </c>
      <c r="AO70" s="282">
        <v>-40</v>
      </c>
      <c r="AP70" s="282">
        <v>-40</v>
      </c>
      <c r="AQ70" s="282">
        <v>-40</v>
      </c>
      <c r="AR70" s="153"/>
      <c r="AS70" s="282">
        <v>1022</v>
      </c>
      <c r="AT70" s="282">
        <v>842.25</v>
      </c>
      <c r="AU70" s="282">
        <v>819.24999999999989</v>
      </c>
      <c r="AV70" s="282">
        <v>802.25</v>
      </c>
      <c r="AW70" s="283">
        <v>769.25</v>
      </c>
      <c r="AX70" s="284"/>
      <c r="AY70" s="282">
        <v>977</v>
      </c>
      <c r="AZ70" s="282">
        <v>787.25</v>
      </c>
      <c r="BA70" s="282">
        <v>743.25</v>
      </c>
      <c r="BB70" s="282">
        <v>683.25</v>
      </c>
      <c r="BC70" s="283">
        <v>576.25</v>
      </c>
      <c r="BE70" s="282">
        <v>52</v>
      </c>
      <c r="BF70" s="282">
        <v>232</v>
      </c>
      <c r="BG70" s="282">
        <v>255</v>
      </c>
      <c r="BH70" s="282">
        <v>272</v>
      </c>
      <c r="BI70" s="283">
        <v>305</v>
      </c>
      <c r="BJ70" s="150"/>
      <c r="BK70" s="282">
        <v>97</v>
      </c>
      <c r="BL70" s="282">
        <v>317</v>
      </c>
      <c r="BM70" s="282">
        <v>381</v>
      </c>
      <c r="BN70" s="282">
        <v>431</v>
      </c>
      <c r="BO70" s="283">
        <v>558</v>
      </c>
    </row>
    <row r="71" spans="2:67">
      <c r="B71" s="273" t="s">
        <v>62</v>
      </c>
      <c r="C71" s="286" t="s">
        <v>594</v>
      </c>
      <c r="D71" s="189">
        <v>1174</v>
      </c>
      <c r="E71" s="115">
        <v>3.25</v>
      </c>
      <c r="F71" s="237" t="s">
        <v>190</v>
      </c>
      <c r="G71" s="314"/>
      <c r="I71" s="267">
        <v>39</v>
      </c>
      <c r="J71" s="267">
        <v>54</v>
      </c>
      <c r="K71" s="267">
        <v>198</v>
      </c>
      <c r="L71" s="267">
        <v>232</v>
      </c>
      <c r="M71" s="268">
        <v>265</v>
      </c>
      <c r="O71" s="267">
        <v>79</v>
      </c>
      <c r="P71" s="267">
        <v>124</v>
      </c>
      <c r="Q71" s="267">
        <v>305</v>
      </c>
      <c r="R71" s="267">
        <v>410</v>
      </c>
      <c r="S71" s="268">
        <v>552</v>
      </c>
      <c r="U71" s="267">
        <v>52</v>
      </c>
      <c r="V71" s="267">
        <v>232</v>
      </c>
      <c r="W71" s="267">
        <v>255</v>
      </c>
      <c r="X71" s="267">
        <v>272</v>
      </c>
      <c r="Y71" s="268">
        <v>305</v>
      </c>
      <c r="AA71" s="267">
        <v>97</v>
      </c>
      <c r="AB71" s="267">
        <v>287</v>
      </c>
      <c r="AC71" s="267">
        <v>331</v>
      </c>
      <c r="AD71" s="267">
        <v>391</v>
      </c>
      <c r="AE71" s="268">
        <v>498</v>
      </c>
      <c r="AG71" s="282">
        <v>0</v>
      </c>
      <c r="AH71" s="282">
        <v>-40</v>
      </c>
      <c r="AI71" s="282">
        <v>-40</v>
      </c>
      <c r="AJ71" s="282">
        <v>-40</v>
      </c>
      <c r="AK71" s="282">
        <v>-40</v>
      </c>
      <c r="AL71" s="282"/>
      <c r="AM71" s="282">
        <v>0</v>
      </c>
      <c r="AN71" s="282">
        <v>-40</v>
      </c>
      <c r="AO71" s="282">
        <v>-40</v>
      </c>
      <c r="AP71" s="282">
        <v>-40</v>
      </c>
      <c r="AQ71" s="282">
        <v>-40</v>
      </c>
      <c r="AR71" s="153"/>
      <c r="AS71" s="282">
        <v>1122</v>
      </c>
      <c r="AT71" s="282">
        <v>942.25</v>
      </c>
      <c r="AU71" s="282">
        <v>919.25</v>
      </c>
      <c r="AV71" s="282">
        <v>902.25</v>
      </c>
      <c r="AW71" s="283">
        <v>869.25</v>
      </c>
      <c r="AX71" s="284"/>
      <c r="AY71" s="282">
        <v>1077</v>
      </c>
      <c r="AZ71" s="282">
        <v>887.25</v>
      </c>
      <c r="BA71" s="282">
        <v>843.25</v>
      </c>
      <c r="BB71" s="282">
        <v>783.25</v>
      </c>
      <c r="BC71" s="283">
        <v>676.25</v>
      </c>
      <c r="BE71" s="267">
        <v>52</v>
      </c>
      <c r="BF71" s="267">
        <v>232</v>
      </c>
      <c r="BG71" s="267">
        <v>255</v>
      </c>
      <c r="BH71" s="267">
        <v>272</v>
      </c>
      <c r="BI71" s="268">
        <v>305</v>
      </c>
      <c r="BJ71" s="150"/>
      <c r="BK71" s="267">
        <v>97</v>
      </c>
      <c r="BL71" s="267">
        <v>317</v>
      </c>
      <c r="BM71" s="267">
        <v>381</v>
      </c>
      <c r="BN71" s="267">
        <v>431</v>
      </c>
      <c r="BO71" s="268">
        <v>558</v>
      </c>
    </row>
    <row r="72" spans="2:67">
      <c r="B72" s="280" t="s">
        <v>62</v>
      </c>
      <c r="C72" s="281" t="s">
        <v>595</v>
      </c>
      <c r="D72" s="188">
        <v>1265</v>
      </c>
      <c r="E72" s="114">
        <v>3.25</v>
      </c>
      <c r="F72" s="239" t="s">
        <v>190</v>
      </c>
      <c r="G72" s="315"/>
      <c r="I72" s="265">
        <v>39</v>
      </c>
      <c r="J72" s="265">
        <v>54</v>
      </c>
      <c r="K72" s="265">
        <v>198</v>
      </c>
      <c r="L72" s="265">
        <v>232</v>
      </c>
      <c r="M72" s="266">
        <v>265</v>
      </c>
      <c r="O72" s="265">
        <v>79</v>
      </c>
      <c r="P72" s="265">
        <v>124</v>
      </c>
      <c r="Q72" s="265">
        <v>305</v>
      </c>
      <c r="R72" s="265">
        <v>410</v>
      </c>
      <c r="S72" s="266">
        <v>552</v>
      </c>
      <c r="U72" s="265">
        <v>52</v>
      </c>
      <c r="V72" s="265">
        <v>232</v>
      </c>
      <c r="W72" s="265">
        <v>255</v>
      </c>
      <c r="X72" s="265">
        <v>272</v>
      </c>
      <c r="Y72" s="266">
        <v>305</v>
      </c>
      <c r="AA72" s="265">
        <v>97</v>
      </c>
      <c r="AB72" s="265">
        <v>287</v>
      </c>
      <c r="AC72" s="265">
        <v>331</v>
      </c>
      <c r="AD72" s="265">
        <v>391</v>
      </c>
      <c r="AE72" s="266">
        <v>498</v>
      </c>
      <c r="AG72" s="282">
        <v>0</v>
      </c>
      <c r="AH72" s="282">
        <v>-40</v>
      </c>
      <c r="AI72" s="282">
        <v>-40</v>
      </c>
      <c r="AJ72" s="282">
        <v>-40</v>
      </c>
      <c r="AK72" s="282">
        <v>-40</v>
      </c>
      <c r="AL72" s="282"/>
      <c r="AM72" s="282">
        <v>0</v>
      </c>
      <c r="AN72" s="282">
        <v>-40</v>
      </c>
      <c r="AO72" s="282">
        <v>-40</v>
      </c>
      <c r="AP72" s="282">
        <v>-40</v>
      </c>
      <c r="AQ72" s="282">
        <v>-40</v>
      </c>
      <c r="AR72" s="153"/>
      <c r="AS72" s="282">
        <v>1213</v>
      </c>
      <c r="AT72" s="282">
        <v>1033.25</v>
      </c>
      <c r="AU72" s="282">
        <v>1010.25</v>
      </c>
      <c r="AV72" s="282">
        <v>993.25</v>
      </c>
      <c r="AW72" s="283">
        <v>960.25</v>
      </c>
      <c r="AX72" s="284"/>
      <c r="AY72" s="282">
        <v>1168</v>
      </c>
      <c r="AZ72" s="282">
        <v>978.25</v>
      </c>
      <c r="BA72" s="282">
        <v>934.25</v>
      </c>
      <c r="BB72" s="282">
        <v>874.25</v>
      </c>
      <c r="BC72" s="283">
        <v>767.25</v>
      </c>
      <c r="BE72" s="265">
        <v>52</v>
      </c>
      <c r="BF72" s="265">
        <v>232</v>
      </c>
      <c r="BG72" s="265">
        <v>255</v>
      </c>
      <c r="BH72" s="265">
        <v>272</v>
      </c>
      <c r="BI72" s="266">
        <v>305</v>
      </c>
      <c r="BJ72" s="150"/>
      <c r="BK72" s="265">
        <v>97</v>
      </c>
      <c r="BL72" s="265">
        <v>317</v>
      </c>
      <c r="BM72" s="265">
        <v>381</v>
      </c>
      <c r="BN72" s="265">
        <v>431</v>
      </c>
      <c r="BO72" s="266">
        <v>558</v>
      </c>
    </row>
    <row r="73" spans="2:67">
      <c r="B73" s="273" t="s">
        <v>62</v>
      </c>
      <c r="C73" s="286" t="s">
        <v>596</v>
      </c>
      <c r="D73" s="189">
        <v>1456</v>
      </c>
      <c r="E73" s="115">
        <v>3.25</v>
      </c>
      <c r="F73" s="237" t="s">
        <v>190</v>
      </c>
      <c r="G73" s="314"/>
      <c r="I73" s="267">
        <v>39</v>
      </c>
      <c r="J73" s="267">
        <v>54</v>
      </c>
      <c r="K73" s="267">
        <v>198</v>
      </c>
      <c r="L73" s="267">
        <v>232</v>
      </c>
      <c r="M73" s="268">
        <v>265</v>
      </c>
      <c r="O73" s="267">
        <v>79</v>
      </c>
      <c r="P73" s="267">
        <v>124</v>
      </c>
      <c r="Q73" s="267">
        <v>305</v>
      </c>
      <c r="R73" s="267">
        <v>410</v>
      </c>
      <c r="S73" s="268">
        <v>552</v>
      </c>
      <c r="U73" s="267">
        <v>52</v>
      </c>
      <c r="V73" s="267">
        <v>232</v>
      </c>
      <c r="W73" s="267">
        <v>255</v>
      </c>
      <c r="X73" s="267">
        <v>272</v>
      </c>
      <c r="Y73" s="268">
        <v>305</v>
      </c>
      <c r="AA73" s="267">
        <v>97</v>
      </c>
      <c r="AB73" s="267">
        <v>287</v>
      </c>
      <c r="AC73" s="267">
        <v>331</v>
      </c>
      <c r="AD73" s="267">
        <v>391</v>
      </c>
      <c r="AE73" s="268">
        <v>498</v>
      </c>
      <c r="AG73" s="282">
        <v>0</v>
      </c>
      <c r="AH73" s="282">
        <v>-40</v>
      </c>
      <c r="AI73" s="282">
        <v>-40</v>
      </c>
      <c r="AJ73" s="282">
        <v>-40</v>
      </c>
      <c r="AK73" s="282">
        <v>-40</v>
      </c>
      <c r="AL73" s="282"/>
      <c r="AM73" s="282">
        <v>0</v>
      </c>
      <c r="AN73" s="282">
        <v>-40</v>
      </c>
      <c r="AO73" s="282">
        <v>-40</v>
      </c>
      <c r="AP73" s="282">
        <v>-40</v>
      </c>
      <c r="AQ73" s="282">
        <v>-40</v>
      </c>
      <c r="AR73" s="153"/>
      <c r="AS73" s="282">
        <v>1404</v>
      </c>
      <c r="AT73" s="282">
        <v>1224.25</v>
      </c>
      <c r="AU73" s="282">
        <v>1201.25</v>
      </c>
      <c r="AV73" s="282">
        <v>1184.25</v>
      </c>
      <c r="AW73" s="283">
        <v>1151.25</v>
      </c>
      <c r="AX73" s="284"/>
      <c r="AY73" s="282">
        <v>1359</v>
      </c>
      <c r="AZ73" s="282">
        <v>1169.25</v>
      </c>
      <c r="BA73" s="282">
        <v>1125.25</v>
      </c>
      <c r="BB73" s="282">
        <v>1065.25</v>
      </c>
      <c r="BC73" s="283">
        <v>958.25</v>
      </c>
      <c r="BE73" s="267">
        <v>52</v>
      </c>
      <c r="BF73" s="267">
        <v>232</v>
      </c>
      <c r="BG73" s="267">
        <v>255</v>
      </c>
      <c r="BH73" s="267">
        <v>272</v>
      </c>
      <c r="BI73" s="268">
        <v>305</v>
      </c>
      <c r="BJ73" s="150"/>
      <c r="BK73" s="267">
        <v>97</v>
      </c>
      <c r="BL73" s="267">
        <v>317</v>
      </c>
      <c r="BM73" s="267">
        <v>381</v>
      </c>
      <c r="BN73" s="267">
        <v>431</v>
      </c>
      <c r="BO73" s="268">
        <v>558</v>
      </c>
    </row>
    <row r="74" spans="2:67">
      <c r="B74" s="280" t="s">
        <v>167</v>
      </c>
      <c r="C74" s="281" t="s">
        <v>425</v>
      </c>
      <c r="D74" s="188">
        <v>462</v>
      </c>
      <c r="E74" s="114">
        <v>5.33</v>
      </c>
      <c r="F74" s="239" t="s">
        <v>193</v>
      </c>
      <c r="G74" s="315"/>
      <c r="I74" s="282">
        <v>39</v>
      </c>
      <c r="J74" s="282">
        <v>54</v>
      </c>
      <c r="K74" s="282">
        <v>198</v>
      </c>
      <c r="L74" s="282">
        <v>232</v>
      </c>
      <c r="M74" s="283">
        <v>265</v>
      </c>
      <c r="O74" s="282">
        <v>79</v>
      </c>
      <c r="P74" s="282">
        <v>124</v>
      </c>
      <c r="Q74" s="282">
        <v>305</v>
      </c>
      <c r="R74" s="282">
        <v>410</v>
      </c>
      <c r="S74" s="283">
        <v>552</v>
      </c>
      <c r="U74" s="282">
        <v>129</v>
      </c>
      <c r="V74" s="282">
        <v>149</v>
      </c>
      <c r="W74" s="282">
        <v>172</v>
      </c>
      <c r="X74" s="282">
        <v>189</v>
      </c>
      <c r="Y74" s="283">
        <v>222</v>
      </c>
      <c r="AA74" s="282">
        <v>174</v>
      </c>
      <c r="AB74" s="282">
        <v>204</v>
      </c>
      <c r="AC74" s="282">
        <v>253</v>
      </c>
      <c r="AD74" s="282">
        <v>318</v>
      </c>
      <c r="AE74" s="283">
        <v>430</v>
      </c>
      <c r="AG74" s="282">
        <v>40</v>
      </c>
      <c r="AH74" s="282">
        <v>40</v>
      </c>
      <c r="AI74" s="282">
        <v>40</v>
      </c>
      <c r="AJ74" s="282">
        <v>40</v>
      </c>
      <c r="AK74" s="282">
        <v>40</v>
      </c>
      <c r="AL74" s="282"/>
      <c r="AM74" s="282">
        <v>40</v>
      </c>
      <c r="AN74" s="282">
        <v>40</v>
      </c>
      <c r="AO74" s="282">
        <v>40</v>
      </c>
      <c r="AP74" s="282">
        <v>40</v>
      </c>
      <c r="AQ74" s="282">
        <v>40</v>
      </c>
      <c r="AR74" s="153"/>
      <c r="AS74" s="282">
        <v>333.33</v>
      </c>
      <c r="AT74" s="282">
        <v>313.33</v>
      </c>
      <c r="AU74" s="282">
        <v>290.32999999999987</v>
      </c>
      <c r="AV74" s="282">
        <v>273.33</v>
      </c>
      <c r="AW74" s="283">
        <v>240.32999999999998</v>
      </c>
      <c r="AX74" s="284"/>
      <c r="AY74" s="282">
        <v>288.33000000000004</v>
      </c>
      <c r="AZ74" s="282">
        <v>258.33</v>
      </c>
      <c r="BA74" s="282">
        <v>209.32999999999998</v>
      </c>
      <c r="BB74" s="282">
        <v>144.32999999999998</v>
      </c>
      <c r="BC74" s="283">
        <v>32.329999999999984</v>
      </c>
      <c r="BE74" s="282">
        <v>129</v>
      </c>
      <c r="BF74" s="282">
        <v>149</v>
      </c>
      <c r="BG74" s="282">
        <v>172</v>
      </c>
      <c r="BH74" s="282">
        <v>189</v>
      </c>
      <c r="BI74" s="283">
        <v>222</v>
      </c>
      <c r="BJ74" s="150"/>
      <c r="BK74" s="282">
        <v>174</v>
      </c>
      <c r="BL74" s="282">
        <v>234</v>
      </c>
      <c r="BM74" s="282">
        <v>303</v>
      </c>
      <c r="BN74" s="282">
        <v>358</v>
      </c>
      <c r="BO74" s="283">
        <v>490</v>
      </c>
    </row>
    <row r="75" spans="2:67">
      <c r="B75" s="273" t="s">
        <v>167</v>
      </c>
      <c r="C75" s="286" t="s">
        <v>620</v>
      </c>
      <c r="D75" s="189">
        <v>620</v>
      </c>
      <c r="E75" s="115">
        <v>5.33</v>
      </c>
      <c r="F75" s="237" t="s">
        <v>193</v>
      </c>
      <c r="G75" s="314"/>
      <c r="I75" s="267">
        <v>39</v>
      </c>
      <c r="J75" s="267">
        <v>54</v>
      </c>
      <c r="K75" s="267">
        <v>78</v>
      </c>
      <c r="L75" s="267">
        <v>112</v>
      </c>
      <c r="M75" s="268">
        <v>145</v>
      </c>
      <c r="O75" s="267">
        <v>79</v>
      </c>
      <c r="P75" s="267">
        <v>124</v>
      </c>
      <c r="Q75" s="267">
        <v>185</v>
      </c>
      <c r="R75" s="267">
        <v>290</v>
      </c>
      <c r="S75" s="268">
        <v>432</v>
      </c>
      <c r="U75" s="267">
        <v>52</v>
      </c>
      <c r="V75" s="267">
        <v>188</v>
      </c>
      <c r="W75" s="267">
        <v>211</v>
      </c>
      <c r="X75" s="267">
        <v>228</v>
      </c>
      <c r="Y75" s="268">
        <v>261</v>
      </c>
      <c r="AA75" s="267">
        <v>97</v>
      </c>
      <c r="AB75" s="267">
        <v>243</v>
      </c>
      <c r="AC75" s="267">
        <v>292</v>
      </c>
      <c r="AD75" s="267">
        <v>357</v>
      </c>
      <c r="AE75" s="268">
        <v>469</v>
      </c>
      <c r="AG75" s="282">
        <v>0</v>
      </c>
      <c r="AH75" s="282">
        <v>-50</v>
      </c>
      <c r="AI75" s="282">
        <v>-50</v>
      </c>
      <c r="AJ75" s="282">
        <v>-50</v>
      </c>
      <c r="AK75" s="282">
        <v>-50</v>
      </c>
      <c r="AL75" s="282"/>
      <c r="AM75" s="282">
        <v>0</v>
      </c>
      <c r="AN75" s="282">
        <v>-50</v>
      </c>
      <c r="AO75" s="282">
        <v>-50</v>
      </c>
      <c r="AP75" s="282">
        <v>-50</v>
      </c>
      <c r="AQ75" s="282">
        <v>-50</v>
      </c>
      <c r="AR75" s="153"/>
      <c r="AS75" s="282">
        <v>568</v>
      </c>
      <c r="AT75" s="282">
        <v>431.59000000000003</v>
      </c>
      <c r="AU75" s="282">
        <v>408.58999999999992</v>
      </c>
      <c r="AV75" s="282">
        <v>391.59000000000003</v>
      </c>
      <c r="AW75" s="283">
        <v>358.59000000000003</v>
      </c>
      <c r="AX75" s="284"/>
      <c r="AY75" s="282">
        <v>523</v>
      </c>
      <c r="AZ75" s="282">
        <v>376.59000000000003</v>
      </c>
      <c r="BA75" s="282">
        <v>327.59000000000003</v>
      </c>
      <c r="BB75" s="282">
        <v>262.59000000000003</v>
      </c>
      <c r="BC75" s="283">
        <v>150.59000000000003</v>
      </c>
      <c r="BE75" s="267">
        <v>52</v>
      </c>
      <c r="BF75" s="267">
        <v>188</v>
      </c>
      <c r="BG75" s="267">
        <v>211</v>
      </c>
      <c r="BH75" s="267">
        <v>228</v>
      </c>
      <c r="BI75" s="268">
        <v>261</v>
      </c>
      <c r="BJ75" s="150"/>
      <c r="BK75" s="267">
        <v>97</v>
      </c>
      <c r="BL75" s="267">
        <v>273</v>
      </c>
      <c r="BM75" s="267">
        <v>342</v>
      </c>
      <c r="BN75" s="267">
        <v>397</v>
      </c>
      <c r="BO75" s="268">
        <v>529</v>
      </c>
    </row>
    <row r="76" spans="2:67">
      <c r="B76" s="280" t="s">
        <v>167</v>
      </c>
      <c r="C76" s="281" t="s">
        <v>410</v>
      </c>
      <c r="D76" s="188">
        <v>638</v>
      </c>
      <c r="E76" s="114">
        <v>5.33</v>
      </c>
      <c r="F76" s="239" t="s">
        <v>193</v>
      </c>
      <c r="G76" s="315"/>
      <c r="I76" s="265">
        <v>39</v>
      </c>
      <c r="J76" s="265">
        <v>54</v>
      </c>
      <c r="K76" s="265">
        <v>78</v>
      </c>
      <c r="L76" s="265">
        <v>112</v>
      </c>
      <c r="M76" s="266">
        <v>145</v>
      </c>
      <c r="O76" s="265">
        <v>79</v>
      </c>
      <c r="P76" s="265">
        <v>124</v>
      </c>
      <c r="Q76" s="265">
        <v>185</v>
      </c>
      <c r="R76" s="265">
        <v>290</v>
      </c>
      <c r="S76" s="266">
        <v>432</v>
      </c>
      <c r="U76" s="265">
        <v>52</v>
      </c>
      <c r="V76" s="265">
        <v>156</v>
      </c>
      <c r="W76" s="265">
        <v>179</v>
      </c>
      <c r="X76" s="265">
        <v>196</v>
      </c>
      <c r="Y76" s="266">
        <v>229</v>
      </c>
      <c r="AA76" s="265">
        <v>97</v>
      </c>
      <c r="AB76" s="265">
        <v>211</v>
      </c>
      <c r="AC76" s="265">
        <v>260</v>
      </c>
      <c r="AD76" s="265">
        <v>419</v>
      </c>
      <c r="AE76" s="266">
        <v>529</v>
      </c>
      <c r="AG76" s="282">
        <v>0</v>
      </c>
      <c r="AH76" s="282">
        <v>0</v>
      </c>
      <c r="AI76" s="282">
        <v>0</v>
      </c>
      <c r="AJ76" s="282">
        <v>0</v>
      </c>
      <c r="AK76" s="282">
        <v>0</v>
      </c>
      <c r="AL76" s="282"/>
      <c r="AM76" s="282">
        <v>0</v>
      </c>
      <c r="AN76" s="282">
        <v>0</v>
      </c>
      <c r="AO76" s="282">
        <v>0</v>
      </c>
      <c r="AP76" s="282">
        <v>0</v>
      </c>
      <c r="AQ76" s="282">
        <v>0</v>
      </c>
      <c r="AR76" s="153"/>
      <c r="AS76" s="282">
        <v>586</v>
      </c>
      <c r="AT76" s="282">
        <v>481.59000000000003</v>
      </c>
      <c r="AU76" s="282">
        <v>458.58999999999992</v>
      </c>
      <c r="AV76" s="282">
        <v>441.59000000000003</v>
      </c>
      <c r="AW76" s="283">
        <v>408.59000000000003</v>
      </c>
      <c r="AX76" s="284"/>
      <c r="AY76" s="282">
        <v>541</v>
      </c>
      <c r="AZ76" s="282">
        <v>426.59000000000003</v>
      </c>
      <c r="BA76" s="282">
        <v>377.59000000000003</v>
      </c>
      <c r="BB76" s="282">
        <v>218.59000000000003</v>
      </c>
      <c r="BC76" s="283">
        <v>108.59000000000003</v>
      </c>
      <c r="BE76" s="265">
        <v>52</v>
      </c>
      <c r="BF76" s="265">
        <v>156</v>
      </c>
      <c r="BG76" s="265">
        <v>179</v>
      </c>
      <c r="BH76" s="265">
        <v>196</v>
      </c>
      <c r="BI76" s="266">
        <v>229</v>
      </c>
      <c r="BJ76" s="150"/>
      <c r="BK76" s="265">
        <v>97</v>
      </c>
      <c r="BL76" s="265">
        <v>241</v>
      </c>
      <c r="BM76" s="265">
        <v>310</v>
      </c>
      <c r="BN76" s="265">
        <v>459</v>
      </c>
      <c r="BO76" s="266">
        <v>589</v>
      </c>
    </row>
    <row r="77" spans="2:67">
      <c r="B77" s="273" t="s">
        <v>167</v>
      </c>
      <c r="C77" s="286" t="s">
        <v>597</v>
      </c>
      <c r="D77" s="189">
        <v>915</v>
      </c>
      <c r="E77" s="115">
        <v>5.33</v>
      </c>
      <c r="F77" s="237" t="s">
        <v>193</v>
      </c>
      <c r="G77" s="314"/>
      <c r="I77" s="267">
        <v>39</v>
      </c>
      <c r="J77" s="267">
        <v>54</v>
      </c>
      <c r="K77" s="267">
        <v>78</v>
      </c>
      <c r="L77" s="267">
        <v>112</v>
      </c>
      <c r="M77" s="268">
        <v>145</v>
      </c>
      <c r="O77" s="267">
        <v>79</v>
      </c>
      <c r="P77" s="267">
        <v>124</v>
      </c>
      <c r="Q77" s="267">
        <v>190</v>
      </c>
      <c r="R77" s="267">
        <v>300</v>
      </c>
      <c r="S77" s="268">
        <v>447</v>
      </c>
      <c r="U77" s="267">
        <v>52</v>
      </c>
      <c r="V77" s="267">
        <v>243</v>
      </c>
      <c r="W77" s="267">
        <v>266</v>
      </c>
      <c r="X77" s="267">
        <v>283</v>
      </c>
      <c r="Y77" s="268">
        <v>316</v>
      </c>
      <c r="AA77" s="267">
        <v>97</v>
      </c>
      <c r="AB77" s="267">
        <v>298</v>
      </c>
      <c r="AC77" s="267">
        <v>347</v>
      </c>
      <c r="AD77" s="267">
        <v>412</v>
      </c>
      <c r="AE77" s="268">
        <v>524</v>
      </c>
      <c r="AG77" s="282">
        <v>0</v>
      </c>
      <c r="AH77" s="282">
        <v>0</v>
      </c>
      <c r="AI77" s="282">
        <v>0</v>
      </c>
      <c r="AJ77" s="282">
        <v>0</v>
      </c>
      <c r="AK77" s="282">
        <v>0</v>
      </c>
      <c r="AL77" s="282"/>
      <c r="AM77" s="282">
        <v>0</v>
      </c>
      <c r="AN77" s="282">
        <v>0</v>
      </c>
      <c r="AO77" s="282">
        <v>0</v>
      </c>
      <c r="AP77" s="282">
        <v>0</v>
      </c>
      <c r="AQ77" s="282">
        <v>0</v>
      </c>
      <c r="AR77" s="153"/>
      <c r="AS77" s="282">
        <v>863</v>
      </c>
      <c r="AT77" s="282">
        <v>672.33</v>
      </c>
      <c r="AU77" s="282">
        <v>649.32999999999993</v>
      </c>
      <c r="AV77" s="282">
        <v>632.33000000000004</v>
      </c>
      <c r="AW77" s="283">
        <v>599.33000000000004</v>
      </c>
      <c r="AX77" s="284"/>
      <c r="AY77" s="282">
        <v>818</v>
      </c>
      <c r="AZ77" s="282">
        <v>617.33000000000004</v>
      </c>
      <c r="BA77" s="282">
        <v>568.33000000000004</v>
      </c>
      <c r="BB77" s="282">
        <v>503.33000000000004</v>
      </c>
      <c r="BC77" s="283">
        <v>391.33000000000004</v>
      </c>
      <c r="BE77" s="267">
        <v>52</v>
      </c>
      <c r="BF77" s="267">
        <v>243</v>
      </c>
      <c r="BG77" s="267">
        <v>266</v>
      </c>
      <c r="BH77" s="267">
        <v>283</v>
      </c>
      <c r="BI77" s="268">
        <v>316</v>
      </c>
      <c r="BJ77" s="150"/>
      <c r="BK77" s="267">
        <v>97</v>
      </c>
      <c r="BL77" s="267">
        <v>328</v>
      </c>
      <c r="BM77" s="267">
        <v>397</v>
      </c>
      <c r="BN77" s="267">
        <v>452</v>
      </c>
      <c r="BO77" s="268">
        <v>584</v>
      </c>
    </row>
    <row r="78" spans="2:67">
      <c r="B78" s="280" t="s">
        <v>167</v>
      </c>
      <c r="C78" s="281" t="s">
        <v>450</v>
      </c>
      <c r="D78" s="188">
        <v>948</v>
      </c>
      <c r="E78" s="114">
        <v>5.33</v>
      </c>
      <c r="F78" s="239" t="s">
        <v>193</v>
      </c>
      <c r="G78" s="315"/>
      <c r="I78" s="282">
        <v>39</v>
      </c>
      <c r="J78" s="282">
        <v>54</v>
      </c>
      <c r="K78" s="282">
        <v>78</v>
      </c>
      <c r="L78" s="282">
        <v>112</v>
      </c>
      <c r="M78" s="283">
        <v>145</v>
      </c>
      <c r="O78" s="282">
        <v>79</v>
      </c>
      <c r="P78" s="282">
        <v>124</v>
      </c>
      <c r="Q78" s="282">
        <v>190</v>
      </c>
      <c r="R78" s="282">
        <v>300</v>
      </c>
      <c r="S78" s="283">
        <v>312</v>
      </c>
      <c r="U78" s="282">
        <v>52</v>
      </c>
      <c r="V78" s="282">
        <v>190</v>
      </c>
      <c r="W78" s="282">
        <v>213</v>
      </c>
      <c r="X78" s="282">
        <v>230</v>
      </c>
      <c r="Y78" s="283">
        <v>263</v>
      </c>
      <c r="AA78" s="282">
        <v>97</v>
      </c>
      <c r="AB78" s="282">
        <v>245</v>
      </c>
      <c r="AC78" s="282">
        <v>294</v>
      </c>
      <c r="AD78" s="282">
        <v>359</v>
      </c>
      <c r="AE78" s="283">
        <v>471</v>
      </c>
      <c r="AG78" s="282">
        <v>0</v>
      </c>
      <c r="AH78" s="282">
        <v>30</v>
      </c>
      <c r="AI78" s="282">
        <v>30</v>
      </c>
      <c r="AJ78" s="282">
        <v>30</v>
      </c>
      <c r="AK78" s="282">
        <v>30</v>
      </c>
      <c r="AL78" s="282"/>
      <c r="AM78" s="282">
        <v>0</v>
      </c>
      <c r="AN78" s="282">
        <v>30</v>
      </c>
      <c r="AO78" s="282">
        <v>30</v>
      </c>
      <c r="AP78" s="282">
        <v>30</v>
      </c>
      <c r="AQ78" s="282">
        <v>30</v>
      </c>
      <c r="AR78" s="153"/>
      <c r="AS78" s="282">
        <v>896</v>
      </c>
      <c r="AT78" s="282">
        <v>758.33</v>
      </c>
      <c r="AU78" s="282">
        <v>735.32999999999993</v>
      </c>
      <c r="AV78" s="282">
        <v>718.33</v>
      </c>
      <c r="AW78" s="283">
        <v>685.33</v>
      </c>
      <c r="AX78" s="284"/>
      <c r="AY78" s="282">
        <v>851</v>
      </c>
      <c r="AZ78" s="282">
        <v>703.33</v>
      </c>
      <c r="BA78" s="282">
        <v>654.33000000000004</v>
      </c>
      <c r="BB78" s="282">
        <v>589.33000000000004</v>
      </c>
      <c r="BC78" s="283">
        <v>477.33000000000004</v>
      </c>
      <c r="BE78" s="282">
        <v>52</v>
      </c>
      <c r="BF78" s="282">
        <v>190</v>
      </c>
      <c r="BG78" s="282">
        <v>213</v>
      </c>
      <c r="BH78" s="282">
        <v>230</v>
      </c>
      <c r="BI78" s="283">
        <v>263</v>
      </c>
      <c r="BJ78" s="150"/>
      <c r="BK78" s="282">
        <v>97</v>
      </c>
      <c r="BL78" s="282">
        <v>275</v>
      </c>
      <c r="BM78" s="282">
        <v>344</v>
      </c>
      <c r="BN78" s="282">
        <v>399</v>
      </c>
      <c r="BO78" s="283">
        <v>531</v>
      </c>
    </row>
    <row r="79" spans="2:67">
      <c r="B79" s="273" t="s">
        <v>63</v>
      </c>
      <c r="C79" s="286" t="s">
        <v>351</v>
      </c>
      <c r="D79" s="189">
        <v>215</v>
      </c>
      <c r="E79" s="115">
        <v>0</v>
      </c>
      <c r="F79" s="237" t="s">
        <v>195</v>
      </c>
      <c r="G79" s="314"/>
      <c r="I79" s="267">
        <v>39</v>
      </c>
      <c r="J79" s="267">
        <v>54</v>
      </c>
      <c r="K79" s="267">
        <v>78</v>
      </c>
      <c r="L79" s="267">
        <v>112</v>
      </c>
      <c r="M79" s="268">
        <v>145</v>
      </c>
      <c r="O79" s="267">
        <v>79</v>
      </c>
      <c r="P79" s="267">
        <v>124</v>
      </c>
      <c r="Q79" s="267">
        <v>190</v>
      </c>
      <c r="R79" s="267">
        <v>300</v>
      </c>
      <c r="S79" s="268">
        <v>310</v>
      </c>
      <c r="U79" s="267">
        <v>84</v>
      </c>
      <c r="V79" s="267">
        <v>104</v>
      </c>
      <c r="W79" s="267">
        <v>127</v>
      </c>
      <c r="X79" s="267">
        <v>144</v>
      </c>
      <c r="Y79" s="268">
        <v>177</v>
      </c>
      <c r="AA79" s="267">
        <v>129</v>
      </c>
      <c r="AB79" s="267">
        <v>159</v>
      </c>
      <c r="AC79" s="267">
        <v>208</v>
      </c>
      <c r="AD79" s="267">
        <v>273</v>
      </c>
      <c r="AE79" s="268">
        <v>280</v>
      </c>
      <c r="AG79" s="282">
        <v>0</v>
      </c>
      <c r="AH79" s="282">
        <v>0</v>
      </c>
      <c r="AI79" s="282">
        <v>0</v>
      </c>
      <c r="AJ79" s="282">
        <v>0</v>
      </c>
      <c r="AK79" s="282">
        <v>0</v>
      </c>
      <c r="AL79" s="282"/>
      <c r="AM79" s="282">
        <v>0</v>
      </c>
      <c r="AN79" s="282">
        <v>0</v>
      </c>
      <c r="AO79" s="282">
        <v>0</v>
      </c>
      <c r="AP79" s="282">
        <v>0</v>
      </c>
      <c r="AQ79" s="282">
        <v>0</v>
      </c>
      <c r="AR79" s="153"/>
      <c r="AS79" s="282">
        <v>131</v>
      </c>
      <c r="AT79" s="282">
        <v>111</v>
      </c>
      <c r="AU79" s="282">
        <v>87.999999999999886</v>
      </c>
      <c r="AV79" s="282">
        <v>71</v>
      </c>
      <c r="AW79" s="283">
        <v>38</v>
      </c>
      <c r="AX79" s="284"/>
      <c r="AY79" s="282">
        <v>86.000000000000057</v>
      </c>
      <c r="AZ79" s="282">
        <v>56</v>
      </c>
      <c r="BA79" s="282">
        <v>7</v>
      </c>
      <c r="BB79" s="282">
        <v>-58</v>
      </c>
      <c r="BC79" s="283">
        <v>-64.5</v>
      </c>
      <c r="BE79" s="267">
        <v>84</v>
      </c>
      <c r="BF79" s="267">
        <v>104</v>
      </c>
      <c r="BG79" s="267">
        <v>127</v>
      </c>
      <c r="BH79" s="267">
        <v>144</v>
      </c>
      <c r="BI79" s="268">
        <v>177</v>
      </c>
      <c r="BJ79" s="150"/>
      <c r="BK79" s="267">
        <v>129</v>
      </c>
      <c r="BL79" s="267">
        <v>159</v>
      </c>
      <c r="BM79" s="267">
        <v>208</v>
      </c>
      <c r="BN79" s="267">
        <v>273</v>
      </c>
      <c r="BO79" s="268">
        <v>280</v>
      </c>
    </row>
    <row r="80" spans="2:67">
      <c r="B80" s="280" t="s">
        <v>63</v>
      </c>
      <c r="C80" s="281" t="s">
        <v>409</v>
      </c>
      <c r="D80" s="188">
        <v>396</v>
      </c>
      <c r="E80" s="114">
        <v>0</v>
      </c>
      <c r="F80" s="239" t="s">
        <v>195</v>
      </c>
      <c r="G80" s="315"/>
      <c r="I80" s="282">
        <v>39</v>
      </c>
      <c r="J80" s="282">
        <v>54</v>
      </c>
      <c r="K80" s="282">
        <v>113</v>
      </c>
      <c r="L80" s="282">
        <v>147</v>
      </c>
      <c r="M80" s="283">
        <v>180</v>
      </c>
      <c r="O80" s="282">
        <v>79</v>
      </c>
      <c r="P80" s="282">
        <v>124</v>
      </c>
      <c r="Q80" s="282">
        <v>226</v>
      </c>
      <c r="R80" s="282">
        <v>336</v>
      </c>
      <c r="S80" s="283">
        <v>482</v>
      </c>
      <c r="U80" s="282">
        <v>161</v>
      </c>
      <c r="V80" s="282">
        <v>181</v>
      </c>
      <c r="W80" s="282">
        <v>204</v>
      </c>
      <c r="X80" s="282">
        <v>221</v>
      </c>
      <c r="Y80" s="283">
        <v>254</v>
      </c>
      <c r="AA80" s="282">
        <v>206</v>
      </c>
      <c r="AB80" s="282">
        <v>236</v>
      </c>
      <c r="AC80" s="282">
        <v>285</v>
      </c>
      <c r="AD80" s="282">
        <v>350</v>
      </c>
      <c r="AE80" s="283">
        <v>462</v>
      </c>
      <c r="AG80" s="282">
        <v>0</v>
      </c>
      <c r="AH80" s="282">
        <v>0</v>
      </c>
      <c r="AI80" s="282">
        <v>0</v>
      </c>
      <c r="AJ80" s="282">
        <v>0</v>
      </c>
      <c r="AK80" s="282">
        <v>0</v>
      </c>
      <c r="AL80" s="282"/>
      <c r="AM80" s="282">
        <v>0</v>
      </c>
      <c r="AN80" s="282">
        <v>0</v>
      </c>
      <c r="AO80" s="282">
        <v>0</v>
      </c>
      <c r="AP80" s="282">
        <v>0</v>
      </c>
      <c r="AQ80" s="282">
        <v>0</v>
      </c>
      <c r="AR80" s="153"/>
      <c r="AS80" s="282">
        <v>235</v>
      </c>
      <c r="AT80" s="282">
        <v>215</v>
      </c>
      <c r="AU80" s="282">
        <v>191.99999999999989</v>
      </c>
      <c r="AV80" s="282">
        <v>175</v>
      </c>
      <c r="AW80" s="283">
        <v>142</v>
      </c>
      <c r="AX80" s="284"/>
      <c r="AY80" s="282">
        <v>190.00000000000006</v>
      </c>
      <c r="AZ80" s="282">
        <v>160</v>
      </c>
      <c r="BA80" s="282">
        <v>111</v>
      </c>
      <c r="BB80" s="282">
        <v>46</v>
      </c>
      <c r="BC80" s="283">
        <v>-66</v>
      </c>
      <c r="BE80" s="282">
        <v>161</v>
      </c>
      <c r="BF80" s="282">
        <v>181</v>
      </c>
      <c r="BG80" s="282">
        <v>204</v>
      </c>
      <c r="BH80" s="282">
        <v>221</v>
      </c>
      <c r="BI80" s="283">
        <v>254</v>
      </c>
      <c r="BJ80" s="150"/>
      <c r="BK80" s="282">
        <v>206</v>
      </c>
      <c r="BL80" s="282">
        <v>236</v>
      </c>
      <c r="BM80" s="282">
        <v>285</v>
      </c>
      <c r="BN80" s="282">
        <v>350</v>
      </c>
      <c r="BO80" s="283">
        <v>462</v>
      </c>
    </row>
    <row r="81" spans="2:67">
      <c r="B81" s="273" t="s">
        <v>63</v>
      </c>
      <c r="C81" s="286" t="s">
        <v>411</v>
      </c>
      <c r="D81" s="189">
        <v>479</v>
      </c>
      <c r="E81" s="115">
        <v>0</v>
      </c>
      <c r="F81" s="237" t="s">
        <v>195</v>
      </c>
      <c r="G81" s="314"/>
      <c r="I81" s="267">
        <v>39</v>
      </c>
      <c r="J81" s="267">
        <v>54</v>
      </c>
      <c r="K81" s="267">
        <v>452</v>
      </c>
      <c r="L81" s="267">
        <v>486</v>
      </c>
      <c r="M81" s="268">
        <v>519</v>
      </c>
      <c r="O81" s="267">
        <v>79</v>
      </c>
      <c r="P81" s="267">
        <v>124</v>
      </c>
      <c r="Q81" s="267">
        <v>564</v>
      </c>
      <c r="R81" s="267">
        <v>674</v>
      </c>
      <c r="S81" s="268">
        <v>821</v>
      </c>
      <c r="U81" s="267">
        <v>171</v>
      </c>
      <c r="V81" s="267">
        <v>191</v>
      </c>
      <c r="W81" s="267">
        <v>214</v>
      </c>
      <c r="X81" s="267">
        <v>231</v>
      </c>
      <c r="Y81" s="268">
        <v>264</v>
      </c>
      <c r="AA81" s="267">
        <v>216</v>
      </c>
      <c r="AB81" s="267">
        <v>246</v>
      </c>
      <c r="AC81" s="267">
        <v>295</v>
      </c>
      <c r="AD81" s="267">
        <v>360</v>
      </c>
      <c r="AE81" s="268">
        <v>472</v>
      </c>
      <c r="AG81" s="282">
        <v>20</v>
      </c>
      <c r="AH81" s="282">
        <v>20</v>
      </c>
      <c r="AI81" s="282">
        <v>20</v>
      </c>
      <c r="AJ81" s="282">
        <v>20</v>
      </c>
      <c r="AK81" s="282">
        <v>20</v>
      </c>
      <c r="AL81" s="282"/>
      <c r="AM81" s="282">
        <v>20</v>
      </c>
      <c r="AN81" s="282">
        <v>20</v>
      </c>
      <c r="AO81" s="282">
        <v>20</v>
      </c>
      <c r="AP81" s="282">
        <v>20</v>
      </c>
      <c r="AQ81" s="282">
        <v>20</v>
      </c>
      <c r="AR81" s="153"/>
      <c r="AS81" s="282">
        <v>308</v>
      </c>
      <c r="AT81" s="282">
        <v>288</v>
      </c>
      <c r="AU81" s="282">
        <v>264.99999999999989</v>
      </c>
      <c r="AV81" s="282">
        <v>248</v>
      </c>
      <c r="AW81" s="283">
        <v>215</v>
      </c>
      <c r="AX81" s="284"/>
      <c r="AY81" s="282">
        <v>263.00000000000006</v>
      </c>
      <c r="AZ81" s="282">
        <v>233</v>
      </c>
      <c r="BA81" s="282">
        <v>184</v>
      </c>
      <c r="BB81" s="282">
        <v>119</v>
      </c>
      <c r="BC81" s="283">
        <v>7</v>
      </c>
      <c r="BE81" s="267">
        <v>171</v>
      </c>
      <c r="BF81" s="267">
        <v>191</v>
      </c>
      <c r="BG81" s="267">
        <v>214</v>
      </c>
      <c r="BH81" s="267">
        <v>231</v>
      </c>
      <c r="BI81" s="268">
        <v>264</v>
      </c>
      <c r="BJ81" s="150"/>
      <c r="BK81" s="267">
        <v>216</v>
      </c>
      <c r="BL81" s="267">
        <v>276</v>
      </c>
      <c r="BM81" s="267">
        <v>345</v>
      </c>
      <c r="BN81" s="267">
        <v>400</v>
      </c>
      <c r="BO81" s="268">
        <v>532</v>
      </c>
    </row>
    <row r="82" spans="2:67">
      <c r="B82" s="280" t="s">
        <v>63</v>
      </c>
      <c r="C82" s="281" t="s">
        <v>510</v>
      </c>
      <c r="D82" s="188">
        <v>1735</v>
      </c>
      <c r="E82" s="114">
        <v>0</v>
      </c>
      <c r="F82" s="239" t="s">
        <v>195</v>
      </c>
      <c r="G82" s="315"/>
      <c r="I82" s="282">
        <v>39</v>
      </c>
      <c r="J82" s="282">
        <v>54</v>
      </c>
      <c r="K82" s="282">
        <v>412</v>
      </c>
      <c r="L82" s="282">
        <v>446</v>
      </c>
      <c r="M82" s="283">
        <v>479</v>
      </c>
      <c r="O82" s="282">
        <v>79</v>
      </c>
      <c r="P82" s="282">
        <v>124</v>
      </c>
      <c r="Q82" s="282">
        <v>524</v>
      </c>
      <c r="R82" s="282">
        <v>634</v>
      </c>
      <c r="S82" s="283">
        <v>781</v>
      </c>
      <c r="U82" s="282">
        <v>52</v>
      </c>
      <c r="V82" s="282">
        <v>72</v>
      </c>
      <c r="W82" s="282">
        <v>875</v>
      </c>
      <c r="X82" s="282">
        <v>892</v>
      </c>
      <c r="Y82" s="283">
        <v>925</v>
      </c>
      <c r="AA82" s="282">
        <v>97</v>
      </c>
      <c r="AB82" s="282">
        <v>127</v>
      </c>
      <c r="AC82" s="282">
        <v>956</v>
      </c>
      <c r="AD82" s="282">
        <v>1021</v>
      </c>
      <c r="AE82" s="283">
        <v>1133</v>
      </c>
      <c r="AG82" s="282">
        <v>0</v>
      </c>
      <c r="AH82" s="282">
        <v>0</v>
      </c>
      <c r="AI82" s="282">
        <v>0</v>
      </c>
      <c r="AJ82" s="282">
        <v>0</v>
      </c>
      <c r="AK82" s="282">
        <v>0</v>
      </c>
      <c r="AL82" s="282"/>
      <c r="AM82" s="282">
        <v>0</v>
      </c>
      <c r="AN82" s="282">
        <v>0</v>
      </c>
      <c r="AO82" s="282">
        <v>0</v>
      </c>
      <c r="AP82" s="282">
        <v>0</v>
      </c>
      <c r="AQ82" s="282">
        <v>0</v>
      </c>
      <c r="AR82" s="153"/>
      <c r="AS82" s="282">
        <v>1683</v>
      </c>
      <c r="AT82" s="282">
        <v>1663</v>
      </c>
      <c r="AU82" s="282">
        <v>859.8</v>
      </c>
      <c r="AV82" s="282">
        <v>842.8</v>
      </c>
      <c r="AW82" s="283">
        <v>809.8</v>
      </c>
      <c r="AX82" s="284"/>
      <c r="AY82" s="282">
        <v>1638</v>
      </c>
      <c r="AZ82" s="282">
        <v>1608</v>
      </c>
      <c r="BA82" s="282">
        <v>778.8</v>
      </c>
      <c r="BB82" s="282">
        <v>713.8</v>
      </c>
      <c r="BC82" s="283">
        <v>601.79999999999995</v>
      </c>
      <c r="BE82" s="282">
        <v>52</v>
      </c>
      <c r="BF82" s="282">
        <v>72</v>
      </c>
      <c r="BG82" s="282">
        <v>875</v>
      </c>
      <c r="BH82" s="282">
        <v>892</v>
      </c>
      <c r="BI82" s="283">
        <v>925</v>
      </c>
      <c r="BJ82" s="150"/>
      <c r="BK82" s="282">
        <v>97</v>
      </c>
      <c r="BL82" s="282">
        <v>157</v>
      </c>
      <c r="BM82" s="282">
        <v>1006</v>
      </c>
      <c r="BN82" s="282">
        <v>1061</v>
      </c>
      <c r="BO82" s="283">
        <v>1193</v>
      </c>
    </row>
    <row r="83" spans="2:67">
      <c r="B83" s="273" t="s">
        <v>63</v>
      </c>
      <c r="C83" s="286" t="s">
        <v>412</v>
      </c>
      <c r="D83" s="189">
        <v>537</v>
      </c>
      <c r="E83" s="115">
        <v>0</v>
      </c>
      <c r="F83" s="237" t="s">
        <v>195</v>
      </c>
      <c r="G83" s="314"/>
      <c r="I83" s="267">
        <v>39</v>
      </c>
      <c r="J83" s="267">
        <v>54</v>
      </c>
      <c r="K83" s="267">
        <v>78</v>
      </c>
      <c r="L83" s="267">
        <v>112</v>
      </c>
      <c r="M83" s="268">
        <v>145</v>
      </c>
      <c r="O83" s="267">
        <v>79</v>
      </c>
      <c r="P83" s="267">
        <v>124</v>
      </c>
      <c r="Q83" s="267">
        <v>190</v>
      </c>
      <c r="R83" s="267">
        <v>300</v>
      </c>
      <c r="S83" s="268">
        <v>338</v>
      </c>
      <c r="U83" s="267">
        <v>184</v>
      </c>
      <c r="V83" s="267">
        <v>204</v>
      </c>
      <c r="W83" s="267">
        <v>227</v>
      </c>
      <c r="X83" s="267">
        <v>244</v>
      </c>
      <c r="Y83" s="268">
        <v>277</v>
      </c>
      <c r="AA83" s="267">
        <v>229</v>
      </c>
      <c r="AB83" s="267">
        <v>259</v>
      </c>
      <c r="AC83" s="267">
        <v>308</v>
      </c>
      <c r="AD83" s="267">
        <v>373</v>
      </c>
      <c r="AE83" s="268">
        <v>485</v>
      </c>
      <c r="AG83" s="282">
        <v>20</v>
      </c>
      <c r="AH83" s="282">
        <v>20</v>
      </c>
      <c r="AI83" s="282">
        <v>20</v>
      </c>
      <c r="AJ83" s="282">
        <v>20</v>
      </c>
      <c r="AK83" s="282">
        <v>20</v>
      </c>
      <c r="AL83" s="282"/>
      <c r="AM83" s="282">
        <v>20</v>
      </c>
      <c r="AN83" s="282">
        <v>20</v>
      </c>
      <c r="AO83" s="282">
        <v>20</v>
      </c>
      <c r="AP83" s="282">
        <v>20</v>
      </c>
      <c r="AQ83" s="282">
        <v>20</v>
      </c>
      <c r="AR83" s="153"/>
      <c r="AS83" s="282">
        <v>352.8</v>
      </c>
      <c r="AT83" s="282">
        <v>332.8</v>
      </c>
      <c r="AU83" s="282">
        <v>309.7999999999999</v>
      </c>
      <c r="AV83" s="282">
        <v>292.8</v>
      </c>
      <c r="AW83" s="283">
        <v>259.8</v>
      </c>
      <c r="AX83" s="284"/>
      <c r="AY83" s="282">
        <v>307.80000000000007</v>
      </c>
      <c r="AZ83" s="282">
        <v>277.8</v>
      </c>
      <c r="BA83" s="282">
        <v>228.8</v>
      </c>
      <c r="BB83" s="282">
        <v>163.80000000000001</v>
      </c>
      <c r="BC83" s="283">
        <v>51.800000000000011</v>
      </c>
      <c r="BE83" s="267">
        <v>184</v>
      </c>
      <c r="BF83" s="267">
        <v>204</v>
      </c>
      <c r="BG83" s="267">
        <v>227</v>
      </c>
      <c r="BH83" s="267">
        <v>244</v>
      </c>
      <c r="BI83" s="268">
        <v>277</v>
      </c>
      <c r="BJ83" s="150"/>
      <c r="BK83" s="267">
        <v>229</v>
      </c>
      <c r="BL83" s="267">
        <v>289</v>
      </c>
      <c r="BM83" s="267">
        <v>358</v>
      </c>
      <c r="BN83" s="267">
        <v>413</v>
      </c>
      <c r="BO83" s="268">
        <v>545</v>
      </c>
    </row>
    <row r="84" spans="2:67">
      <c r="B84" s="280" t="s">
        <v>63</v>
      </c>
      <c r="C84" s="281" t="s">
        <v>511</v>
      </c>
      <c r="D84" s="188">
        <v>2396</v>
      </c>
      <c r="E84" s="114">
        <v>0</v>
      </c>
      <c r="F84" s="239" t="s">
        <v>195</v>
      </c>
      <c r="G84" s="315"/>
      <c r="I84" s="265">
        <v>39</v>
      </c>
      <c r="J84" s="265">
        <v>54</v>
      </c>
      <c r="K84" s="265">
        <v>133</v>
      </c>
      <c r="L84" s="265">
        <v>167</v>
      </c>
      <c r="M84" s="266">
        <v>200</v>
      </c>
      <c r="O84" s="265">
        <v>79</v>
      </c>
      <c r="P84" s="265">
        <v>124</v>
      </c>
      <c r="Q84" s="265">
        <v>245</v>
      </c>
      <c r="R84" s="265">
        <v>355</v>
      </c>
      <c r="S84" s="266">
        <v>502</v>
      </c>
      <c r="U84" s="265">
        <v>52</v>
      </c>
      <c r="V84" s="265">
        <v>72</v>
      </c>
      <c r="W84" s="265">
        <v>1211</v>
      </c>
      <c r="X84" s="265">
        <v>1228</v>
      </c>
      <c r="Y84" s="266">
        <v>1261</v>
      </c>
      <c r="AA84" s="265">
        <v>97</v>
      </c>
      <c r="AB84" s="265">
        <v>127</v>
      </c>
      <c r="AC84" s="265">
        <v>1292</v>
      </c>
      <c r="AD84" s="265">
        <v>1357</v>
      </c>
      <c r="AE84" s="266">
        <v>1469</v>
      </c>
      <c r="AG84" s="282">
        <v>0</v>
      </c>
      <c r="AH84" s="282">
        <v>0</v>
      </c>
      <c r="AI84" s="282">
        <v>0</v>
      </c>
      <c r="AJ84" s="282">
        <v>0</v>
      </c>
      <c r="AK84" s="282">
        <v>0</v>
      </c>
      <c r="AL84" s="282"/>
      <c r="AM84" s="282">
        <v>0</v>
      </c>
      <c r="AN84" s="282">
        <v>0</v>
      </c>
      <c r="AO84" s="282">
        <v>0</v>
      </c>
      <c r="AP84" s="282">
        <v>0</v>
      </c>
      <c r="AQ84" s="282">
        <v>0</v>
      </c>
      <c r="AR84" s="153"/>
      <c r="AS84" s="282">
        <v>2344</v>
      </c>
      <c r="AT84" s="282">
        <v>2324</v>
      </c>
      <c r="AU84" s="282">
        <v>1184.8</v>
      </c>
      <c r="AV84" s="282">
        <v>1167.8</v>
      </c>
      <c r="AW84" s="283">
        <v>1134.8</v>
      </c>
      <c r="AX84" s="284"/>
      <c r="AY84" s="282">
        <v>2299</v>
      </c>
      <c r="AZ84" s="282">
        <v>2269</v>
      </c>
      <c r="BA84" s="282">
        <v>1103.8</v>
      </c>
      <c r="BB84" s="282">
        <v>1038.8</v>
      </c>
      <c r="BC84" s="283">
        <v>926.8</v>
      </c>
      <c r="BE84" s="265">
        <v>52</v>
      </c>
      <c r="BF84" s="265">
        <v>72</v>
      </c>
      <c r="BG84" s="265">
        <v>1211</v>
      </c>
      <c r="BH84" s="265">
        <v>1228</v>
      </c>
      <c r="BI84" s="266">
        <v>1261</v>
      </c>
      <c r="BJ84" s="150"/>
      <c r="BK84" s="265">
        <v>97</v>
      </c>
      <c r="BL84" s="265">
        <v>157</v>
      </c>
      <c r="BM84" s="265">
        <v>1342</v>
      </c>
      <c r="BN84" s="265">
        <v>1397</v>
      </c>
      <c r="BO84" s="266">
        <v>1529</v>
      </c>
    </row>
    <row r="85" spans="2:67">
      <c r="B85" s="273" t="s">
        <v>63</v>
      </c>
      <c r="C85" s="286" t="s">
        <v>413</v>
      </c>
      <c r="D85" s="189">
        <v>686</v>
      </c>
      <c r="E85" s="115">
        <v>0</v>
      </c>
      <c r="F85" s="237" t="s">
        <v>195</v>
      </c>
      <c r="G85" s="314"/>
      <c r="I85" s="267">
        <v>39</v>
      </c>
      <c r="J85" s="267">
        <v>54</v>
      </c>
      <c r="K85" s="267">
        <v>164</v>
      </c>
      <c r="L85" s="267">
        <v>198</v>
      </c>
      <c r="M85" s="268">
        <v>231</v>
      </c>
      <c r="O85" s="267">
        <v>79</v>
      </c>
      <c r="P85" s="267">
        <v>124</v>
      </c>
      <c r="Q85" s="267">
        <v>276</v>
      </c>
      <c r="R85" s="267">
        <v>386</v>
      </c>
      <c r="S85" s="268">
        <v>533</v>
      </c>
      <c r="U85" s="267">
        <v>52</v>
      </c>
      <c r="V85" s="267">
        <v>72</v>
      </c>
      <c r="W85" s="267">
        <v>301</v>
      </c>
      <c r="X85" s="267">
        <v>318</v>
      </c>
      <c r="Y85" s="268">
        <v>351</v>
      </c>
      <c r="AA85" s="267">
        <v>97</v>
      </c>
      <c r="AB85" s="267">
        <v>127</v>
      </c>
      <c r="AC85" s="267">
        <v>382</v>
      </c>
      <c r="AD85" s="267">
        <v>447</v>
      </c>
      <c r="AE85" s="268">
        <v>559</v>
      </c>
      <c r="AG85" s="282">
        <v>0</v>
      </c>
      <c r="AH85" s="282">
        <v>0</v>
      </c>
      <c r="AI85" s="282">
        <v>15</v>
      </c>
      <c r="AJ85" s="282">
        <v>15</v>
      </c>
      <c r="AK85" s="282">
        <v>15</v>
      </c>
      <c r="AL85" s="282"/>
      <c r="AM85" s="282">
        <v>0</v>
      </c>
      <c r="AN85" s="282">
        <v>0</v>
      </c>
      <c r="AO85" s="282">
        <v>15</v>
      </c>
      <c r="AP85" s="282">
        <v>15</v>
      </c>
      <c r="AQ85" s="282">
        <v>15</v>
      </c>
      <c r="AR85" s="153"/>
      <c r="AS85" s="282">
        <v>634</v>
      </c>
      <c r="AT85" s="282">
        <v>614</v>
      </c>
      <c r="AU85" s="282">
        <v>384.7999999999999</v>
      </c>
      <c r="AV85" s="282">
        <v>367.8</v>
      </c>
      <c r="AW85" s="283">
        <v>334.8</v>
      </c>
      <c r="AX85" s="284"/>
      <c r="AY85" s="282">
        <v>589</v>
      </c>
      <c r="AZ85" s="282">
        <v>559</v>
      </c>
      <c r="BA85" s="282">
        <v>303.8</v>
      </c>
      <c r="BB85" s="282">
        <v>238.8</v>
      </c>
      <c r="BC85" s="283">
        <v>126.80000000000001</v>
      </c>
      <c r="BE85" s="267">
        <v>52</v>
      </c>
      <c r="BF85" s="267">
        <v>72</v>
      </c>
      <c r="BG85" s="267">
        <v>301</v>
      </c>
      <c r="BH85" s="267">
        <v>318</v>
      </c>
      <c r="BI85" s="268">
        <v>351</v>
      </c>
      <c r="BJ85" s="150"/>
      <c r="BK85" s="267">
        <v>97</v>
      </c>
      <c r="BL85" s="267">
        <v>157</v>
      </c>
      <c r="BM85" s="267">
        <v>432</v>
      </c>
      <c r="BN85" s="267">
        <v>487</v>
      </c>
      <c r="BO85" s="268">
        <v>619</v>
      </c>
    </row>
    <row r="86" spans="2:67">
      <c r="B86" s="280" t="s">
        <v>63</v>
      </c>
      <c r="C86" s="281" t="s">
        <v>512</v>
      </c>
      <c r="D86" s="188">
        <v>1157</v>
      </c>
      <c r="E86" s="114">
        <v>0</v>
      </c>
      <c r="F86" s="239" t="s">
        <v>195</v>
      </c>
      <c r="G86" s="315"/>
      <c r="I86" s="282">
        <v>39</v>
      </c>
      <c r="J86" s="282">
        <v>54</v>
      </c>
      <c r="K86" s="282">
        <v>185</v>
      </c>
      <c r="L86" s="282">
        <v>219</v>
      </c>
      <c r="M86" s="283">
        <v>252</v>
      </c>
      <c r="O86" s="282">
        <v>79</v>
      </c>
      <c r="P86" s="282">
        <v>124</v>
      </c>
      <c r="Q86" s="282">
        <v>297</v>
      </c>
      <c r="R86" s="282">
        <v>407</v>
      </c>
      <c r="S86" s="283">
        <v>554</v>
      </c>
      <c r="U86" s="282">
        <v>52</v>
      </c>
      <c r="V86" s="282">
        <v>72</v>
      </c>
      <c r="W86" s="282">
        <v>498</v>
      </c>
      <c r="X86" s="282">
        <v>515</v>
      </c>
      <c r="Y86" s="283">
        <v>548</v>
      </c>
      <c r="AA86" s="282">
        <v>97</v>
      </c>
      <c r="AB86" s="282">
        <v>127</v>
      </c>
      <c r="AC86" s="282">
        <v>579</v>
      </c>
      <c r="AD86" s="282">
        <v>644</v>
      </c>
      <c r="AE86" s="283">
        <v>756</v>
      </c>
      <c r="AG86" s="282">
        <v>0</v>
      </c>
      <c r="AH86" s="282">
        <v>0</v>
      </c>
      <c r="AI86" s="282">
        <v>0</v>
      </c>
      <c r="AJ86" s="282">
        <v>0</v>
      </c>
      <c r="AK86" s="282">
        <v>0</v>
      </c>
      <c r="AL86" s="282"/>
      <c r="AM86" s="282">
        <v>0</v>
      </c>
      <c r="AN86" s="282">
        <v>0</v>
      </c>
      <c r="AO86" s="282">
        <v>0</v>
      </c>
      <c r="AP86" s="282">
        <v>0</v>
      </c>
      <c r="AQ86" s="282">
        <v>0</v>
      </c>
      <c r="AR86" s="153"/>
      <c r="AS86" s="282">
        <v>1105</v>
      </c>
      <c r="AT86" s="282">
        <v>1085</v>
      </c>
      <c r="AU86" s="282">
        <v>658.85</v>
      </c>
      <c r="AV86" s="282">
        <v>641.85</v>
      </c>
      <c r="AW86" s="283">
        <v>608.85</v>
      </c>
      <c r="AX86" s="284"/>
      <c r="AY86" s="282">
        <v>1060</v>
      </c>
      <c r="AZ86" s="282">
        <v>1030</v>
      </c>
      <c r="BA86" s="282">
        <v>577.85</v>
      </c>
      <c r="BB86" s="282">
        <v>512.85</v>
      </c>
      <c r="BC86" s="283">
        <v>400.85</v>
      </c>
      <c r="BE86" s="282">
        <v>52</v>
      </c>
      <c r="BF86" s="282">
        <v>72</v>
      </c>
      <c r="BG86" s="282">
        <v>498</v>
      </c>
      <c r="BH86" s="282">
        <v>515</v>
      </c>
      <c r="BI86" s="283">
        <v>548</v>
      </c>
      <c r="BJ86" s="150"/>
      <c r="BK86" s="282">
        <v>97</v>
      </c>
      <c r="BL86" s="282">
        <v>157</v>
      </c>
      <c r="BM86" s="282">
        <v>629</v>
      </c>
      <c r="BN86" s="282">
        <v>684</v>
      </c>
      <c r="BO86" s="283">
        <v>816</v>
      </c>
    </row>
    <row r="87" spans="2:67">
      <c r="B87" s="273" t="s">
        <v>63</v>
      </c>
      <c r="C87" s="286" t="s">
        <v>548</v>
      </c>
      <c r="D87" s="189">
        <v>867</v>
      </c>
      <c r="E87" s="115">
        <v>5.33</v>
      </c>
      <c r="F87" s="237" t="s">
        <v>193</v>
      </c>
      <c r="G87" s="314"/>
      <c r="I87" s="267">
        <v>39</v>
      </c>
      <c r="J87" s="267">
        <v>54</v>
      </c>
      <c r="K87" s="267">
        <v>368</v>
      </c>
      <c r="L87" s="267">
        <v>402</v>
      </c>
      <c r="M87" s="268">
        <v>435</v>
      </c>
      <c r="O87" s="267">
        <v>79</v>
      </c>
      <c r="P87" s="267">
        <v>124</v>
      </c>
      <c r="Q87" s="267">
        <v>480</v>
      </c>
      <c r="R87" s="267">
        <v>590</v>
      </c>
      <c r="S87" s="268">
        <v>737</v>
      </c>
      <c r="U87" s="267">
        <v>52</v>
      </c>
      <c r="V87" s="267">
        <v>309</v>
      </c>
      <c r="W87" s="267">
        <v>332</v>
      </c>
      <c r="X87" s="267">
        <v>349</v>
      </c>
      <c r="Y87" s="268">
        <v>382</v>
      </c>
      <c r="AA87" s="267">
        <v>97</v>
      </c>
      <c r="AB87" s="267">
        <v>364</v>
      </c>
      <c r="AC87" s="267">
        <v>413</v>
      </c>
      <c r="AD87" s="267">
        <v>478</v>
      </c>
      <c r="AE87" s="268">
        <v>590</v>
      </c>
      <c r="AG87" s="282">
        <v>0</v>
      </c>
      <c r="AH87" s="282">
        <v>0</v>
      </c>
      <c r="AI87" s="282">
        <v>0</v>
      </c>
      <c r="AJ87" s="282">
        <v>0</v>
      </c>
      <c r="AK87" s="282">
        <v>0</v>
      </c>
      <c r="AL87" s="282"/>
      <c r="AM87" s="282">
        <v>0</v>
      </c>
      <c r="AN87" s="282">
        <v>0</v>
      </c>
      <c r="AO87" s="282">
        <v>0</v>
      </c>
      <c r="AP87" s="282">
        <v>0</v>
      </c>
      <c r="AQ87" s="282">
        <v>0</v>
      </c>
      <c r="AR87" s="153"/>
      <c r="AS87" s="282">
        <v>815</v>
      </c>
      <c r="AT87" s="282">
        <v>557.64</v>
      </c>
      <c r="AU87" s="282">
        <v>534.63999999999987</v>
      </c>
      <c r="AV87" s="282">
        <v>517.64</v>
      </c>
      <c r="AW87" s="283">
        <v>484.64</v>
      </c>
      <c r="AX87" s="284"/>
      <c r="AY87" s="282">
        <v>770</v>
      </c>
      <c r="AZ87" s="282">
        <v>502.64</v>
      </c>
      <c r="BA87" s="282">
        <v>453.64</v>
      </c>
      <c r="BB87" s="282">
        <v>388.64</v>
      </c>
      <c r="BC87" s="283">
        <v>276.64</v>
      </c>
      <c r="BE87" s="267">
        <v>52</v>
      </c>
      <c r="BF87" s="267">
        <v>309</v>
      </c>
      <c r="BG87" s="267">
        <v>332</v>
      </c>
      <c r="BH87" s="267">
        <v>349</v>
      </c>
      <c r="BI87" s="268">
        <v>382</v>
      </c>
      <c r="BJ87" s="150"/>
      <c r="BK87" s="267">
        <v>97</v>
      </c>
      <c r="BL87" s="267">
        <v>394</v>
      </c>
      <c r="BM87" s="267">
        <v>463</v>
      </c>
      <c r="BN87" s="267">
        <v>518</v>
      </c>
      <c r="BO87" s="268">
        <v>650</v>
      </c>
    </row>
    <row r="88" spans="2:67">
      <c r="B88" s="280" t="s">
        <v>167</v>
      </c>
      <c r="C88" s="281" t="s">
        <v>598</v>
      </c>
      <c r="D88" s="191">
        <v>140</v>
      </c>
      <c r="E88" s="300">
        <v>0</v>
      </c>
      <c r="F88" s="239" t="s">
        <v>599</v>
      </c>
      <c r="G88" s="315"/>
      <c r="I88" s="265">
        <v>39</v>
      </c>
      <c r="J88" s="265">
        <v>54</v>
      </c>
      <c r="K88" s="265">
        <v>660</v>
      </c>
      <c r="L88" s="265">
        <v>694</v>
      </c>
      <c r="M88" s="266">
        <v>727</v>
      </c>
      <c r="O88" s="265">
        <v>79</v>
      </c>
      <c r="P88" s="265">
        <v>124</v>
      </c>
      <c r="Q88" s="265">
        <v>772</v>
      </c>
      <c r="R88" s="265">
        <v>882</v>
      </c>
      <c r="S88" s="266">
        <v>1029</v>
      </c>
      <c r="U88" s="265">
        <v>52</v>
      </c>
      <c r="V88" s="265">
        <v>72</v>
      </c>
      <c r="W88" s="265">
        <v>95</v>
      </c>
      <c r="X88" s="265">
        <v>112</v>
      </c>
      <c r="Y88" s="266">
        <v>145</v>
      </c>
      <c r="AA88" s="265">
        <v>97</v>
      </c>
      <c r="AB88" s="265">
        <v>127</v>
      </c>
      <c r="AC88" s="265">
        <v>176</v>
      </c>
      <c r="AD88" s="265">
        <v>213</v>
      </c>
      <c r="AE88" s="266">
        <v>213</v>
      </c>
      <c r="AG88" s="282">
        <v>0</v>
      </c>
      <c r="AH88" s="282">
        <v>0</v>
      </c>
      <c r="AI88" s="282">
        <v>0</v>
      </c>
      <c r="AJ88" s="282">
        <v>0</v>
      </c>
      <c r="AK88" s="282">
        <v>0</v>
      </c>
      <c r="AL88" s="282"/>
      <c r="AM88" s="282">
        <v>0</v>
      </c>
      <c r="AN88" s="282">
        <v>0</v>
      </c>
      <c r="AO88" s="282">
        <v>0</v>
      </c>
      <c r="AP88" s="282">
        <v>0</v>
      </c>
      <c r="AQ88" s="282">
        <v>0</v>
      </c>
      <c r="AR88" s="153"/>
      <c r="AS88" s="282">
        <v>88</v>
      </c>
      <c r="AT88" s="282">
        <v>68</v>
      </c>
      <c r="AU88" s="282">
        <v>44.999999999999886</v>
      </c>
      <c r="AV88" s="282">
        <v>28</v>
      </c>
      <c r="AW88" s="283">
        <v>-5</v>
      </c>
      <c r="AX88" s="284"/>
      <c r="AY88" s="282">
        <v>43.000000000000057</v>
      </c>
      <c r="AZ88" s="282">
        <v>13</v>
      </c>
      <c r="BA88" s="282">
        <v>-36</v>
      </c>
      <c r="BB88" s="282">
        <v>-73.34</v>
      </c>
      <c r="BC88" s="283">
        <v>-73.34</v>
      </c>
      <c r="BE88" s="265">
        <v>52</v>
      </c>
      <c r="BF88" s="265">
        <v>72</v>
      </c>
      <c r="BG88" s="265">
        <v>95</v>
      </c>
      <c r="BH88" s="265">
        <v>112</v>
      </c>
      <c r="BI88" s="266">
        <v>145</v>
      </c>
      <c r="BJ88" s="150"/>
      <c r="BK88" s="265">
        <v>97</v>
      </c>
      <c r="BL88" s="265">
        <v>127</v>
      </c>
      <c r="BM88" s="265">
        <v>176</v>
      </c>
      <c r="BN88" s="265">
        <v>213</v>
      </c>
      <c r="BO88" s="266">
        <v>213</v>
      </c>
    </row>
    <row r="89" spans="2:67">
      <c r="B89" s="273" t="s">
        <v>426</v>
      </c>
      <c r="C89" s="286" t="s">
        <v>582</v>
      </c>
      <c r="D89" s="189">
        <v>481</v>
      </c>
      <c r="E89" s="115">
        <v>3.25</v>
      </c>
      <c r="F89" s="237" t="s">
        <v>190</v>
      </c>
      <c r="G89" s="314"/>
      <c r="I89" s="267">
        <v>39</v>
      </c>
      <c r="J89" s="267">
        <v>54</v>
      </c>
      <c r="K89" s="267">
        <v>1017</v>
      </c>
      <c r="L89" s="267">
        <v>1051</v>
      </c>
      <c r="M89" s="268">
        <v>1084</v>
      </c>
      <c r="O89" s="267">
        <v>79</v>
      </c>
      <c r="P89" s="267">
        <v>124</v>
      </c>
      <c r="Q89" s="267">
        <v>1129</v>
      </c>
      <c r="R89" s="267">
        <v>1239</v>
      </c>
      <c r="S89" s="268">
        <v>1386</v>
      </c>
      <c r="U89" s="267">
        <v>208</v>
      </c>
      <c r="V89" s="267">
        <v>228</v>
      </c>
      <c r="W89" s="267">
        <v>251</v>
      </c>
      <c r="X89" s="267">
        <v>268</v>
      </c>
      <c r="Y89" s="268">
        <v>301</v>
      </c>
      <c r="AA89" s="267">
        <v>253</v>
      </c>
      <c r="AB89" s="267">
        <v>283</v>
      </c>
      <c r="AC89" s="267">
        <v>332</v>
      </c>
      <c r="AD89" s="267">
        <v>397</v>
      </c>
      <c r="AE89" s="268">
        <v>509</v>
      </c>
      <c r="AG89" s="282">
        <v>0</v>
      </c>
      <c r="AH89" s="282">
        <v>0</v>
      </c>
      <c r="AI89" s="282">
        <v>0</v>
      </c>
      <c r="AJ89" s="282">
        <v>0</v>
      </c>
      <c r="AK89" s="282">
        <v>0</v>
      </c>
      <c r="AL89" s="282"/>
      <c r="AM89" s="282">
        <v>0</v>
      </c>
      <c r="AN89" s="282">
        <v>0</v>
      </c>
      <c r="AO89" s="282">
        <v>0</v>
      </c>
      <c r="AP89" s="282">
        <v>0</v>
      </c>
      <c r="AQ89" s="282">
        <v>0</v>
      </c>
      <c r="AR89" s="153"/>
      <c r="AS89" s="282">
        <v>273.02999999999997</v>
      </c>
      <c r="AT89" s="282">
        <v>253.02999999999997</v>
      </c>
      <c r="AU89" s="282">
        <v>230.02999999999986</v>
      </c>
      <c r="AV89" s="282">
        <v>213.02999999999997</v>
      </c>
      <c r="AW89" s="283">
        <v>180.02999999999997</v>
      </c>
      <c r="AX89" s="284"/>
      <c r="AY89" s="282">
        <v>228.03000000000003</v>
      </c>
      <c r="AZ89" s="282">
        <v>198.02999999999997</v>
      </c>
      <c r="BA89" s="282">
        <v>149.02999999999997</v>
      </c>
      <c r="BB89" s="282">
        <v>84.029999999999973</v>
      </c>
      <c r="BC89" s="283">
        <v>-27.970000000000027</v>
      </c>
      <c r="BE89" s="267">
        <v>208</v>
      </c>
      <c r="BF89" s="267">
        <v>228</v>
      </c>
      <c r="BG89" s="267">
        <v>251</v>
      </c>
      <c r="BH89" s="267">
        <v>268</v>
      </c>
      <c r="BI89" s="268">
        <v>301</v>
      </c>
      <c r="BJ89" s="150"/>
      <c r="BK89" s="267">
        <v>253</v>
      </c>
      <c r="BL89" s="267">
        <v>313</v>
      </c>
      <c r="BM89" s="267">
        <v>367</v>
      </c>
      <c r="BN89" s="267">
        <v>432</v>
      </c>
      <c r="BO89" s="268">
        <v>544</v>
      </c>
    </row>
    <row r="90" spans="2:67">
      <c r="B90" s="280" t="s">
        <v>426</v>
      </c>
      <c r="C90" s="281" t="s">
        <v>529</v>
      </c>
      <c r="D90" s="188">
        <v>658</v>
      </c>
      <c r="E90" s="114">
        <v>3.25</v>
      </c>
      <c r="F90" s="239" t="s">
        <v>190</v>
      </c>
      <c r="G90" s="315"/>
      <c r="I90" s="282">
        <v>39</v>
      </c>
      <c r="J90" s="282">
        <v>54</v>
      </c>
      <c r="K90" s="282">
        <v>157</v>
      </c>
      <c r="L90" s="282">
        <v>191</v>
      </c>
      <c r="M90" s="283">
        <v>224</v>
      </c>
      <c r="O90" s="282">
        <v>79</v>
      </c>
      <c r="P90" s="282">
        <v>124</v>
      </c>
      <c r="Q90" s="282">
        <v>269</v>
      </c>
      <c r="R90" s="282">
        <v>379</v>
      </c>
      <c r="S90" s="283">
        <v>526</v>
      </c>
      <c r="U90" s="282">
        <v>326</v>
      </c>
      <c r="V90" s="282">
        <v>346</v>
      </c>
      <c r="W90" s="282">
        <v>369</v>
      </c>
      <c r="X90" s="282">
        <v>386</v>
      </c>
      <c r="Y90" s="283">
        <v>419</v>
      </c>
      <c r="AA90" s="282">
        <v>371</v>
      </c>
      <c r="AB90" s="282">
        <v>401</v>
      </c>
      <c r="AC90" s="282">
        <v>450</v>
      </c>
      <c r="AD90" s="282">
        <v>515</v>
      </c>
      <c r="AE90" s="283">
        <v>658</v>
      </c>
      <c r="AG90" s="282">
        <v>-20</v>
      </c>
      <c r="AH90" s="282">
        <v>-20</v>
      </c>
      <c r="AI90" s="282">
        <v>-20</v>
      </c>
      <c r="AJ90" s="282">
        <v>-20</v>
      </c>
      <c r="AK90" s="282">
        <v>-20</v>
      </c>
      <c r="AL90" s="282"/>
      <c r="AM90" s="282">
        <v>-20</v>
      </c>
      <c r="AN90" s="282">
        <v>-20</v>
      </c>
      <c r="AO90" s="282">
        <v>-20</v>
      </c>
      <c r="AP90" s="282">
        <v>0</v>
      </c>
      <c r="AQ90" s="282">
        <v>0</v>
      </c>
      <c r="AR90" s="153"/>
      <c r="AS90" s="282">
        <v>332.04999999999995</v>
      </c>
      <c r="AT90" s="282">
        <v>312.04999999999995</v>
      </c>
      <c r="AU90" s="282">
        <v>289.04999999999984</v>
      </c>
      <c r="AV90" s="282">
        <v>272.04999999999995</v>
      </c>
      <c r="AW90" s="283">
        <v>239.04999999999995</v>
      </c>
      <c r="AX90" s="284"/>
      <c r="AY90" s="282">
        <v>287.04999999999995</v>
      </c>
      <c r="AZ90" s="282">
        <v>257.04999999999995</v>
      </c>
      <c r="BA90" s="282">
        <v>208.04999999999995</v>
      </c>
      <c r="BB90" s="282">
        <v>143.04999999999995</v>
      </c>
      <c r="BC90" s="283">
        <v>4.9999999999954525E-2</v>
      </c>
      <c r="BE90" s="282">
        <v>326</v>
      </c>
      <c r="BF90" s="282">
        <v>346</v>
      </c>
      <c r="BG90" s="282">
        <v>369</v>
      </c>
      <c r="BH90" s="282">
        <v>386</v>
      </c>
      <c r="BI90" s="283">
        <v>419</v>
      </c>
      <c r="BJ90" s="150"/>
      <c r="BK90" s="282">
        <v>371</v>
      </c>
      <c r="BL90" s="282">
        <v>431</v>
      </c>
      <c r="BM90" s="282">
        <v>500</v>
      </c>
      <c r="BN90" s="282">
        <v>555</v>
      </c>
      <c r="BO90" s="283">
        <v>718</v>
      </c>
    </row>
    <row r="91" spans="2:67">
      <c r="B91" s="273" t="s">
        <v>426</v>
      </c>
      <c r="C91" s="286" t="s">
        <v>462</v>
      </c>
      <c r="D91" s="189">
        <v>177</v>
      </c>
      <c r="E91" s="115">
        <v>3.25</v>
      </c>
      <c r="F91" s="237" t="s">
        <v>190</v>
      </c>
      <c r="G91" s="314"/>
      <c r="I91" s="267">
        <v>39</v>
      </c>
      <c r="J91" s="267">
        <v>54</v>
      </c>
      <c r="K91" s="267">
        <v>164</v>
      </c>
      <c r="L91" s="267">
        <v>198</v>
      </c>
      <c r="M91" s="268">
        <v>231</v>
      </c>
      <c r="O91" s="267">
        <v>79</v>
      </c>
      <c r="P91" s="267">
        <v>124</v>
      </c>
      <c r="Q91" s="267">
        <v>276</v>
      </c>
      <c r="R91" s="267">
        <v>386</v>
      </c>
      <c r="S91" s="268">
        <v>533</v>
      </c>
      <c r="U91" s="267">
        <v>109</v>
      </c>
      <c r="V91" s="267">
        <v>129</v>
      </c>
      <c r="W91" s="267">
        <v>152</v>
      </c>
      <c r="X91" s="267">
        <v>169</v>
      </c>
      <c r="Y91" s="268">
        <v>202</v>
      </c>
      <c r="AA91" s="267">
        <v>154</v>
      </c>
      <c r="AB91" s="267">
        <v>184</v>
      </c>
      <c r="AC91" s="267">
        <v>233</v>
      </c>
      <c r="AD91" s="267">
        <v>238</v>
      </c>
      <c r="AE91" s="268">
        <v>238</v>
      </c>
      <c r="AG91" s="282">
        <v>10</v>
      </c>
      <c r="AH91" s="282">
        <v>10</v>
      </c>
      <c r="AI91" s="282">
        <v>10</v>
      </c>
      <c r="AJ91" s="282">
        <v>10</v>
      </c>
      <c r="AK91" s="282">
        <v>10</v>
      </c>
      <c r="AL91" s="282"/>
      <c r="AM91" s="282">
        <v>10</v>
      </c>
      <c r="AN91" s="282">
        <v>19</v>
      </c>
      <c r="AO91" s="282">
        <v>19</v>
      </c>
      <c r="AP91" s="282">
        <v>4</v>
      </c>
      <c r="AQ91" s="282">
        <v>13</v>
      </c>
      <c r="AR91" s="153"/>
      <c r="AS91" s="282">
        <v>67.710000000000008</v>
      </c>
      <c r="AT91" s="282">
        <v>47.710000000000008</v>
      </c>
      <c r="AU91" s="282">
        <v>24.709999999999894</v>
      </c>
      <c r="AV91" s="282">
        <v>7.710000000000008</v>
      </c>
      <c r="AW91" s="283">
        <v>-25.289999999999992</v>
      </c>
      <c r="AX91" s="284"/>
      <c r="AY91" s="282">
        <v>22.710000000000065</v>
      </c>
      <c r="AZ91" s="282">
        <v>-7.289999999999992</v>
      </c>
      <c r="BA91" s="282">
        <v>-56.289999999999992</v>
      </c>
      <c r="BB91" s="282">
        <v>-60.855000000000004</v>
      </c>
      <c r="BC91" s="283">
        <v>-60.855000000000018</v>
      </c>
      <c r="BE91" s="267">
        <v>109</v>
      </c>
      <c r="BF91" s="267">
        <v>129</v>
      </c>
      <c r="BG91" s="267">
        <v>152</v>
      </c>
      <c r="BH91" s="267">
        <v>169</v>
      </c>
      <c r="BI91" s="268">
        <v>202</v>
      </c>
      <c r="BJ91" s="150"/>
      <c r="BK91" s="267">
        <v>154</v>
      </c>
      <c r="BL91" s="267">
        <v>184</v>
      </c>
      <c r="BM91" s="267">
        <v>233</v>
      </c>
      <c r="BN91" s="267">
        <v>238</v>
      </c>
      <c r="BO91" s="268">
        <v>238</v>
      </c>
    </row>
    <row r="92" spans="2:67">
      <c r="B92" s="280" t="s">
        <v>426</v>
      </c>
      <c r="C92" s="118" t="s">
        <v>632</v>
      </c>
      <c r="D92" s="188">
        <v>183</v>
      </c>
      <c r="E92" s="114">
        <v>3.25</v>
      </c>
      <c r="F92" s="239" t="s">
        <v>190</v>
      </c>
      <c r="G92" s="315"/>
      <c r="I92" s="282">
        <v>39</v>
      </c>
      <c r="J92" s="282">
        <v>54</v>
      </c>
      <c r="K92" s="282">
        <v>195</v>
      </c>
      <c r="L92" s="282">
        <v>229</v>
      </c>
      <c r="M92" s="283">
        <v>262</v>
      </c>
      <c r="O92" s="282">
        <v>79</v>
      </c>
      <c r="P92" s="282">
        <v>124</v>
      </c>
      <c r="Q92" s="282">
        <v>307</v>
      </c>
      <c r="R92" s="282">
        <v>417</v>
      </c>
      <c r="S92" s="283">
        <v>564</v>
      </c>
      <c r="U92" s="282">
        <v>99</v>
      </c>
      <c r="V92" s="282">
        <v>119</v>
      </c>
      <c r="W92" s="282">
        <v>142</v>
      </c>
      <c r="X92" s="282">
        <v>159</v>
      </c>
      <c r="Y92" s="283">
        <v>192</v>
      </c>
      <c r="AA92" s="282">
        <v>144</v>
      </c>
      <c r="AB92" s="282">
        <v>174</v>
      </c>
      <c r="AC92" s="282">
        <v>223</v>
      </c>
      <c r="AD92" s="282">
        <v>252</v>
      </c>
      <c r="AE92" s="283">
        <v>252</v>
      </c>
      <c r="AG92" s="282" t="e">
        <v>#N/A</v>
      </c>
      <c r="AH92" s="282" t="e">
        <v>#N/A</v>
      </c>
      <c r="AI92" s="282" t="e">
        <v>#N/A</v>
      </c>
      <c r="AJ92" s="282" t="e">
        <v>#N/A</v>
      </c>
      <c r="AK92" s="282" t="e">
        <v>#N/A</v>
      </c>
      <c r="AL92" s="282"/>
      <c r="AM92" s="282" t="e">
        <v>#N/A</v>
      </c>
      <c r="AN92" s="282" t="e">
        <v>#N/A</v>
      </c>
      <c r="AO92" s="282" t="e">
        <v>#N/A</v>
      </c>
      <c r="AP92" s="282" t="e">
        <v>#N/A</v>
      </c>
      <c r="AQ92" s="282" t="e">
        <v>#N/A</v>
      </c>
      <c r="AR92" s="153"/>
      <c r="AS92" s="282">
        <v>83.789999999999992</v>
      </c>
      <c r="AT92" s="282">
        <v>63.789999999999992</v>
      </c>
      <c r="AU92" s="282">
        <v>40.789999999999878</v>
      </c>
      <c r="AV92" s="282">
        <v>23.789999999999992</v>
      </c>
      <c r="AW92" s="283">
        <v>-9.210000000000008</v>
      </c>
      <c r="AX92" s="284"/>
      <c r="AY92" s="282">
        <v>38.790000000000049</v>
      </c>
      <c r="AZ92" s="282">
        <v>8.789999999999992</v>
      </c>
      <c r="BA92" s="282">
        <v>-40.210000000000008</v>
      </c>
      <c r="BB92" s="282">
        <v>-68.89500000000001</v>
      </c>
      <c r="BC92" s="283">
        <v>-68.89500000000001</v>
      </c>
      <c r="BE92" s="282">
        <v>99</v>
      </c>
      <c r="BF92" s="282">
        <v>119</v>
      </c>
      <c r="BG92" s="282">
        <v>142</v>
      </c>
      <c r="BH92" s="282">
        <v>159</v>
      </c>
      <c r="BI92" s="283">
        <v>192</v>
      </c>
      <c r="BJ92" s="150"/>
      <c r="BK92" s="282">
        <v>144</v>
      </c>
      <c r="BL92" s="282">
        <v>174</v>
      </c>
      <c r="BM92" s="282">
        <v>223</v>
      </c>
      <c r="BN92" s="282">
        <v>252</v>
      </c>
      <c r="BO92" s="283">
        <v>252</v>
      </c>
    </row>
    <row r="93" spans="2:67">
      <c r="B93" s="273" t="s">
        <v>426</v>
      </c>
      <c r="C93" s="286" t="s">
        <v>463</v>
      </c>
      <c r="D93" s="189">
        <v>199</v>
      </c>
      <c r="E93" s="115">
        <v>3.25</v>
      </c>
      <c r="F93" s="237" t="s">
        <v>190</v>
      </c>
      <c r="G93" s="314"/>
      <c r="I93" s="267">
        <v>39</v>
      </c>
      <c r="J93" s="267">
        <v>54</v>
      </c>
      <c r="K93" s="267">
        <v>258</v>
      </c>
      <c r="L93" s="267">
        <v>292</v>
      </c>
      <c r="M93" s="268">
        <v>325</v>
      </c>
      <c r="O93" s="267">
        <v>79</v>
      </c>
      <c r="P93" s="267">
        <v>124</v>
      </c>
      <c r="Q93" s="267">
        <v>370</v>
      </c>
      <c r="R93" s="267">
        <v>480</v>
      </c>
      <c r="S93" s="268">
        <v>627</v>
      </c>
      <c r="U93" s="267">
        <v>91</v>
      </c>
      <c r="V93" s="267">
        <v>111</v>
      </c>
      <c r="W93" s="267">
        <v>134</v>
      </c>
      <c r="X93" s="267">
        <v>151</v>
      </c>
      <c r="Y93" s="268">
        <v>184</v>
      </c>
      <c r="AA93" s="267">
        <v>136</v>
      </c>
      <c r="AB93" s="267">
        <v>166</v>
      </c>
      <c r="AC93" s="267">
        <v>215</v>
      </c>
      <c r="AD93" s="267">
        <v>280</v>
      </c>
      <c r="AE93" s="268">
        <v>280</v>
      </c>
      <c r="AG93" s="282">
        <v>15</v>
      </c>
      <c r="AH93" s="282">
        <v>15</v>
      </c>
      <c r="AI93" s="282">
        <v>15</v>
      </c>
      <c r="AJ93" s="282">
        <v>15</v>
      </c>
      <c r="AK93" s="282">
        <v>15</v>
      </c>
      <c r="AL93" s="282"/>
      <c r="AM93" s="282">
        <v>15</v>
      </c>
      <c r="AN93" s="282">
        <v>23</v>
      </c>
      <c r="AO93" s="282">
        <v>23</v>
      </c>
      <c r="AP93" s="282">
        <v>1</v>
      </c>
      <c r="AQ93" s="282">
        <v>9</v>
      </c>
      <c r="AR93" s="153"/>
      <c r="AS93" s="282">
        <v>108.49000000000001</v>
      </c>
      <c r="AT93" s="282">
        <v>88.490000000000009</v>
      </c>
      <c r="AU93" s="282">
        <v>65.489999999999895</v>
      </c>
      <c r="AV93" s="282">
        <v>48.490000000000009</v>
      </c>
      <c r="AW93" s="283">
        <v>15.490000000000009</v>
      </c>
      <c r="AX93" s="284"/>
      <c r="AY93" s="282">
        <v>63.490000000000066</v>
      </c>
      <c r="AZ93" s="282">
        <v>33.490000000000009</v>
      </c>
      <c r="BA93" s="282">
        <v>-15.509999999999991</v>
      </c>
      <c r="BB93" s="282">
        <v>-80.509999999999991</v>
      </c>
      <c r="BC93" s="283">
        <v>-80.509999999999991</v>
      </c>
      <c r="BE93" s="267">
        <v>91</v>
      </c>
      <c r="BF93" s="267">
        <v>111</v>
      </c>
      <c r="BG93" s="267">
        <v>134</v>
      </c>
      <c r="BH93" s="267">
        <v>151</v>
      </c>
      <c r="BI93" s="268">
        <v>184</v>
      </c>
      <c r="BJ93" s="150"/>
      <c r="BK93" s="267">
        <v>136</v>
      </c>
      <c r="BL93" s="267">
        <v>166</v>
      </c>
      <c r="BM93" s="267">
        <v>215</v>
      </c>
      <c r="BN93" s="267">
        <v>280</v>
      </c>
      <c r="BO93" s="268">
        <v>280</v>
      </c>
    </row>
    <row r="94" spans="2:67">
      <c r="B94" s="280" t="s">
        <v>426</v>
      </c>
      <c r="C94" s="281" t="s">
        <v>621</v>
      </c>
      <c r="D94" s="188">
        <v>255</v>
      </c>
      <c r="E94" s="114">
        <v>3.25</v>
      </c>
      <c r="F94" s="239" t="s">
        <v>190</v>
      </c>
      <c r="G94" s="315"/>
      <c r="I94" s="282">
        <v>79</v>
      </c>
      <c r="J94" s="282">
        <v>124</v>
      </c>
      <c r="K94" s="282">
        <v>165</v>
      </c>
      <c r="L94" s="282">
        <v>165</v>
      </c>
      <c r="M94" s="283">
        <v>165</v>
      </c>
      <c r="O94" s="282">
        <v>79</v>
      </c>
      <c r="P94" s="282">
        <v>124</v>
      </c>
      <c r="Q94" s="282">
        <v>165</v>
      </c>
      <c r="R94" s="282">
        <v>165</v>
      </c>
      <c r="S94" s="283">
        <v>165</v>
      </c>
      <c r="U94" s="282">
        <v>128</v>
      </c>
      <c r="V94" s="282">
        <v>148</v>
      </c>
      <c r="W94" s="282">
        <v>171</v>
      </c>
      <c r="X94" s="282">
        <v>188</v>
      </c>
      <c r="Y94" s="283">
        <v>221</v>
      </c>
      <c r="AA94" s="282">
        <v>173</v>
      </c>
      <c r="AB94" s="282">
        <v>203</v>
      </c>
      <c r="AC94" s="282">
        <v>252</v>
      </c>
      <c r="AD94" s="282">
        <v>317</v>
      </c>
      <c r="AE94" s="283">
        <v>317</v>
      </c>
      <c r="AG94" s="282">
        <v>-20</v>
      </c>
      <c r="AH94" s="282">
        <v>-20</v>
      </c>
      <c r="AI94" s="282">
        <v>-20</v>
      </c>
      <c r="AJ94" s="282">
        <v>-20</v>
      </c>
      <c r="AK94" s="282">
        <v>-20</v>
      </c>
      <c r="AL94" s="282"/>
      <c r="AM94" s="282">
        <v>-20</v>
      </c>
      <c r="AN94" s="282">
        <v>-20</v>
      </c>
      <c r="AO94" s="282">
        <v>-20</v>
      </c>
      <c r="AP94" s="282">
        <v>-20</v>
      </c>
      <c r="AQ94" s="282">
        <v>10</v>
      </c>
      <c r="AR94" s="153"/>
      <c r="AS94" s="282">
        <v>126.75</v>
      </c>
      <c r="AT94" s="282">
        <v>106.75</v>
      </c>
      <c r="AU94" s="282">
        <v>83.749999999999886</v>
      </c>
      <c r="AV94" s="282">
        <v>66.75</v>
      </c>
      <c r="AW94" s="283">
        <v>33.75</v>
      </c>
      <c r="AX94" s="284"/>
      <c r="AY94" s="282">
        <v>81.750000000000057</v>
      </c>
      <c r="AZ94" s="282">
        <v>51.75</v>
      </c>
      <c r="BA94" s="282">
        <v>2.75</v>
      </c>
      <c r="BB94" s="282">
        <v>-62.25</v>
      </c>
      <c r="BC94" s="283">
        <v>-62.375</v>
      </c>
      <c r="BE94" s="282">
        <v>128</v>
      </c>
      <c r="BF94" s="282">
        <v>148</v>
      </c>
      <c r="BG94" s="282">
        <v>171</v>
      </c>
      <c r="BH94" s="282">
        <v>188</v>
      </c>
      <c r="BI94" s="283">
        <v>221</v>
      </c>
      <c r="BJ94" s="150"/>
      <c r="BK94" s="282">
        <v>173</v>
      </c>
      <c r="BL94" s="282">
        <v>203</v>
      </c>
      <c r="BM94" s="282">
        <v>252</v>
      </c>
      <c r="BN94" s="282">
        <v>317</v>
      </c>
      <c r="BO94" s="283">
        <v>317</v>
      </c>
    </row>
    <row r="95" spans="2:67">
      <c r="B95" s="273" t="s">
        <v>426</v>
      </c>
      <c r="C95" s="286" t="s">
        <v>553</v>
      </c>
      <c r="D95" s="189">
        <v>353</v>
      </c>
      <c r="E95" s="115">
        <v>3.25</v>
      </c>
      <c r="F95" s="237" t="s">
        <v>190</v>
      </c>
      <c r="G95" s="314"/>
      <c r="I95" s="267">
        <v>97</v>
      </c>
      <c r="J95" s="267">
        <v>97</v>
      </c>
      <c r="K95" s="267">
        <v>97</v>
      </c>
      <c r="L95" s="267">
        <v>97</v>
      </c>
      <c r="M95" s="268">
        <v>97</v>
      </c>
      <c r="O95" s="267">
        <v>97</v>
      </c>
      <c r="P95" s="267">
        <v>97</v>
      </c>
      <c r="Q95" s="267">
        <v>97</v>
      </c>
      <c r="R95" s="267">
        <v>97</v>
      </c>
      <c r="S95" s="268">
        <v>97</v>
      </c>
      <c r="U95" s="267">
        <v>128</v>
      </c>
      <c r="V95" s="267">
        <v>148</v>
      </c>
      <c r="W95" s="267">
        <v>171</v>
      </c>
      <c r="X95" s="267">
        <v>188</v>
      </c>
      <c r="Y95" s="268">
        <v>221</v>
      </c>
      <c r="AA95" s="267">
        <v>173</v>
      </c>
      <c r="AB95" s="267">
        <v>203</v>
      </c>
      <c r="AC95" s="267">
        <v>252</v>
      </c>
      <c r="AD95" s="267">
        <v>353</v>
      </c>
      <c r="AE95" s="268">
        <v>429</v>
      </c>
      <c r="AG95" s="282">
        <v>0</v>
      </c>
      <c r="AH95" s="282">
        <v>0</v>
      </c>
      <c r="AI95" s="282">
        <v>0</v>
      </c>
      <c r="AJ95" s="282">
        <v>0</v>
      </c>
      <c r="AK95" s="282">
        <v>0</v>
      </c>
      <c r="AL95" s="282"/>
      <c r="AM95" s="282">
        <v>0</v>
      </c>
      <c r="AN95" s="282">
        <v>0</v>
      </c>
      <c r="AO95" s="282">
        <v>0</v>
      </c>
      <c r="AP95" s="282">
        <v>0</v>
      </c>
      <c r="AQ95" s="282">
        <v>0</v>
      </c>
      <c r="AR95" s="153"/>
      <c r="AS95" s="282">
        <v>225.26</v>
      </c>
      <c r="AT95" s="282">
        <v>205.26</v>
      </c>
      <c r="AU95" s="282">
        <v>182.25999999999988</v>
      </c>
      <c r="AV95" s="282">
        <v>165.26</v>
      </c>
      <c r="AW95" s="283">
        <v>132.26</v>
      </c>
      <c r="AX95" s="284"/>
      <c r="AY95" s="282">
        <v>180.26000000000005</v>
      </c>
      <c r="AZ95" s="282">
        <v>150.26</v>
      </c>
      <c r="BA95" s="282">
        <v>101.25999999999999</v>
      </c>
      <c r="BB95" s="282">
        <v>0.25999999999999091</v>
      </c>
      <c r="BC95" s="283">
        <v>-75.740000000000009</v>
      </c>
      <c r="BE95" s="267">
        <v>128</v>
      </c>
      <c r="BF95" s="267">
        <v>148</v>
      </c>
      <c r="BG95" s="267">
        <v>171</v>
      </c>
      <c r="BH95" s="267">
        <v>188</v>
      </c>
      <c r="BI95" s="268">
        <v>221</v>
      </c>
      <c r="BJ95" s="150"/>
      <c r="BK95" s="267">
        <v>173</v>
      </c>
      <c r="BL95" s="267">
        <v>203</v>
      </c>
      <c r="BM95" s="267">
        <v>252</v>
      </c>
      <c r="BN95" s="267">
        <v>353</v>
      </c>
      <c r="BO95" s="268">
        <v>429</v>
      </c>
    </row>
    <row r="96" spans="2:67">
      <c r="B96" s="280" t="s">
        <v>426</v>
      </c>
      <c r="C96" s="281" t="s">
        <v>622</v>
      </c>
      <c r="D96" s="188">
        <v>481</v>
      </c>
      <c r="E96" s="114">
        <v>3.25</v>
      </c>
      <c r="F96" s="239" t="s">
        <v>190</v>
      </c>
      <c r="G96" s="315"/>
      <c r="I96" s="282">
        <v>60</v>
      </c>
      <c r="J96" s="282">
        <v>75</v>
      </c>
      <c r="K96" s="282">
        <v>99</v>
      </c>
      <c r="L96" s="282">
        <v>133</v>
      </c>
      <c r="M96" s="283">
        <v>166</v>
      </c>
      <c r="O96" s="282">
        <v>100</v>
      </c>
      <c r="P96" s="282">
        <v>145</v>
      </c>
      <c r="Q96" s="282">
        <v>211</v>
      </c>
      <c r="R96" s="282">
        <v>305</v>
      </c>
      <c r="S96" s="283">
        <v>311</v>
      </c>
      <c r="U96" s="282">
        <v>198</v>
      </c>
      <c r="V96" s="282">
        <v>218</v>
      </c>
      <c r="W96" s="282">
        <v>241</v>
      </c>
      <c r="X96" s="282">
        <v>258</v>
      </c>
      <c r="Y96" s="283">
        <v>291</v>
      </c>
      <c r="AA96" s="282">
        <v>243</v>
      </c>
      <c r="AB96" s="282">
        <v>273</v>
      </c>
      <c r="AC96" s="282">
        <v>322</v>
      </c>
      <c r="AD96" s="282">
        <v>432</v>
      </c>
      <c r="AE96" s="283">
        <v>499</v>
      </c>
      <c r="AG96" s="282">
        <v>-20</v>
      </c>
      <c r="AH96" s="282">
        <v>-20</v>
      </c>
      <c r="AI96" s="282">
        <v>-20</v>
      </c>
      <c r="AJ96" s="282">
        <v>-20</v>
      </c>
      <c r="AK96" s="282">
        <v>-20</v>
      </c>
      <c r="AL96" s="282"/>
      <c r="AM96" s="282">
        <v>-20</v>
      </c>
      <c r="AN96" s="282">
        <v>-20</v>
      </c>
      <c r="AO96" s="282">
        <v>-20</v>
      </c>
      <c r="AP96" s="282">
        <v>-65</v>
      </c>
      <c r="AQ96" s="282">
        <v>-18</v>
      </c>
      <c r="AR96" s="153"/>
      <c r="AS96" s="282">
        <v>283.02999999999997</v>
      </c>
      <c r="AT96" s="282">
        <v>263.02999999999997</v>
      </c>
      <c r="AU96" s="282">
        <v>240.02999999999986</v>
      </c>
      <c r="AV96" s="282">
        <v>223.02999999999997</v>
      </c>
      <c r="AW96" s="283">
        <v>190.02999999999997</v>
      </c>
      <c r="AX96" s="284"/>
      <c r="AY96" s="282">
        <v>238.03000000000003</v>
      </c>
      <c r="AZ96" s="282">
        <v>208.02999999999997</v>
      </c>
      <c r="BA96" s="282">
        <v>159.02999999999997</v>
      </c>
      <c r="BB96" s="282">
        <v>49.029999999999973</v>
      </c>
      <c r="BC96" s="283">
        <v>-17.970000000000027</v>
      </c>
      <c r="BE96" s="282">
        <v>198</v>
      </c>
      <c r="BF96" s="282">
        <v>218</v>
      </c>
      <c r="BG96" s="282">
        <v>241</v>
      </c>
      <c r="BH96" s="282">
        <v>258</v>
      </c>
      <c r="BI96" s="283">
        <v>291</v>
      </c>
      <c r="BJ96" s="150"/>
      <c r="BK96" s="282">
        <v>243</v>
      </c>
      <c r="BL96" s="282">
        <v>303</v>
      </c>
      <c r="BM96" s="282">
        <v>367</v>
      </c>
      <c r="BN96" s="282">
        <v>472</v>
      </c>
      <c r="BO96" s="283">
        <v>544</v>
      </c>
    </row>
    <row r="97" spans="2:67">
      <c r="B97" s="273" t="s">
        <v>426</v>
      </c>
      <c r="C97" s="286" t="s">
        <v>549</v>
      </c>
      <c r="D97" s="189">
        <v>869</v>
      </c>
      <c r="E97" s="115">
        <v>3.25</v>
      </c>
      <c r="F97" s="237" t="s">
        <v>190</v>
      </c>
      <c r="G97" s="314"/>
      <c r="I97" s="267">
        <v>66</v>
      </c>
      <c r="J97" s="267">
        <v>81</v>
      </c>
      <c r="K97" s="267">
        <v>105</v>
      </c>
      <c r="L97" s="267">
        <v>139</v>
      </c>
      <c r="M97" s="268">
        <v>172</v>
      </c>
      <c r="O97" s="267">
        <v>106</v>
      </c>
      <c r="P97" s="267">
        <v>151</v>
      </c>
      <c r="Q97" s="267">
        <v>217</v>
      </c>
      <c r="R97" s="267">
        <v>318</v>
      </c>
      <c r="S97" s="268">
        <v>325</v>
      </c>
      <c r="U97" s="267">
        <v>52</v>
      </c>
      <c r="V97" s="267">
        <v>351</v>
      </c>
      <c r="W97" s="267">
        <v>374</v>
      </c>
      <c r="X97" s="267">
        <v>391</v>
      </c>
      <c r="Y97" s="268">
        <v>424</v>
      </c>
      <c r="AA97" s="267">
        <v>97</v>
      </c>
      <c r="AB97" s="267">
        <v>406</v>
      </c>
      <c r="AC97" s="267">
        <v>455</v>
      </c>
      <c r="AD97" s="267">
        <v>520</v>
      </c>
      <c r="AE97" s="268">
        <v>632</v>
      </c>
      <c r="AG97" s="282">
        <v>0</v>
      </c>
      <c r="AH97" s="282">
        <v>-50</v>
      </c>
      <c r="AI97" s="282">
        <v>-50</v>
      </c>
      <c r="AJ97" s="282">
        <v>-50</v>
      </c>
      <c r="AK97" s="282">
        <v>-50</v>
      </c>
      <c r="AL97" s="282"/>
      <c r="AM97" s="282">
        <v>0</v>
      </c>
      <c r="AN97" s="282">
        <v>-50</v>
      </c>
      <c r="AO97" s="282">
        <v>-50</v>
      </c>
      <c r="AP97" s="282">
        <v>-50</v>
      </c>
      <c r="AQ97" s="282">
        <v>-50</v>
      </c>
      <c r="AR97" s="153"/>
      <c r="AS97" s="282">
        <v>817</v>
      </c>
      <c r="AT97" s="282">
        <v>517.78</v>
      </c>
      <c r="AU97" s="282">
        <v>494.77999999999986</v>
      </c>
      <c r="AV97" s="282">
        <v>477.78</v>
      </c>
      <c r="AW97" s="283">
        <v>444.78</v>
      </c>
      <c r="AX97" s="284"/>
      <c r="AY97" s="282">
        <v>772</v>
      </c>
      <c r="AZ97" s="282">
        <v>462.78</v>
      </c>
      <c r="BA97" s="282">
        <v>413.78</v>
      </c>
      <c r="BB97" s="282">
        <v>348.78</v>
      </c>
      <c r="BC97" s="283">
        <v>236.77999999999997</v>
      </c>
      <c r="BE97" s="267">
        <v>52</v>
      </c>
      <c r="BF97" s="267">
        <v>351</v>
      </c>
      <c r="BG97" s="267">
        <v>374</v>
      </c>
      <c r="BH97" s="267">
        <v>391</v>
      </c>
      <c r="BI97" s="268">
        <v>424</v>
      </c>
      <c r="BJ97" s="150"/>
      <c r="BK97" s="267">
        <v>97</v>
      </c>
      <c r="BL97" s="267">
        <v>436</v>
      </c>
      <c r="BM97" s="267">
        <v>505</v>
      </c>
      <c r="BN97" s="267">
        <v>560</v>
      </c>
      <c r="BO97" s="268">
        <v>692</v>
      </c>
    </row>
    <row r="98" spans="2:67">
      <c r="B98" s="280" t="s">
        <v>183</v>
      </c>
      <c r="C98" s="281" t="s">
        <v>613</v>
      </c>
      <c r="D98" s="188">
        <v>160</v>
      </c>
      <c r="E98" s="114">
        <v>3.25</v>
      </c>
      <c r="F98" s="239" t="s">
        <v>190</v>
      </c>
      <c r="G98" s="315"/>
      <c r="I98" s="282">
        <v>80</v>
      </c>
      <c r="J98" s="282">
        <v>95</v>
      </c>
      <c r="K98" s="282">
        <v>119</v>
      </c>
      <c r="L98" s="282">
        <v>153</v>
      </c>
      <c r="M98" s="283">
        <v>186</v>
      </c>
      <c r="O98" s="282">
        <v>121</v>
      </c>
      <c r="P98" s="282">
        <v>165</v>
      </c>
      <c r="Q98" s="282">
        <v>232</v>
      </c>
      <c r="R98" s="282">
        <v>342</v>
      </c>
      <c r="S98" s="283">
        <v>394</v>
      </c>
      <c r="U98" s="282">
        <v>102</v>
      </c>
      <c r="V98" s="282">
        <v>122</v>
      </c>
      <c r="W98" s="282">
        <v>145</v>
      </c>
      <c r="X98" s="282">
        <v>162</v>
      </c>
      <c r="Y98" s="283">
        <v>195</v>
      </c>
      <c r="AA98" s="282">
        <v>147</v>
      </c>
      <c r="AB98" s="282">
        <v>177</v>
      </c>
      <c r="AC98" s="282">
        <v>226</v>
      </c>
      <c r="AD98" s="282">
        <v>216</v>
      </c>
      <c r="AE98" s="283">
        <v>216</v>
      </c>
      <c r="AG98" s="282">
        <v>0</v>
      </c>
      <c r="AH98" s="282">
        <v>0</v>
      </c>
      <c r="AI98" s="282">
        <v>0</v>
      </c>
      <c r="AJ98" s="282">
        <v>0</v>
      </c>
      <c r="AK98" s="282">
        <v>0</v>
      </c>
      <c r="AL98" s="282"/>
      <c r="AM98" s="282">
        <v>0</v>
      </c>
      <c r="AN98" s="282">
        <v>0</v>
      </c>
      <c r="AO98" s="282">
        <v>0</v>
      </c>
      <c r="AP98" s="282">
        <v>0</v>
      </c>
      <c r="AQ98" s="282">
        <v>0</v>
      </c>
      <c r="AR98" s="153"/>
      <c r="AS98" s="282">
        <v>57.980000000000004</v>
      </c>
      <c r="AT98" s="282">
        <v>37.980000000000004</v>
      </c>
      <c r="AU98" s="282">
        <v>14.97999999999989</v>
      </c>
      <c r="AV98" s="282">
        <v>-2.019999999999996</v>
      </c>
      <c r="AW98" s="283">
        <v>-35.019999999999996</v>
      </c>
      <c r="AX98" s="284"/>
      <c r="AY98" s="282">
        <v>12.980000000000061</v>
      </c>
      <c r="AZ98" s="282">
        <v>-17.019999999999996</v>
      </c>
      <c r="BA98" s="282">
        <v>-66.02</v>
      </c>
      <c r="BB98" s="282">
        <v>-55.989999999999981</v>
      </c>
      <c r="BC98" s="283">
        <v>-55.989999999999981</v>
      </c>
      <c r="BE98" s="282">
        <v>102</v>
      </c>
      <c r="BF98" s="282">
        <v>122</v>
      </c>
      <c r="BG98" s="282">
        <v>145</v>
      </c>
      <c r="BH98" s="282">
        <v>162</v>
      </c>
      <c r="BI98" s="283">
        <v>195</v>
      </c>
      <c r="BJ98" s="150"/>
      <c r="BK98" s="282">
        <v>147</v>
      </c>
      <c r="BL98" s="282">
        <v>177</v>
      </c>
      <c r="BM98" s="282">
        <v>226</v>
      </c>
      <c r="BN98" s="282">
        <v>216</v>
      </c>
      <c r="BO98" s="283">
        <v>216</v>
      </c>
    </row>
    <row r="99" spans="2:67">
      <c r="B99" s="273" t="s">
        <v>183</v>
      </c>
      <c r="C99" s="286" t="s">
        <v>600</v>
      </c>
      <c r="D99" s="189">
        <v>176</v>
      </c>
      <c r="E99" s="115">
        <v>3.25</v>
      </c>
      <c r="F99" s="237" t="s">
        <v>190</v>
      </c>
      <c r="G99" s="314"/>
      <c r="I99" s="267">
        <v>78</v>
      </c>
      <c r="J99" s="267">
        <v>93</v>
      </c>
      <c r="K99" s="267">
        <v>117</v>
      </c>
      <c r="L99" s="267">
        <v>151</v>
      </c>
      <c r="M99" s="268">
        <v>184</v>
      </c>
      <c r="O99" s="267">
        <v>119</v>
      </c>
      <c r="P99" s="267">
        <v>163</v>
      </c>
      <c r="Q99" s="267">
        <v>230</v>
      </c>
      <c r="R99" s="267">
        <v>340</v>
      </c>
      <c r="S99" s="268">
        <v>356</v>
      </c>
      <c r="U99" s="267">
        <v>108</v>
      </c>
      <c r="V99" s="267">
        <v>128</v>
      </c>
      <c r="W99" s="267">
        <v>151</v>
      </c>
      <c r="X99" s="267">
        <v>168</v>
      </c>
      <c r="Y99" s="268">
        <v>201</v>
      </c>
      <c r="AA99" s="267">
        <v>153</v>
      </c>
      <c r="AB99" s="267">
        <v>183</v>
      </c>
      <c r="AC99" s="267">
        <v>232</v>
      </c>
      <c r="AD99" s="267">
        <v>237</v>
      </c>
      <c r="AE99" s="268">
        <v>237</v>
      </c>
      <c r="AG99" s="282">
        <v>-5</v>
      </c>
      <c r="AH99" s="282">
        <v>-5</v>
      </c>
      <c r="AI99" s="282">
        <v>-5</v>
      </c>
      <c r="AJ99" s="282">
        <v>-5</v>
      </c>
      <c r="AK99" s="282">
        <v>-5</v>
      </c>
      <c r="AL99" s="282"/>
      <c r="AM99" s="282">
        <v>-5</v>
      </c>
      <c r="AN99" s="282">
        <v>-5</v>
      </c>
      <c r="AO99" s="282">
        <v>-5</v>
      </c>
      <c r="AP99" s="282">
        <v>3</v>
      </c>
      <c r="AQ99" s="282">
        <v>3</v>
      </c>
      <c r="AR99" s="153"/>
      <c r="AS99" s="282">
        <v>68.180000000000007</v>
      </c>
      <c r="AT99" s="282">
        <v>48.180000000000007</v>
      </c>
      <c r="AU99" s="282">
        <v>25.179999999999893</v>
      </c>
      <c r="AV99" s="282">
        <v>8.1800000000000068</v>
      </c>
      <c r="AW99" s="283">
        <v>-24.819999999999993</v>
      </c>
      <c r="AX99" s="284"/>
      <c r="AY99" s="282">
        <v>23.180000000000064</v>
      </c>
      <c r="AZ99" s="282">
        <v>-6.8199999999999932</v>
      </c>
      <c r="BA99" s="282">
        <v>-55.819999999999993</v>
      </c>
      <c r="BB99" s="282">
        <v>-61.09</v>
      </c>
      <c r="BC99" s="283">
        <v>-61.09</v>
      </c>
      <c r="BE99" s="267">
        <v>108</v>
      </c>
      <c r="BF99" s="267">
        <v>128</v>
      </c>
      <c r="BG99" s="267">
        <v>151</v>
      </c>
      <c r="BH99" s="267">
        <v>168</v>
      </c>
      <c r="BI99" s="268">
        <v>201</v>
      </c>
      <c r="BJ99" s="150"/>
      <c r="BK99" s="267">
        <v>153</v>
      </c>
      <c r="BL99" s="267">
        <v>183</v>
      </c>
      <c r="BM99" s="267">
        <v>232</v>
      </c>
      <c r="BN99" s="267">
        <v>237</v>
      </c>
      <c r="BO99" s="268">
        <v>237</v>
      </c>
    </row>
    <row r="100" spans="2:67">
      <c r="B100" s="280" t="s">
        <v>183</v>
      </c>
      <c r="C100" s="281" t="s">
        <v>554</v>
      </c>
      <c r="D100" s="188">
        <v>245</v>
      </c>
      <c r="E100" s="114">
        <v>3.25</v>
      </c>
      <c r="F100" s="239" t="s">
        <v>190</v>
      </c>
      <c r="G100" s="315"/>
      <c r="I100" s="282">
        <v>85</v>
      </c>
      <c r="J100" s="282">
        <v>100</v>
      </c>
      <c r="K100" s="282">
        <v>124</v>
      </c>
      <c r="L100" s="282">
        <v>158</v>
      </c>
      <c r="M100" s="283">
        <v>191</v>
      </c>
      <c r="O100" s="282">
        <v>125</v>
      </c>
      <c r="P100" s="282">
        <v>170</v>
      </c>
      <c r="Q100" s="282">
        <v>236</v>
      </c>
      <c r="R100" s="282">
        <v>346</v>
      </c>
      <c r="S100" s="283">
        <v>446</v>
      </c>
      <c r="U100" s="282">
        <v>132</v>
      </c>
      <c r="V100" s="282">
        <v>152</v>
      </c>
      <c r="W100" s="282">
        <v>175</v>
      </c>
      <c r="X100" s="282">
        <v>192</v>
      </c>
      <c r="Y100" s="283">
        <v>225</v>
      </c>
      <c r="AA100" s="282">
        <v>177</v>
      </c>
      <c r="AB100" s="282">
        <v>207</v>
      </c>
      <c r="AC100" s="282">
        <v>256</v>
      </c>
      <c r="AD100" s="282">
        <v>321</v>
      </c>
      <c r="AE100" s="283">
        <v>351</v>
      </c>
      <c r="AG100" s="282">
        <v>0</v>
      </c>
      <c r="AH100" s="282">
        <v>0</v>
      </c>
      <c r="AI100" s="282">
        <v>0</v>
      </c>
      <c r="AJ100" s="282">
        <v>0</v>
      </c>
      <c r="AK100" s="282">
        <v>0</v>
      </c>
      <c r="AL100" s="282"/>
      <c r="AM100" s="282">
        <v>0</v>
      </c>
      <c r="AN100" s="282">
        <v>0</v>
      </c>
      <c r="AO100" s="282">
        <v>0</v>
      </c>
      <c r="AP100" s="282">
        <v>0</v>
      </c>
      <c r="AQ100" s="282">
        <v>0</v>
      </c>
      <c r="AR100" s="153"/>
      <c r="AS100" s="282">
        <v>113.32</v>
      </c>
      <c r="AT100" s="282">
        <v>93.32</v>
      </c>
      <c r="AU100" s="282">
        <v>70.319999999999879</v>
      </c>
      <c r="AV100" s="282">
        <v>53.319999999999993</v>
      </c>
      <c r="AW100" s="283">
        <v>20.319999999999993</v>
      </c>
      <c r="AX100" s="284"/>
      <c r="AY100" s="282">
        <v>68.32000000000005</v>
      </c>
      <c r="AZ100" s="282">
        <v>38.319999999999993</v>
      </c>
      <c r="BA100" s="282">
        <v>-10.680000000000007</v>
      </c>
      <c r="BB100" s="282">
        <v>-75.680000000000007</v>
      </c>
      <c r="BC100" s="283">
        <v>-105.68</v>
      </c>
      <c r="BE100" s="282">
        <v>132</v>
      </c>
      <c r="BF100" s="282">
        <v>152</v>
      </c>
      <c r="BG100" s="282">
        <v>175</v>
      </c>
      <c r="BH100" s="282">
        <v>192</v>
      </c>
      <c r="BI100" s="283">
        <v>225</v>
      </c>
      <c r="BJ100" s="150"/>
      <c r="BK100" s="282">
        <v>177</v>
      </c>
      <c r="BL100" s="282">
        <v>207</v>
      </c>
      <c r="BM100" s="282">
        <v>256</v>
      </c>
      <c r="BN100" s="282">
        <v>321</v>
      </c>
      <c r="BO100" s="283">
        <v>351</v>
      </c>
    </row>
    <row r="101" spans="2:67">
      <c r="B101" s="273" t="s">
        <v>183</v>
      </c>
      <c r="C101" s="286" t="s">
        <v>623</v>
      </c>
      <c r="D101" s="189">
        <v>1072</v>
      </c>
      <c r="E101" s="115">
        <v>3.25</v>
      </c>
      <c r="F101" s="237" t="s">
        <v>190</v>
      </c>
      <c r="G101" s="314"/>
      <c r="I101" s="267">
        <v>39</v>
      </c>
      <c r="J101" s="267">
        <v>54</v>
      </c>
      <c r="K101" s="267">
        <v>184</v>
      </c>
      <c r="L101" s="267">
        <v>218</v>
      </c>
      <c r="M101" s="268">
        <v>251</v>
      </c>
      <c r="O101" s="267">
        <v>79</v>
      </c>
      <c r="P101" s="267">
        <v>124</v>
      </c>
      <c r="Q101" s="267">
        <v>297</v>
      </c>
      <c r="R101" s="267">
        <v>407</v>
      </c>
      <c r="S101" s="268">
        <v>542</v>
      </c>
      <c r="U101" s="267">
        <v>52</v>
      </c>
      <c r="V101" s="267">
        <v>413</v>
      </c>
      <c r="W101" s="267">
        <v>436</v>
      </c>
      <c r="X101" s="267">
        <v>453</v>
      </c>
      <c r="Y101" s="268">
        <v>486</v>
      </c>
      <c r="AA101" s="267">
        <v>97</v>
      </c>
      <c r="AB101" s="267">
        <v>468</v>
      </c>
      <c r="AC101" s="267">
        <v>517</v>
      </c>
      <c r="AD101" s="267">
        <v>582</v>
      </c>
      <c r="AE101" s="268">
        <v>694</v>
      </c>
      <c r="AG101" s="282">
        <v>0</v>
      </c>
      <c r="AH101" s="282">
        <v>-100</v>
      </c>
      <c r="AI101" s="282">
        <v>-100</v>
      </c>
      <c r="AJ101" s="282">
        <v>-100</v>
      </c>
      <c r="AK101" s="282">
        <v>-100</v>
      </c>
      <c r="AL101" s="282"/>
      <c r="AM101" s="282">
        <v>0</v>
      </c>
      <c r="AN101" s="282">
        <v>-100</v>
      </c>
      <c r="AO101" s="282">
        <v>-100</v>
      </c>
      <c r="AP101" s="282">
        <v>-100</v>
      </c>
      <c r="AQ101" s="282">
        <v>-100</v>
      </c>
      <c r="AR101" s="153"/>
      <c r="AS101" s="282">
        <v>1020</v>
      </c>
      <c r="AT101" s="282">
        <v>659.45</v>
      </c>
      <c r="AU101" s="282">
        <v>636.44999999999993</v>
      </c>
      <c r="AV101" s="282">
        <v>619.45000000000005</v>
      </c>
      <c r="AW101" s="283">
        <v>586.45000000000005</v>
      </c>
      <c r="AX101" s="284"/>
      <c r="AY101" s="282">
        <v>975</v>
      </c>
      <c r="AZ101" s="282">
        <v>604.45000000000005</v>
      </c>
      <c r="BA101" s="282">
        <v>555.45000000000005</v>
      </c>
      <c r="BB101" s="282">
        <v>490.45000000000005</v>
      </c>
      <c r="BC101" s="283">
        <v>378.45000000000005</v>
      </c>
      <c r="BE101" s="267">
        <v>52</v>
      </c>
      <c r="BF101" s="267">
        <v>413</v>
      </c>
      <c r="BG101" s="267">
        <v>436</v>
      </c>
      <c r="BH101" s="267">
        <v>453</v>
      </c>
      <c r="BI101" s="268">
        <v>486</v>
      </c>
      <c r="BJ101" s="150"/>
      <c r="BK101" s="267">
        <v>97</v>
      </c>
      <c r="BL101" s="267">
        <v>498</v>
      </c>
      <c r="BM101" s="267">
        <v>567</v>
      </c>
      <c r="BN101" s="267">
        <v>622</v>
      </c>
      <c r="BO101" s="268">
        <v>754</v>
      </c>
    </row>
    <row r="102" spans="2:67">
      <c r="B102" s="280" t="s">
        <v>183</v>
      </c>
      <c r="C102" s="281" t="s">
        <v>550</v>
      </c>
      <c r="D102" s="188">
        <v>428</v>
      </c>
      <c r="E102" s="114">
        <v>3.25</v>
      </c>
      <c r="F102" s="239" t="s">
        <v>190</v>
      </c>
      <c r="G102" s="315"/>
      <c r="I102" s="282">
        <v>39</v>
      </c>
      <c r="J102" s="282">
        <v>54</v>
      </c>
      <c r="K102" s="282">
        <v>165</v>
      </c>
      <c r="L102" s="282">
        <v>199</v>
      </c>
      <c r="M102" s="283">
        <v>232</v>
      </c>
      <c r="O102" s="282">
        <v>79</v>
      </c>
      <c r="P102" s="282">
        <v>124</v>
      </c>
      <c r="Q102" s="282">
        <v>277</v>
      </c>
      <c r="R102" s="282">
        <v>387</v>
      </c>
      <c r="S102" s="283">
        <v>534</v>
      </c>
      <c r="U102" s="282">
        <v>209</v>
      </c>
      <c r="V102" s="282">
        <v>229</v>
      </c>
      <c r="W102" s="282">
        <v>252</v>
      </c>
      <c r="X102" s="282">
        <v>269</v>
      </c>
      <c r="Y102" s="283">
        <v>302</v>
      </c>
      <c r="AA102" s="282">
        <v>254</v>
      </c>
      <c r="AB102" s="282">
        <v>284</v>
      </c>
      <c r="AC102" s="282">
        <v>333</v>
      </c>
      <c r="AD102" s="282">
        <v>428</v>
      </c>
      <c r="AE102" s="283">
        <v>510</v>
      </c>
      <c r="AG102" s="282">
        <v>0</v>
      </c>
      <c r="AH102" s="282">
        <v>0</v>
      </c>
      <c r="AI102" s="282">
        <v>0</v>
      </c>
      <c r="AJ102" s="282">
        <v>0</v>
      </c>
      <c r="AK102" s="282">
        <v>0</v>
      </c>
      <c r="AL102" s="282"/>
      <c r="AM102" s="282">
        <v>0</v>
      </c>
      <c r="AN102" s="282">
        <v>0</v>
      </c>
      <c r="AO102" s="282">
        <v>0</v>
      </c>
      <c r="AP102" s="282">
        <v>0</v>
      </c>
      <c r="AQ102" s="282">
        <v>0</v>
      </c>
      <c r="AR102" s="153"/>
      <c r="AS102" s="282">
        <v>219.39</v>
      </c>
      <c r="AT102" s="282">
        <v>199.39</v>
      </c>
      <c r="AU102" s="282">
        <v>176.38999999999987</v>
      </c>
      <c r="AV102" s="282">
        <v>159.38999999999999</v>
      </c>
      <c r="AW102" s="283">
        <v>126.38999999999999</v>
      </c>
      <c r="AX102" s="284"/>
      <c r="AY102" s="282">
        <v>174.39000000000004</v>
      </c>
      <c r="AZ102" s="282">
        <v>144.38999999999999</v>
      </c>
      <c r="BA102" s="282">
        <v>95.389999999999986</v>
      </c>
      <c r="BB102" s="282">
        <v>0.38999999999998636</v>
      </c>
      <c r="BC102" s="283">
        <v>-81.610000000000014</v>
      </c>
      <c r="BE102" s="282">
        <v>209</v>
      </c>
      <c r="BF102" s="282">
        <v>229</v>
      </c>
      <c r="BG102" s="282">
        <v>252</v>
      </c>
      <c r="BH102" s="282">
        <v>269</v>
      </c>
      <c r="BI102" s="283">
        <v>302</v>
      </c>
      <c r="BJ102" s="150"/>
      <c r="BK102" s="282">
        <v>254</v>
      </c>
      <c r="BL102" s="282">
        <v>284</v>
      </c>
      <c r="BM102" s="282">
        <v>333</v>
      </c>
      <c r="BN102" s="282">
        <v>428</v>
      </c>
      <c r="BO102" s="283">
        <v>510</v>
      </c>
    </row>
    <row r="103" spans="2:67">
      <c r="B103" s="273" t="s">
        <v>183</v>
      </c>
      <c r="C103" s="286" t="s">
        <v>601</v>
      </c>
      <c r="D103" s="189">
        <v>364</v>
      </c>
      <c r="E103" s="115">
        <v>3.25</v>
      </c>
      <c r="F103" s="237" t="s">
        <v>190</v>
      </c>
      <c r="G103" s="314"/>
      <c r="I103" s="267">
        <v>39</v>
      </c>
      <c r="J103" s="267">
        <v>54</v>
      </c>
      <c r="K103" s="267">
        <v>248</v>
      </c>
      <c r="L103" s="267">
        <v>282</v>
      </c>
      <c r="M103" s="268">
        <v>315</v>
      </c>
      <c r="O103" s="267">
        <v>79</v>
      </c>
      <c r="P103" s="267">
        <v>124</v>
      </c>
      <c r="Q103" s="267">
        <v>360</v>
      </c>
      <c r="R103" s="267">
        <v>470</v>
      </c>
      <c r="S103" s="268">
        <v>617</v>
      </c>
      <c r="U103" s="267">
        <v>158</v>
      </c>
      <c r="V103" s="267">
        <v>178</v>
      </c>
      <c r="W103" s="267">
        <v>201</v>
      </c>
      <c r="X103" s="267">
        <v>218</v>
      </c>
      <c r="Y103" s="268">
        <v>251</v>
      </c>
      <c r="AA103" s="267">
        <v>203</v>
      </c>
      <c r="AB103" s="267">
        <v>233</v>
      </c>
      <c r="AC103" s="267">
        <v>282</v>
      </c>
      <c r="AD103" s="267">
        <v>347</v>
      </c>
      <c r="AE103" s="268">
        <v>459</v>
      </c>
      <c r="AG103" s="282">
        <v>10</v>
      </c>
      <c r="AH103" s="282">
        <v>10</v>
      </c>
      <c r="AI103" s="282">
        <v>10</v>
      </c>
      <c r="AJ103" s="282">
        <v>10</v>
      </c>
      <c r="AK103" s="282">
        <v>10</v>
      </c>
      <c r="AL103" s="282"/>
      <c r="AM103" s="282">
        <v>10</v>
      </c>
      <c r="AN103" s="282">
        <v>10</v>
      </c>
      <c r="AO103" s="282">
        <v>10</v>
      </c>
      <c r="AP103" s="282">
        <v>17</v>
      </c>
      <c r="AQ103" s="282">
        <v>2</v>
      </c>
      <c r="AR103" s="153"/>
      <c r="AS103" s="282">
        <v>206.2</v>
      </c>
      <c r="AT103" s="282">
        <v>186.2</v>
      </c>
      <c r="AU103" s="282">
        <v>163.19999999999987</v>
      </c>
      <c r="AV103" s="282">
        <v>146.19999999999999</v>
      </c>
      <c r="AW103" s="283">
        <v>113.19999999999999</v>
      </c>
      <c r="AX103" s="284"/>
      <c r="AY103" s="282">
        <v>161.20000000000005</v>
      </c>
      <c r="AZ103" s="282">
        <v>131.19999999999999</v>
      </c>
      <c r="BA103" s="282">
        <v>82.199999999999989</v>
      </c>
      <c r="BB103" s="282">
        <v>17.199999999999989</v>
      </c>
      <c r="BC103" s="283">
        <v>-94.800000000000011</v>
      </c>
      <c r="BE103" s="267">
        <v>158</v>
      </c>
      <c r="BF103" s="267">
        <v>178</v>
      </c>
      <c r="BG103" s="267">
        <v>201</v>
      </c>
      <c r="BH103" s="267">
        <v>218</v>
      </c>
      <c r="BI103" s="268">
        <v>251</v>
      </c>
      <c r="BJ103" s="150"/>
      <c r="BK103" s="267">
        <v>203</v>
      </c>
      <c r="BL103" s="267">
        <v>233</v>
      </c>
      <c r="BM103" s="267">
        <v>282</v>
      </c>
      <c r="BN103" s="267">
        <v>347</v>
      </c>
      <c r="BO103" s="268">
        <v>459</v>
      </c>
    </row>
    <row r="104" spans="2:67">
      <c r="B104" s="280" t="s">
        <v>183</v>
      </c>
      <c r="C104" s="281" t="s">
        <v>551</v>
      </c>
      <c r="D104" s="188">
        <v>524</v>
      </c>
      <c r="E104" s="114">
        <v>3.25</v>
      </c>
      <c r="F104" s="239" t="s">
        <v>190</v>
      </c>
      <c r="G104" s="315"/>
      <c r="I104" s="282">
        <v>39</v>
      </c>
      <c r="J104" s="282">
        <v>54</v>
      </c>
      <c r="K104" s="282">
        <v>312</v>
      </c>
      <c r="L104" s="282">
        <v>346</v>
      </c>
      <c r="M104" s="283">
        <v>379</v>
      </c>
      <c r="O104" s="282">
        <v>79</v>
      </c>
      <c r="P104" s="282">
        <v>124</v>
      </c>
      <c r="Q104" s="282">
        <v>425</v>
      </c>
      <c r="R104" s="282">
        <v>535</v>
      </c>
      <c r="S104" s="283">
        <v>681</v>
      </c>
      <c r="U104" s="282">
        <v>214</v>
      </c>
      <c r="V104" s="282">
        <v>234</v>
      </c>
      <c r="W104" s="282">
        <v>257</v>
      </c>
      <c r="X104" s="282">
        <v>274</v>
      </c>
      <c r="Y104" s="283">
        <v>307</v>
      </c>
      <c r="AA104" s="282">
        <v>259</v>
      </c>
      <c r="AB104" s="282">
        <v>289</v>
      </c>
      <c r="AC104" s="282">
        <v>338</v>
      </c>
      <c r="AD104" s="282">
        <v>403</v>
      </c>
      <c r="AE104" s="283">
        <v>524</v>
      </c>
      <c r="AG104" s="282">
        <v>0</v>
      </c>
      <c r="AH104" s="282">
        <v>0</v>
      </c>
      <c r="AI104" s="282">
        <v>0</v>
      </c>
      <c r="AJ104" s="282">
        <v>0</v>
      </c>
      <c r="AK104" s="282">
        <v>0</v>
      </c>
      <c r="AL104" s="282"/>
      <c r="AM104" s="282">
        <v>0</v>
      </c>
      <c r="AN104" s="282">
        <v>0</v>
      </c>
      <c r="AO104" s="282">
        <v>0</v>
      </c>
      <c r="AP104" s="282">
        <v>0</v>
      </c>
      <c r="AQ104" s="282">
        <v>0</v>
      </c>
      <c r="AR104" s="153"/>
      <c r="AS104" s="282">
        <v>310.42</v>
      </c>
      <c r="AT104" s="282">
        <v>290.42</v>
      </c>
      <c r="AU104" s="282">
        <v>267.4199999999999</v>
      </c>
      <c r="AV104" s="282">
        <v>250.42000000000002</v>
      </c>
      <c r="AW104" s="283">
        <v>217.42000000000002</v>
      </c>
      <c r="AX104" s="284"/>
      <c r="AY104" s="282">
        <v>265.42000000000007</v>
      </c>
      <c r="AZ104" s="282">
        <v>235.42000000000002</v>
      </c>
      <c r="BA104" s="282">
        <v>186.42000000000002</v>
      </c>
      <c r="BB104" s="282">
        <v>121.42000000000002</v>
      </c>
      <c r="BC104" s="283">
        <v>0.42000000000001592</v>
      </c>
      <c r="BE104" s="282">
        <v>214</v>
      </c>
      <c r="BF104" s="282">
        <v>234</v>
      </c>
      <c r="BG104" s="282">
        <v>257</v>
      </c>
      <c r="BH104" s="282">
        <v>274</v>
      </c>
      <c r="BI104" s="283">
        <v>307</v>
      </c>
      <c r="BJ104" s="150"/>
      <c r="BK104" s="282">
        <v>259</v>
      </c>
      <c r="BL104" s="282">
        <v>319</v>
      </c>
      <c r="BM104" s="282">
        <v>388</v>
      </c>
      <c r="BN104" s="282">
        <v>443</v>
      </c>
      <c r="BO104" s="283">
        <v>584</v>
      </c>
    </row>
    <row r="105" spans="2:67">
      <c r="B105" s="273" t="s">
        <v>64</v>
      </c>
      <c r="C105" s="286" t="s">
        <v>383</v>
      </c>
      <c r="D105" s="189">
        <v>74</v>
      </c>
      <c r="E105" s="115">
        <v>1.1000000000000001</v>
      </c>
      <c r="F105" s="237" t="s">
        <v>284</v>
      </c>
      <c r="G105" s="314"/>
      <c r="I105" s="267">
        <v>39</v>
      </c>
      <c r="J105" s="267">
        <v>54</v>
      </c>
      <c r="K105" s="267">
        <v>338</v>
      </c>
      <c r="L105" s="267">
        <v>372</v>
      </c>
      <c r="M105" s="268">
        <v>405</v>
      </c>
      <c r="O105" s="267">
        <v>79</v>
      </c>
      <c r="P105" s="267">
        <v>124</v>
      </c>
      <c r="Q105" s="267">
        <v>450</v>
      </c>
      <c r="R105" s="267">
        <v>560</v>
      </c>
      <c r="S105" s="268">
        <v>707</v>
      </c>
      <c r="U105" s="267">
        <v>74</v>
      </c>
      <c r="V105" s="267">
        <v>74</v>
      </c>
      <c r="W105" s="267">
        <v>74</v>
      </c>
      <c r="X105" s="267">
        <v>74</v>
      </c>
      <c r="Y105" s="268">
        <v>74</v>
      </c>
      <c r="AA105" s="267">
        <v>74</v>
      </c>
      <c r="AB105" s="267">
        <v>0</v>
      </c>
      <c r="AC105" s="267">
        <v>0</v>
      </c>
      <c r="AD105" s="267">
        <v>0</v>
      </c>
      <c r="AE105" s="268">
        <v>0</v>
      </c>
      <c r="AG105" s="282">
        <v>0</v>
      </c>
      <c r="AH105" s="282">
        <v>0</v>
      </c>
      <c r="AI105" s="282">
        <v>0</v>
      </c>
      <c r="AJ105" s="282">
        <v>0</v>
      </c>
      <c r="AK105" s="282">
        <v>0</v>
      </c>
      <c r="AL105" s="282"/>
      <c r="AM105" s="282">
        <v>0</v>
      </c>
      <c r="AN105" s="282">
        <v>0</v>
      </c>
      <c r="AO105" s="282">
        <v>0</v>
      </c>
      <c r="AP105" s="282">
        <v>0</v>
      </c>
      <c r="AQ105" s="282">
        <v>0</v>
      </c>
      <c r="AR105" s="153"/>
      <c r="AS105" s="282">
        <v>0</v>
      </c>
      <c r="AT105" s="282">
        <v>0</v>
      </c>
      <c r="AU105" s="282">
        <v>0</v>
      </c>
      <c r="AV105" s="282">
        <v>0</v>
      </c>
      <c r="AW105" s="283">
        <v>0</v>
      </c>
      <c r="AX105" s="284"/>
      <c r="AY105" s="282">
        <v>0</v>
      </c>
      <c r="AZ105" s="282" t="s">
        <v>15</v>
      </c>
      <c r="BA105" s="282" t="s">
        <v>15</v>
      </c>
      <c r="BB105" s="282" t="s">
        <v>15</v>
      </c>
      <c r="BC105" s="283" t="s">
        <v>15</v>
      </c>
      <c r="BE105" s="267">
        <v>74</v>
      </c>
      <c r="BF105" s="267">
        <v>74</v>
      </c>
      <c r="BG105" s="267">
        <v>74</v>
      </c>
      <c r="BH105" s="267">
        <v>74</v>
      </c>
      <c r="BI105" s="268">
        <v>74</v>
      </c>
      <c r="BJ105" s="150"/>
      <c r="BK105" s="267">
        <v>74</v>
      </c>
      <c r="BL105" s="267">
        <v>0</v>
      </c>
      <c r="BM105" s="267">
        <v>0</v>
      </c>
      <c r="BN105" s="267">
        <v>0</v>
      </c>
      <c r="BO105" s="268">
        <v>0</v>
      </c>
    </row>
    <row r="106" spans="2:67">
      <c r="B106" s="280" t="s">
        <v>64</v>
      </c>
      <c r="C106" s="281" t="s">
        <v>555</v>
      </c>
      <c r="D106" s="188">
        <v>70</v>
      </c>
      <c r="E106" s="114">
        <v>1.1000000000000001</v>
      </c>
      <c r="F106" s="239" t="s">
        <v>284</v>
      </c>
      <c r="G106" s="315"/>
      <c r="I106" s="282">
        <v>39</v>
      </c>
      <c r="J106" s="282">
        <v>54</v>
      </c>
      <c r="K106" s="282">
        <v>274</v>
      </c>
      <c r="L106" s="282">
        <v>308</v>
      </c>
      <c r="M106" s="283">
        <v>341</v>
      </c>
      <c r="O106" s="282">
        <v>79</v>
      </c>
      <c r="P106" s="282">
        <v>124</v>
      </c>
      <c r="Q106" s="282">
        <v>387</v>
      </c>
      <c r="R106" s="282">
        <v>497</v>
      </c>
      <c r="S106" s="283">
        <v>643</v>
      </c>
      <c r="U106" s="282">
        <v>70</v>
      </c>
      <c r="V106" s="282">
        <v>0</v>
      </c>
      <c r="W106" s="282">
        <v>0</v>
      </c>
      <c r="X106" s="282">
        <v>0</v>
      </c>
      <c r="Y106" s="283">
        <v>0</v>
      </c>
      <c r="AA106" s="282">
        <v>70</v>
      </c>
      <c r="AB106" s="282">
        <v>0</v>
      </c>
      <c r="AC106" s="282">
        <v>0</v>
      </c>
      <c r="AD106" s="282">
        <v>0</v>
      </c>
      <c r="AE106" s="283">
        <v>0</v>
      </c>
      <c r="AG106" s="282">
        <v>0</v>
      </c>
      <c r="AH106" s="282">
        <v>0</v>
      </c>
      <c r="AI106" s="282">
        <v>0</v>
      </c>
      <c r="AJ106" s="282">
        <v>0</v>
      </c>
      <c r="AK106" s="282">
        <v>0</v>
      </c>
      <c r="AL106" s="282"/>
      <c r="AM106" s="282">
        <v>0</v>
      </c>
      <c r="AN106" s="282">
        <v>0</v>
      </c>
      <c r="AO106" s="282">
        <v>0</v>
      </c>
      <c r="AP106" s="282">
        <v>0</v>
      </c>
      <c r="AQ106" s="282">
        <v>0</v>
      </c>
      <c r="AR106" s="153"/>
      <c r="AS106" s="282">
        <v>0</v>
      </c>
      <c r="AT106" s="282" t="s">
        <v>15</v>
      </c>
      <c r="AU106" s="282" t="s">
        <v>15</v>
      </c>
      <c r="AV106" s="282" t="s">
        <v>15</v>
      </c>
      <c r="AW106" s="283" t="s">
        <v>15</v>
      </c>
      <c r="AX106" s="284"/>
      <c r="AY106" s="282">
        <v>0</v>
      </c>
      <c r="AZ106" s="282" t="s">
        <v>15</v>
      </c>
      <c r="BA106" s="282" t="s">
        <v>15</v>
      </c>
      <c r="BB106" s="282" t="s">
        <v>15</v>
      </c>
      <c r="BC106" s="283" t="s">
        <v>15</v>
      </c>
      <c r="BE106" s="282">
        <v>70</v>
      </c>
      <c r="BF106" s="282">
        <v>0</v>
      </c>
      <c r="BG106" s="282">
        <v>0</v>
      </c>
      <c r="BH106" s="282">
        <v>0</v>
      </c>
      <c r="BI106" s="283">
        <v>0</v>
      </c>
      <c r="BJ106" s="150"/>
      <c r="BK106" s="282">
        <v>70</v>
      </c>
      <c r="BL106" s="282">
        <v>0</v>
      </c>
      <c r="BM106" s="282">
        <v>0</v>
      </c>
      <c r="BN106" s="282">
        <v>0</v>
      </c>
      <c r="BO106" s="283">
        <v>0</v>
      </c>
    </row>
    <row r="107" spans="2:67">
      <c r="B107" s="273" t="s">
        <v>64</v>
      </c>
      <c r="C107" s="286" t="s">
        <v>556</v>
      </c>
      <c r="D107" s="189">
        <v>0</v>
      </c>
      <c r="E107" s="115">
        <v>1.1000000000000001</v>
      </c>
      <c r="F107" s="237" t="s">
        <v>284</v>
      </c>
      <c r="G107" s="314"/>
      <c r="I107" s="267">
        <v>71</v>
      </c>
      <c r="J107" s="267">
        <v>0</v>
      </c>
      <c r="K107" s="267">
        <v>0</v>
      </c>
      <c r="L107" s="267">
        <v>0</v>
      </c>
      <c r="M107" s="268">
        <v>0</v>
      </c>
      <c r="O107" s="267">
        <v>71</v>
      </c>
      <c r="P107" s="267">
        <v>0</v>
      </c>
      <c r="Q107" s="267">
        <v>0</v>
      </c>
      <c r="R107" s="267">
        <v>0</v>
      </c>
      <c r="S107" s="268">
        <v>0</v>
      </c>
      <c r="U107" s="267">
        <v>0</v>
      </c>
      <c r="V107" s="267">
        <v>0</v>
      </c>
      <c r="W107" s="267">
        <v>0</v>
      </c>
      <c r="X107" s="267">
        <v>0</v>
      </c>
      <c r="Y107" s="268">
        <v>0</v>
      </c>
      <c r="AA107" s="267">
        <v>0</v>
      </c>
      <c r="AB107" s="267">
        <v>0</v>
      </c>
      <c r="AC107" s="267">
        <v>0</v>
      </c>
      <c r="AD107" s="267">
        <v>0</v>
      </c>
      <c r="AE107" s="268">
        <v>0</v>
      </c>
      <c r="AG107" s="282">
        <v>0</v>
      </c>
      <c r="AH107" s="282">
        <v>0</v>
      </c>
      <c r="AI107" s="282">
        <v>0</v>
      </c>
      <c r="AJ107" s="282">
        <v>0</v>
      </c>
      <c r="AK107" s="282">
        <v>0</v>
      </c>
      <c r="AL107" s="282"/>
      <c r="AM107" s="282">
        <v>0</v>
      </c>
      <c r="AN107" s="282">
        <v>0</v>
      </c>
      <c r="AO107" s="282">
        <v>0</v>
      </c>
      <c r="AP107" s="282">
        <v>0</v>
      </c>
      <c r="AQ107" s="282">
        <v>0</v>
      </c>
      <c r="AR107" s="153"/>
      <c r="AS107" s="282" t="s">
        <v>15</v>
      </c>
      <c r="AT107" s="282" t="s">
        <v>15</v>
      </c>
      <c r="AU107" s="282" t="s">
        <v>15</v>
      </c>
      <c r="AV107" s="282" t="s">
        <v>15</v>
      </c>
      <c r="AW107" s="283" t="s">
        <v>15</v>
      </c>
      <c r="AX107" s="284"/>
      <c r="AY107" s="282" t="s">
        <v>15</v>
      </c>
      <c r="AZ107" s="282" t="s">
        <v>15</v>
      </c>
      <c r="BA107" s="282" t="s">
        <v>15</v>
      </c>
      <c r="BB107" s="282" t="s">
        <v>15</v>
      </c>
      <c r="BC107" s="283" t="s">
        <v>15</v>
      </c>
      <c r="BE107" s="267">
        <v>0</v>
      </c>
      <c r="BF107" s="267">
        <v>0</v>
      </c>
      <c r="BG107" s="267">
        <v>0</v>
      </c>
      <c r="BH107" s="267">
        <v>0</v>
      </c>
      <c r="BI107" s="268">
        <v>0</v>
      </c>
      <c r="BJ107" s="150"/>
      <c r="BK107" s="267">
        <v>0</v>
      </c>
      <c r="BL107" s="267">
        <v>0</v>
      </c>
      <c r="BM107" s="267">
        <v>0</v>
      </c>
      <c r="BN107" s="267">
        <v>0</v>
      </c>
      <c r="BO107" s="268">
        <v>0</v>
      </c>
    </row>
    <row r="108" spans="2:67">
      <c r="B108" s="280" t="s">
        <v>64</v>
      </c>
      <c r="C108" s="281" t="s">
        <v>331</v>
      </c>
      <c r="D108" s="191">
        <v>104</v>
      </c>
      <c r="E108" s="300">
        <v>1.1000000000000001</v>
      </c>
      <c r="F108" s="239" t="s">
        <v>284</v>
      </c>
      <c r="G108" s="315"/>
      <c r="I108" s="282">
        <v>32</v>
      </c>
      <c r="J108" s="282">
        <v>0</v>
      </c>
      <c r="K108" s="282">
        <v>0</v>
      </c>
      <c r="L108" s="282">
        <v>0</v>
      </c>
      <c r="M108" s="283">
        <v>0</v>
      </c>
      <c r="O108" s="282">
        <v>32</v>
      </c>
      <c r="P108" s="282">
        <v>0</v>
      </c>
      <c r="Q108" s="282">
        <v>0</v>
      </c>
      <c r="R108" s="282">
        <v>0</v>
      </c>
      <c r="S108" s="283">
        <v>0</v>
      </c>
      <c r="U108" s="282">
        <v>80</v>
      </c>
      <c r="V108" s="282">
        <v>0</v>
      </c>
      <c r="W108" s="282">
        <v>0</v>
      </c>
      <c r="X108" s="282">
        <v>0</v>
      </c>
      <c r="Y108" s="283">
        <v>0</v>
      </c>
      <c r="AA108" s="282">
        <v>80</v>
      </c>
      <c r="AB108" s="282">
        <v>0</v>
      </c>
      <c r="AC108" s="282">
        <v>0</v>
      </c>
      <c r="AD108" s="282">
        <v>0</v>
      </c>
      <c r="AE108" s="283">
        <v>0</v>
      </c>
      <c r="AG108" s="282">
        <v>0</v>
      </c>
      <c r="AH108" s="282">
        <v>0</v>
      </c>
      <c r="AI108" s="282">
        <v>0</v>
      </c>
      <c r="AJ108" s="282">
        <v>0</v>
      </c>
      <c r="AK108" s="282">
        <v>0</v>
      </c>
      <c r="AL108" s="282"/>
      <c r="AM108" s="282">
        <v>0</v>
      </c>
      <c r="AN108" s="282">
        <v>0</v>
      </c>
      <c r="AO108" s="282">
        <v>0</v>
      </c>
      <c r="AP108" s="282">
        <v>0</v>
      </c>
      <c r="AQ108" s="282">
        <v>0</v>
      </c>
      <c r="AR108" s="153"/>
      <c r="AS108" s="282">
        <v>24</v>
      </c>
      <c r="AT108" s="282" t="s">
        <v>15</v>
      </c>
      <c r="AU108" s="282" t="s">
        <v>15</v>
      </c>
      <c r="AV108" s="282" t="s">
        <v>15</v>
      </c>
      <c r="AW108" s="283" t="s">
        <v>15</v>
      </c>
      <c r="AX108" s="284"/>
      <c r="AY108" s="282">
        <v>24</v>
      </c>
      <c r="AZ108" s="282" t="s">
        <v>15</v>
      </c>
      <c r="BA108" s="282" t="s">
        <v>15</v>
      </c>
      <c r="BB108" s="282" t="s">
        <v>15</v>
      </c>
      <c r="BC108" s="283" t="s">
        <v>15</v>
      </c>
      <c r="BE108" s="282">
        <v>80</v>
      </c>
      <c r="BF108" s="282">
        <v>0</v>
      </c>
      <c r="BG108" s="282">
        <v>0</v>
      </c>
      <c r="BH108" s="282">
        <v>0</v>
      </c>
      <c r="BI108" s="283">
        <v>0</v>
      </c>
      <c r="BJ108" s="150"/>
      <c r="BK108" s="282">
        <v>80</v>
      </c>
      <c r="BL108" s="282">
        <v>0</v>
      </c>
      <c r="BM108" s="282">
        <v>0</v>
      </c>
      <c r="BN108" s="282">
        <v>0</v>
      </c>
      <c r="BO108" s="283">
        <v>0</v>
      </c>
    </row>
    <row r="109" spans="2:67">
      <c r="B109" s="273" t="s">
        <v>64</v>
      </c>
      <c r="C109" s="286" t="s">
        <v>332</v>
      </c>
      <c r="D109" s="189">
        <v>0</v>
      </c>
      <c r="E109" s="115">
        <v>1.1000000000000001</v>
      </c>
      <c r="F109" s="237" t="s">
        <v>284</v>
      </c>
      <c r="G109" s="314"/>
      <c r="I109" s="267">
        <v>0</v>
      </c>
      <c r="J109" s="267">
        <v>0</v>
      </c>
      <c r="K109" s="267">
        <v>0</v>
      </c>
      <c r="L109" s="267">
        <v>0</v>
      </c>
      <c r="M109" s="268">
        <v>0</v>
      </c>
      <c r="O109" s="267">
        <v>0</v>
      </c>
      <c r="P109" s="267">
        <v>0</v>
      </c>
      <c r="Q109" s="267">
        <v>0</v>
      </c>
      <c r="R109" s="267">
        <v>0</v>
      </c>
      <c r="S109" s="268">
        <v>0</v>
      </c>
      <c r="U109" s="267">
        <v>0</v>
      </c>
      <c r="V109" s="267">
        <v>0</v>
      </c>
      <c r="W109" s="267">
        <v>0</v>
      </c>
      <c r="X109" s="267">
        <v>0</v>
      </c>
      <c r="Y109" s="268">
        <v>0</v>
      </c>
      <c r="AA109" s="267">
        <v>0</v>
      </c>
      <c r="AB109" s="267">
        <v>0</v>
      </c>
      <c r="AC109" s="267">
        <v>0</v>
      </c>
      <c r="AD109" s="267">
        <v>0</v>
      </c>
      <c r="AE109" s="268">
        <v>0</v>
      </c>
      <c r="AG109" s="282">
        <v>0</v>
      </c>
      <c r="AH109" s="282">
        <v>0</v>
      </c>
      <c r="AI109" s="282">
        <v>0</v>
      </c>
      <c r="AJ109" s="282">
        <v>0</v>
      </c>
      <c r="AK109" s="282">
        <v>0</v>
      </c>
      <c r="AL109" s="282"/>
      <c r="AM109" s="282">
        <v>0</v>
      </c>
      <c r="AN109" s="282">
        <v>0</v>
      </c>
      <c r="AO109" s="282">
        <v>0</v>
      </c>
      <c r="AP109" s="282">
        <v>0</v>
      </c>
      <c r="AQ109" s="282">
        <v>0</v>
      </c>
      <c r="AR109" s="153"/>
      <c r="AS109" s="282" t="s">
        <v>15</v>
      </c>
      <c r="AT109" s="282" t="s">
        <v>15</v>
      </c>
      <c r="AU109" s="282" t="s">
        <v>15</v>
      </c>
      <c r="AV109" s="282" t="s">
        <v>15</v>
      </c>
      <c r="AW109" s="283" t="s">
        <v>15</v>
      </c>
      <c r="AX109" s="284"/>
      <c r="AY109" s="282" t="s">
        <v>15</v>
      </c>
      <c r="AZ109" s="282" t="s">
        <v>15</v>
      </c>
      <c r="BA109" s="282" t="s">
        <v>15</v>
      </c>
      <c r="BB109" s="282" t="s">
        <v>15</v>
      </c>
      <c r="BC109" s="283" t="s">
        <v>15</v>
      </c>
      <c r="BE109" s="267">
        <v>0</v>
      </c>
      <c r="BF109" s="267">
        <v>0</v>
      </c>
      <c r="BG109" s="267">
        <v>0</v>
      </c>
      <c r="BH109" s="267">
        <v>0</v>
      </c>
      <c r="BI109" s="268">
        <v>0</v>
      </c>
      <c r="BJ109" s="150"/>
      <c r="BK109" s="267">
        <v>0</v>
      </c>
      <c r="BL109" s="267">
        <v>0</v>
      </c>
      <c r="BM109" s="267">
        <v>0</v>
      </c>
      <c r="BN109" s="267">
        <v>0</v>
      </c>
      <c r="BO109" s="268">
        <v>0</v>
      </c>
    </row>
    <row r="110" spans="2:67">
      <c r="B110" s="280" t="s">
        <v>64</v>
      </c>
      <c r="C110" s="281" t="s">
        <v>196</v>
      </c>
      <c r="D110" s="191">
        <v>0</v>
      </c>
      <c r="E110" s="300">
        <v>1.1000000000000001</v>
      </c>
      <c r="F110" s="239" t="s">
        <v>284</v>
      </c>
      <c r="G110" s="315"/>
      <c r="I110" s="282">
        <v>40</v>
      </c>
      <c r="J110" s="282">
        <v>0</v>
      </c>
      <c r="K110" s="282">
        <v>0</v>
      </c>
      <c r="L110" s="282">
        <v>0</v>
      </c>
      <c r="M110" s="283">
        <v>0</v>
      </c>
      <c r="O110" s="282">
        <v>40</v>
      </c>
      <c r="P110" s="282">
        <v>0</v>
      </c>
      <c r="Q110" s="282">
        <v>0</v>
      </c>
      <c r="R110" s="282">
        <v>0</v>
      </c>
      <c r="S110" s="283">
        <v>0</v>
      </c>
      <c r="U110" s="282">
        <v>0</v>
      </c>
      <c r="V110" s="282">
        <v>0</v>
      </c>
      <c r="W110" s="282">
        <v>0</v>
      </c>
      <c r="X110" s="282">
        <v>0</v>
      </c>
      <c r="Y110" s="283">
        <v>0</v>
      </c>
      <c r="AA110" s="282">
        <v>0</v>
      </c>
      <c r="AB110" s="282">
        <v>0</v>
      </c>
      <c r="AC110" s="282">
        <v>0</v>
      </c>
      <c r="AD110" s="282">
        <v>0</v>
      </c>
      <c r="AE110" s="283">
        <v>0</v>
      </c>
      <c r="AG110" s="282">
        <v>0</v>
      </c>
      <c r="AH110" s="282">
        <v>0</v>
      </c>
      <c r="AI110" s="282">
        <v>0</v>
      </c>
      <c r="AJ110" s="282">
        <v>0</v>
      </c>
      <c r="AK110" s="282">
        <v>0</v>
      </c>
      <c r="AL110" s="282"/>
      <c r="AM110" s="282">
        <v>0</v>
      </c>
      <c r="AN110" s="282">
        <v>0</v>
      </c>
      <c r="AO110" s="282">
        <v>0</v>
      </c>
      <c r="AP110" s="282">
        <v>0</v>
      </c>
      <c r="AQ110" s="282">
        <v>0</v>
      </c>
      <c r="AR110" s="153"/>
      <c r="AS110" s="282" t="s">
        <v>15</v>
      </c>
      <c r="AT110" s="282" t="s">
        <v>15</v>
      </c>
      <c r="AU110" s="282" t="s">
        <v>15</v>
      </c>
      <c r="AV110" s="282" t="s">
        <v>15</v>
      </c>
      <c r="AW110" s="283" t="s">
        <v>15</v>
      </c>
      <c r="AX110" s="284"/>
      <c r="AY110" s="282" t="s">
        <v>15</v>
      </c>
      <c r="AZ110" s="282" t="s">
        <v>15</v>
      </c>
      <c r="BA110" s="282" t="s">
        <v>15</v>
      </c>
      <c r="BB110" s="282" t="s">
        <v>15</v>
      </c>
      <c r="BC110" s="283" t="s">
        <v>15</v>
      </c>
      <c r="BE110" s="282">
        <v>0</v>
      </c>
      <c r="BF110" s="282">
        <v>0</v>
      </c>
      <c r="BG110" s="282">
        <v>0</v>
      </c>
      <c r="BH110" s="282">
        <v>0</v>
      </c>
      <c r="BI110" s="283">
        <v>0</v>
      </c>
      <c r="BJ110" s="150"/>
      <c r="BK110" s="282">
        <v>0</v>
      </c>
      <c r="BL110" s="282">
        <v>0</v>
      </c>
      <c r="BM110" s="282">
        <v>0</v>
      </c>
      <c r="BN110" s="282">
        <v>0</v>
      </c>
      <c r="BO110" s="283">
        <v>0</v>
      </c>
    </row>
    <row r="111" spans="2:67">
      <c r="B111" s="273" t="s">
        <v>64</v>
      </c>
      <c r="C111" s="123" t="s">
        <v>633</v>
      </c>
      <c r="D111" s="189">
        <v>115</v>
      </c>
      <c r="E111" s="115">
        <v>1.1000000000000001</v>
      </c>
      <c r="F111" s="237" t="s">
        <v>284</v>
      </c>
      <c r="G111" s="314"/>
      <c r="I111" s="267">
        <v>0</v>
      </c>
      <c r="J111" s="267">
        <v>0</v>
      </c>
      <c r="K111" s="267">
        <v>0</v>
      </c>
      <c r="L111" s="267">
        <v>0</v>
      </c>
      <c r="M111" s="268">
        <v>0</v>
      </c>
      <c r="O111" s="267">
        <v>0</v>
      </c>
      <c r="P111" s="267">
        <v>0</v>
      </c>
      <c r="Q111" s="267">
        <v>0</v>
      </c>
      <c r="R111" s="267">
        <v>0</v>
      </c>
      <c r="S111" s="268">
        <v>0</v>
      </c>
      <c r="U111" s="267">
        <v>77</v>
      </c>
      <c r="V111" s="267">
        <v>0</v>
      </c>
      <c r="W111" s="267">
        <v>0</v>
      </c>
      <c r="X111" s="267">
        <v>0</v>
      </c>
      <c r="Y111" s="268">
        <v>0</v>
      </c>
      <c r="AA111" s="267">
        <v>77</v>
      </c>
      <c r="AB111" s="267">
        <v>0</v>
      </c>
      <c r="AC111" s="267">
        <v>0</v>
      </c>
      <c r="AD111" s="267">
        <v>0</v>
      </c>
      <c r="AE111" s="268">
        <v>0</v>
      </c>
      <c r="AG111" s="282" t="e">
        <v>#N/A</v>
      </c>
      <c r="AH111" s="282" t="e">
        <v>#N/A</v>
      </c>
      <c r="AI111" s="282" t="e">
        <v>#N/A</v>
      </c>
      <c r="AJ111" s="282" t="e">
        <v>#N/A</v>
      </c>
      <c r="AK111" s="282" t="e">
        <v>#N/A</v>
      </c>
      <c r="AL111" s="282"/>
      <c r="AM111" s="282" t="e">
        <v>#N/A</v>
      </c>
      <c r="AN111" s="282" t="e">
        <v>#N/A</v>
      </c>
      <c r="AO111" s="282" t="e">
        <v>#N/A</v>
      </c>
      <c r="AP111" s="282" t="e">
        <v>#N/A</v>
      </c>
      <c r="AQ111" s="282" t="e">
        <v>#N/A</v>
      </c>
      <c r="AR111" s="153"/>
      <c r="AS111" s="282">
        <v>38</v>
      </c>
      <c r="AT111" s="282" t="s">
        <v>15</v>
      </c>
      <c r="AU111" s="282" t="s">
        <v>15</v>
      </c>
      <c r="AV111" s="282" t="s">
        <v>15</v>
      </c>
      <c r="AW111" s="283" t="s">
        <v>15</v>
      </c>
      <c r="AX111" s="284"/>
      <c r="AY111" s="282">
        <v>38</v>
      </c>
      <c r="AZ111" s="282" t="s">
        <v>15</v>
      </c>
      <c r="BA111" s="282" t="s">
        <v>15</v>
      </c>
      <c r="BB111" s="282" t="s">
        <v>15</v>
      </c>
      <c r="BC111" s="283" t="s">
        <v>15</v>
      </c>
      <c r="BE111" s="267">
        <v>77</v>
      </c>
      <c r="BF111" s="267">
        <v>0</v>
      </c>
      <c r="BG111" s="267">
        <v>0</v>
      </c>
      <c r="BH111" s="267">
        <v>0</v>
      </c>
      <c r="BI111" s="268">
        <v>0</v>
      </c>
      <c r="BJ111" s="150"/>
      <c r="BK111" s="267">
        <v>77</v>
      </c>
      <c r="BL111" s="267">
        <v>0</v>
      </c>
      <c r="BM111" s="267">
        <v>0</v>
      </c>
      <c r="BN111" s="267">
        <v>0</v>
      </c>
      <c r="BO111" s="268">
        <v>0</v>
      </c>
    </row>
    <row r="112" spans="2:67">
      <c r="B112" s="280" t="s">
        <v>64</v>
      </c>
      <c r="C112" s="118" t="s">
        <v>634</v>
      </c>
      <c r="D112" s="191">
        <v>0</v>
      </c>
      <c r="E112" s="300">
        <v>1.1000000000000001</v>
      </c>
      <c r="F112" s="239" t="s">
        <v>284</v>
      </c>
      <c r="G112" s="315"/>
      <c r="I112" s="282">
        <v>0</v>
      </c>
      <c r="J112" s="282">
        <v>0</v>
      </c>
      <c r="K112" s="282">
        <v>0</v>
      </c>
      <c r="L112" s="282">
        <v>0</v>
      </c>
      <c r="M112" s="283">
        <v>0</v>
      </c>
      <c r="O112" s="282">
        <v>0</v>
      </c>
      <c r="P112" s="282">
        <v>0</v>
      </c>
      <c r="Q112" s="282">
        <v>0</v>
      </c>
      <c r="R112" s="282">
        <v>0</v>
      </c>
      <c r="S112" s="283">
        <v>0</v>
      </c>
      <c r="U112" s="282">
        <v>0</v>
      </c>
      <c r="V112" s="282">
        <v>0</v>
      </c>
      <c r="W112" s="282">
        <v>0</v>
      </c>
      <c r="X112" s="282">
        <v>0</v>
      </c>
      <c r="Y112" s="283">
        <v>0</v>
      </c>
      <c r="AA112" s="282">
        <v>0</v>
      </c>
      <c r="AB112" s="282">
        <v>0</v>
      </c>
      <c r="AC112" s="282">
        <v>0</v>
      </c>
      <c r="AD112" s="282">
        <v>0</v>
      </c>
      <c r="AE112" s="283">
        <v>0</v>
      </c>
      <c r="AG112" s="282" t="e">
        <v>#N/A</v>
      </c>
      <c r="AH112" s="282" t="e">
        <v>#N/A</v>
      </c>
      <c r="AI112" s="282" t="e">
        <v>#N/A</v>
      </c>
      <c r="AJ112" s="282" t="e">
        <v>#N/A</v>
      </c>
      <c r="AK112" s="282" t="e">
        <v>#N/A</v>
      </c>
      <c r="AL112" s="282"/>
      <c r="AM112" s="282" t="e">
        <v>#N/A</v>
      </c>
      <c r="AN112" s="282" t="e">
        <v>#N/A</v>
      </c>
      <c r="AO112" s="282" t="e">
        <v>#N/A</v>
      </c>
      <c r="AP112" s="282" t="e">
        <v>#N/A</v>
      </c>
      <c r="AQ112" s="282" t="e">
        <v>#N/A</v>
      </c>
      <c r="AR112" s="153"/>
      <c r="AS112" s="282" t="s">
        <v>15</v>
      </c>
      <c r="AT112" s="282" t="s">
        <v>15</v>
      </c>
      <c r="AU112" s="282" t="s">
        <v>15</v>
      </c>
      <c r="AV112" s="282" t="s">
        <v>15</v>
      </c>
      <c r="AW112" s="283" t="s">
        <v>15</v>
      </c>
      <c r="AX112" s="284"/>
      <c r="AY112" s="282" t="s">
        <v>15</v>
      </c>
      <c r="AZ112" s="282" t="s">
        <v>15</v>
      </c>
      <c r="BA112" s="282" t="s">
        <v>15</v>
      </c>
      <c r="BB112" s="282" t="s">
        <v>15</v>
      </c>
      <c r="BC112" s="283" t="s">
        <v>15</v>
      </c>
      <c r="BE112" s="282">
        <v>0</v>
      </c>
      <c r="BF112" s="282">
        <v>0</v>
      </c>
      <c r="BG112" s="282">
        <v>0</v>
      </c>
      <c r="BH112" s="282">
        <v>0</v>
      </c>
      <c r="BI112" s="283">
        <v>0</v>
      </c>
      <c r="BJ112" s="150"/>
      <c r="BK112" s="282">
        <v>0</v>
      </c>
      <c r="BL112" s="282">
        <v>0</v>
      </c>
      <c r="BM112" s="282">
        <v>0</v>
      </c>
      <c r="BN112" s="282">
        <v>0</v>
      </c>
      <c r="BO112" s="283">
        <v>0</v>
      </c>
    </row>
    <row r="113" spans="2:67">
      <c r="B113" s="273" t="s">
        <v>116</v>
      </c>
      <c r="C113" s="286" t="s">
        <v>329</v>
      </c>
      <c r="D113" s="189">
        <v>547</v>
      </c>
      <c r="E113" s="115">
        <v>0</v>
      </c>
      <c r="F113" s="237" t="s">
        <v>460</v>
      </c>
      <c r="G113" s="314"/>
      <c r="I113" s="267">
        <v>0</v>
      </c>
      <c r="J113" s="267">
        <v>0</v>
      </c>
      <c r="K113" s="267">
        <v>0</v>
      </c>
      <c r="L113" s="267">
        <v>0</v>
      </c>
      <c r="M113" s="268">
        <v>0</v>
      </c>
      <c r="O113" s="267">
        <v>0</v>
      </c>
      <c r="P113" s="267">
        <v>0</v>
      </c>
      <c r="Q113" s="267">
        <v>0</v>
      </c>
      <c r="R113" s="267">
        <v>0</v>
      </c>
      <c r="S113" s="268">
        <v>0</v>
      </c>
      <c r="U113" s="267">
        <v>352</v>
      </c>
      <c r="V113" s="267">
        <v>352</v>
      </c>
      <c r="W113" s="267">
        <v>352</v>
      </c>
      <c r="X113" s="267">
        <v>352</v>
      </c>
      <c r="Y113" s="268">
        <v>352</v>
      </c>
      <c r="AA113" s="267">
        <v>352</v>
      </c>
      <c r="AB113" s="267">
        <v>352</v>
      </c>
      <c r="AC113" s="267">
        <v>352</v>
      </c>
      <c r="AD113" s="267">
        <v>352</v>
      </c>
      <c r="AE113" s="268">
        <v>352</v>
      </c>
      <c r="AG113" s="282">
        <v>0</v>
      </c>
      <c r="AH113" s="282">
        <v>0</v>
      </c>
      <c r="AI113" s="282">
        <v>0</v>
      </c>
      <c r="AJ113" s="282">
        <v>0</v>
      </c>
      <c r="AK113" s="282">
        <v>0</v>
      </c>
      <c r="AL113" s="282"/>
      <c r="AM113" s="282">
        <v>0</v>
      </c>
      <c r="AN113" s="282">
        <v>0</v>
      </c>
      <c r="AO113" s="282">
        <v>0</v>
      </c>
      <c r="AP113" s="282">
        <v>0</v>
      </c>
      <c r="AQ113" s="282">
        <v>0</v>
      </c>
      <c r="AR113" s="153"/>
      <c r="AS113" s="282">
        <v>195</v>
      </c>
      <c r="AT113" s="282">
        <v>195</v>
      </c>
      <c r="AU113" s="282">
        <v>195</v>
      </c>
      <c r="AV113" s="282">
        <v>195</v>
      </c>
      <c r="AW113" s="283">
        <v>195</v>
      </c>
      <c r="AX113" s="284"/>
      <c r="AY113" s="282">
        <v>195</v>
      </c>
      <c r="AZ113" s="282">
        <v>195</v>
      </c>
      <c r="BA113" s="282">
        <v>195</v>
      </c>
      <c r="BB113" s="282">
        <v>195</v>
      </c>
      <c r="BC113" s="283">
        <v>195</v>
      </c>
      <c r="BE113" s="267">
        <v>352</v>
      </c>
      <c r="BF113" s="267">
        <v>352</v>
      </c>
      <c r="BG113" s="267">
        <v>352</v>
      </c>
      <c r="BH113" s="267">
        <v>352</v>
      </c>
      <c r="BI113" s="268">
        <v>352</v>
      </c>
      <c r="BJ113" s="150"/>
      <c r="BK113" s="267">
        <v>352</v>
      </c>
      <c r="BL113" s="267">
        <v>352</v>
      </c>
      <c r="BM113" s="267">
        <v>352</v>
      </c>
      <c r="BN113" s="267">
        <v>352</v>
      </c>
      <c r="BO113" s="268">
        <v>352</v>
      </c>
    </row>
    <row r="114" spans="2:67">
      <c r="B114" s="280" t="s">
        <v>65</v>
      </c>
      <c r="C114" s="281" t="s">
        <v>499</v>
      </c>
      <c r="D114" s="191">
        <v>186</v>
      </c>
      <c r="E114" s="300">
        <v>3.25</v>
      </c>
      <c r="F114" s="239" t="s">
        <v>190</v>
      </c>
      <c r="G114" s="315"/>
      <c r="I114" s="282">
        <v>0</v>
      </c>
      <c r="J114" s="282">
        <v>0</v>
      </c>
      <c r="K114" s="282">
        <v>0</v>
      </c>
      <c r="L114" s="282">
        <v>0</v>
      </c>
      <c r="M114" s="283">
        <v>0</v>
      </c>
      <c r="O114" s="282">
        <v>0</v>
      </c>
      <c r="P114" s="282">
        <v>0</v>
      </c>
      <c r="Q114" s="282">
        <v>0</v>
      </c>
      <c r="R114" s="282">
        <v>0</v>
      </c>
      <c r="S114" s="283">
        <v>0</v>
      </c>
      <c r="U114" s="282">
        <v>52</v>
      </c>
      <c r="V114" s="282">
        <v>72</v>
      </c>
      <c r="W114" s="282">
        <v>95</v>
      </c>
      <c r="X114" s="282">
        <v>112</v>
      </c>
      <c r="Y114" s="283">
        <v>145</v>
      </c>
      <c r="AA114" s="282">
        <v>97</v>
      </c>
      <c r="AB114" s="282">
        <v>127</v>
      </c>
      <c r="AC114" s="282">
        <v>176</v>
      </c>
      <c r="AD114" s="282">
        <v>241</v>
      </c>
      <c r="AE114" s="283">
        <v>254</v>
      </c>
      <c r="AG114" s="282">
        <v>0</v>
      </c>
      <c r="AH114" s="282">
        <v>0</v>
      </c>
      <c r="AI114" s="282">
        <v>0</v>
      </c>
      <c r="AJ114" s="282">
        <v>0</v>
      </c>
      <c r="AK114" s="282">
        <v>0</v>
      </c>
      <c r="AL114" s="282"/>
      <c r="AM114" s="282">
        <v>0</v>
      </c>
      <c r="AN114" s="282">
        <v>0</v>
      </c>
      <c r="AO114" s="282">
        <v>0</v>
      </c>
      <c r="AP114" s="282">
        <v>0</v>
      </c>
      <c r="AQ114" s="282">
        <v>0</v>
      </c>
      <c r="AR114" s="153"/>
      <c r="AS114" s="282">
        <v>134</v>
      </c>
      <c r="AT114" s="282">
        <v>114</v>
      </c>
      <c r="AU114" s="282">
        <v>90.999999999999886</v>
      </c>
      <c r="AV114" s="282">
        <v>74</v>
      </c>
      <c r="AW114" s="283">
        <v>41</v>
      </c>
      <c r="AX114" s="284"/>
      <c r="AY114" s="282">
        <v>89.000000000000057</v>
      </c>
      <c r="AZ114" s="282">
        <v>59</v>
      </c>
      <c r="BA114" s="282">
        <v>10</v>
      </c>
      <c r="BB114" s="282">
        <v>-55</v>
      </c>
      <c r="BC114" s="283">
        <v>-67.875</v>
      </c>
      <c r="BE114" s="282">
        <v>52</v>
      </c>
      <c r="BF114" s="282">
        <v>72</v>
      </c>
      <c r="BG114" s="282">
        <v>95</v>
      </c>
      <c r="BH114" s="282">
        <v>112</v>
      </c>
      <c r="BI114" s="283">
        <v>145</v>
      </c>
      <c r="BJ114" s="150"/>
      <c r="BK114" s="282">
        <v>97</v>
      </c>
      <c r="BL114" s="282">
        <v>127</v>
      </c>
      <c r="BM114" s="282">
        <v>176</v>
      </c>
      <c r="BN114" s="282">
        <v>241</v>
      </c>
      <c r="BO114" s="283">
        <v>254</v>
      </c>
    </row>
    <row r="115" spans="2:67">
      <c r="B115" s="273" t="s">
        <v>65</v>
      </c>
      <c r="C115" s="286" t="s">
        <v>465</v>
      </c>
      <c r="D115" s="189">
        <v>215</v>
      </c>
      <c r="E115" s="115">
        <v>3.25</v>
      </c>
      <c r="F115" s="237" t="s">
        <v>190</v>
      </c>
      <c r="G115" s="314"/>
      <c r="I115" s="267">
        <v>0</v>
      </c>
      <c r="J115" s="267">
        <v>0</v>
      </c>
      <c r="K115" s="267">
        <v>0</v>
      </c>
      <c r="L115" s="267">
        <v>0</v>
      </c>
      <c r="M115" s="268">
        <v>0</v>
      </c>
      <c r="O115" s="267">
        <v>0</v>
      </c>
      <c r="P115" s="267">
        <v>0</v>
      </c>
      <c r="Q115" s="267">
        <v>0</v>
      </c>
      <c r="R115" s="267">
        <v>0</v>
      </c>
      <c r="S115" s="268">
        <v>0</v>
      </c>
      <c r="U115" s="267">
        <v>52</v>
      </c>
      <c r="V115" s="267">
        <v>72</v>
      </c>
      <c r="W115" s="267">
        <v>95</v>
      </c>
      <c r="X115" s="267">
        <v>112</v>
      </c>
      <c r="Y115" s="268">
        <v>145</v>
      </c>
      <c r="AA115" s="267">
        <v>97</v>
      </c>
      <c r="AB115" s="267">
        <v>127</v>
      </c>
      <c r="AC115" s="267">
        <v>176</v>
      </c>
      <c r="AD115" s="267">
        <v>241</v>
      </c>
      <c r="AE115" s="268">
        <v>291</v>
      </c>
      <c r="AG115" s="282">
        <v>0</v>
      </c>
      <c r="AH115" s="282">
        <v>0</v>
      </c>
      <c r="AI115" s="282">
        <v>0</v>
      </c>
      <c r="AJ115" s="282">
        <v>0</v>
      </c>
      <c r="AK115" s="282">
        <v>0</v>
      </c>
      <c r="AL115" s="282"/>
      <c r="AM115" s="282">
        <v>0</v>
      </c>
      <c r="AN115" s="282">
        <v>0</v>
      </c>
      <c r="AO115" s="282">
        <v>0</v>
      </c>
      <c r="AP115" s="282">
        <v>0</v>
      </c>
      <c r="AQ115" s="282">
        <v>0</v>
      </c>
      <c r="AR115" s="153"/>
      <c r="AS115" s="282">
        <v>163</v>
      </c>
      <c r="AT115" s="282">
        <v>143</v>
      </c>
      <c r="AU115" s="282">
        <v>119.99999999999989</v>
      </c>
      <c r="AV115" s="282">
        <v>103</v>
      </c>
      <c r="AW115" s="283">
        <v>70</v>
      </c>
      <c r="AX115" s="284"/>
      <c r="AY115" s="282">
        <v>118.00000000000006</v>
      </c>
      <c r="AZ115" s="282">
        <v>88</v>
      </c>
      <c r="BA115" s="282">
        <v>39</v>
      </c>
      <c r="BB115" s="282">
        <v>-26</v>
      </c>
      <c r="BC115" s="283">
        <v>-76.375</v>
      </c>
      <c r="BE115" s="267">
        <v>52</v>
      </c>
      <c r="BF115" s="267">
        <v>72</v>
      </c>
      <c r="BG115" s="267">
        <v>95</v>
      </c>
      <c r="BH115" s="267">
        <v>112</v>
      </c>
      <c r="BI115" s="268">
        <v>145</v>
      </c>
      <c r="BJ115" s="150"/>
      <c r="BK115" s="267">
        <v>97</v>
      </c>
      <c r="BL115" s="267">
        <v>127</v>
      </c>
      <c r="BM115" s="267">
        <v>176</v>
      </c>
      <c r="BN115" s="267">
        <v>241</v>
      </c>
      <c r="BO115" s="268">
        <v>291</v>
      </c>
    </row>
    <row r="116" spans="2:67">
      <c r="B116" s="280" t="s">
        <v>65</v>
      </c>
      <c r="C116" s="281" t="s">
        <v>614</v>
      </c>
      <c r="D116" s="191">
        <v>186</v>
      </c>
      <c r="E116" s="300">
        <v>3.25</v>
      </c>
      <c r="F116" s="239" t="s">
        <v>190</v>
      </c>
      <c r="G116" s="315"/>
      <c r="I116" s="282">
        <v>0</v>
      </c>
      <c r="J116" s="282">
        <v>0</v>
      </c>
      <c r="K116" s="282">
        <v>0</v>
      </c>
      <c r="L116" s="282">
        <v>0</v>
      </c>
      <c r="M116" s="283">
        <v>0</v>
      </c>
      <c r="O116" s="282">
        <v>0</v>
      </c>
      <c r="P116" s="282">
        <v>0</v>
      </c>
      <c r="Q116" s="282">
        <v>0</v>
      </c>
      <c r="R116" s="282">
        <v>0</v>
      </c>
      <c r="S116" s="283">
        <v>0</v>
      </c>
      <c r="U116" s="282">
        <v>101</v>
      </c>
      <c r="V116" s="282">
        <v>121</v>
      </c>
      <c r="W116" s="282">
        <v>144</v>
      </c>
      <c r="X116" s="282">
        <v>161</v>
      </c>
      <c r="Y116" s="283">
        <v>194</v>
      </c>
      <c r="AA116" s="282">
        <v>146</v>
      </c>
      <c r="AB116" s="282">
        <v>176</v>
      </c>
      <c r="AC116" s="282">
        <v>225</v>
      </c>
      <c r="AD116" s="282">
        <v>256</v>
      </c>
      <c r="AE116" s="283">
        <v>256</v>
      </c>
      <c r="AG116" s="282">
        <v>0</v>
      </c>
      <c r="AH116" s="282">
        <v>0</v>
      </c>
      <c r="AI116" s="282">
        <v>0</v>
      </c>
      <c r="AJ116" s="282">
        <v>0</v>
      </c>
      <c r="AK116" s="282">
        <v>0</v>
      </c>
      <c r="AL116" s="282"/>
      <c r="AM116" s="282">
        <v>0</v>
      </c>
      <c r="AN116" s="282">
        <v>0</v>
      </c>
      <c r="AO116" s="282">
        <v>0</v>
      </c>
      <c r="AP116" s="282">
        <v>0</v>
      </c>
      <c r="AQ116" s="282">
        <v>0</v>
      </c>
      <c r="AR116" s="153"/>
      <c r="AS116" s="282">
        <v>85.25</v>
      </c>
      <c r="AT116" s="282">
        <v>65.25</v>
      </c>
      <c r="AU116" s="282">
        <v>42.249999999999886</v>
      </c>
      <c r="AV116" s="282">
        <v>25.25</v>
      </c>
      <c r="AW116" s="283">
        <v>-7.75</v>
      </c>
      <c r="AX116" s="284"/>
      <c r="AY116" s="282">
        <v>40.250000000000057</v>
      </c>
      <c r="AZ116" s="282">
        <v>10.25</v>
      </c>
      <c r="BA116" s="282">
        <v>-38.75</v>
      </c>
      <c r="BB116" s="282">
        <v>-69.625</v>
      </c>
      <c r="BC116" s="283">
        <v>-69.625</v>
      </c>
      <c r="BE116" s="282">
        <v>101</v>
      </c>
      <c r="BF116" s="282">
        <v>121</v>
      </c>
      <c r="BG116" s="282">
        <v>144</v>
      </c>
      <c r="BH116" s="282">
        <v>161</v>
      </c>
      <c r="BI116" s="283">
        <v>194</v>
      </c>
      <c r="BJ116" s="150"/>
      <c r="BK116" s="282">
        <v>146</v>
      </c>
      <c r="BL116" s="282">
        <v>176</v>
      </c>
      <c r="BM116" s="282">
        <v>225</v>
      </c>
      <c r="BN116" s="282">
        <v>256</v>
      </c>
      <c r="BO116" s="283">
        <v>256</v>
      </c>
    </row>
    <row r="117" spans="2:67">
      <c r="B117" s="273" t="s">
        <v>65</v>
      </c>
      <c r="C117" s="286" t="s">
        <v>615</v>
      </c>
      <c r="D117" s="189">
        <v>248</v>
      </c>
      <c r="E117" s="115">
        <v>3.25</v>
      </c>
      <c r="F117" s="237" t="s">
        <v>190</v>
      </c>
      <c r="G117" s="314"/>
      <c r="I117" s="267">
        <v>112</v>
      </c>
      <c r="J117" s="267">
        <v>156</v>
      </c>
      <c r="K117" s="267">
        <v>148</v>
      </c>
      <c r="L117" s="267">
        <v>148</v>
      </c>
      <c r="M117" s="268">
        <v>148</v>
      </c>
      <c r="O117" s="267">
        <v>112</v>
      </c>
      <c r="P117" s="267">
        <v>156</v>
      </c>
      <c r="Q117" s="267">
        <v>148</v>
      </c>
      <c r="R117" s="267">
        <v>148</v>
      </c>
      <c r="S117" s="268">
        <v>148</v>
      </c>
      <c r="U117" s="267">
        <v>150</v>
      </c>
      <c r="V117" s="267">
        <v>170</v>
      </c>
      <c r="W117" s="267">
        <v>193</v>
      </c>
      <c r="X117" s="267">
        <v>210</v>
      </c>
      <c r="Y117" s="268">
        <v>243</v>
      </c>
      <c r="AA117" s="267">
        <v>195</v>
      </c>
      <c r="AB117" s="267">
        <v>225</v>
      </c>
      <c r="AC117" s="267">
        <v>274</v>
      </c>
      <c r="AD117" s="267">
        <v>324</v>
      </c>
      <c r="AE117" s="268">
        <v>324</v>
      </c>
      <c r="AG117" s="282">
        <v>0</v>
      </c>
      <c r="AH117" s="282">
        <v>0</v>
      </c>
      <c r="AI117" s="282">
        <v>0</v>
      </c>
      <c r="AJ117" s="282">
        <v>0</v>
      </c>
      <c r="AK117" s="282">
        <v>0</v>
      </c>
      <c r="AL117" s="282"/>
      <c r="AM117" s="282">
        <v>0</v>
      </c>
      <c r="AN117" s="282">
        <v>0</v>
      </c>
      <c r="AO117" s="282">
        <v>0</v>
      </c>
      <c r="AP117" s="282">
        <v>0</v>
      </c>
      <c r="AQ117" s="282">
        <v>0</v>
      </c>
      <c r="AR117" s="153"/>
      <c r="AS117" s="282">
        <v>98</v>
      </c>
      <c r="AT117" s="282">
        <v>78</v>
      </c>
      <c r="AU117" s="282">
        <v>54.999999999999886</v>
      </c>
      <c r="AV117" s="282">
        <v>38</v>
      </c>
      <c r="AW117" s="283">
        <v>5</v>
      </c>
      <c r="AX117" s="284"/>
      <c r="AY117" s="282">
        <v>53.000000000000057</v>
      </c>
      <c r="AZ117" s="282">
        <v>23</v>
      </c>
      <c r="BA117" s="282">
        <v>-26</v>
      </c>
      <c r="BB117" s="282">
        <v>-76</v>
      </c>
      <c r="BC117" s="283">
        <v>-76</v>
      </c>
      <c r="BE117" s="267">
        <v>150</v>
      </c>
      <c r="BF117" s="267">
        <v>170</v>
      </c>
      <c r="BG117" s="267">
        <v>193</v>
      </c>
      <c r="BH117" s="267">
        <v>210</v>
      </c>
      <c r="BI117" s="268">
        <v>243</v>
      </c>
      <c r="BJ117" s="150"/>
      <c r="BK117" s="267">
        <v>195</v>
      </c>
      <c r="BL117" s="267">
        <v>225</v>
      </c>
      <c r="BM117" s="267">
        <v>274</v>
      </c>
      <c r="BN117" s="267">
        <v>324</v>
      </c>
      <c r="BO117" s="268">
        <v>324</v>
      </c>
    </row>
    <row r="118" spans="2:67">
      <c r="B118" s="280" t="s">
        <v>65</v>
      </c>
      <c r="C118" s="281" t="s">
        <v>466</v>
      </c>
      <c r="D118" s="191">
        <v>299</v>
      </c>
      <c r="E118" s="300">
        <v>3.25</v>
      </c>
      <c r="F118" s="239" t="s">
        <v>190</v>
      </c>
      <c r="G118" s="315"/>
      <c r="I118" s="282">
        <v>39</v>
      </c>
      <c r="J118" s="282">
        <v>54</v>
      </c>
      <c r="K118" s="282">
        <v>78</v>
      </c>
      <c r="L118" s="282">
        <v>112</v>
      </c>
      <c r="M118" s="283">
        <v>145</v>
      </c>
      <c r="O118" s="282">
        <v>79</v>
      </c>
      <c r="P118" s="282">
        <v>124</v>
      </c>
      <c r="Q118" s="282">
        <v>190</v>
      </c>
      <c r="R118" s="282">
        <v>255</v>
      </c>
      <c r="S118" s="283">
        <v>262</v>
      </c>
      <c r="U118" s="282">
        <v>108</v>
      </c>
      <c r="V118" s="282">
        <v>128</v>
      </c>
      <c r="W118" s="282">
        <v>151</v>
      </c>
      <c r="X118" s="282">
        <v>168</v>
      </c>
      <c r="Y118" s="283">
        <v>201</v>
      </c>
      <c r="AA118" s="282">
        <v>153</v>
      </c>
      <c r="AB118" s="282">
        <v>183</v>
      </c>
      <c r="AC118" s="282">
        <v>232</v>
      </c>
      <c r="AD118" s="282">
        <v>299</v>
      </c>
      <c r="AE118" s="283">
        <v>394</v>
      </c>
      <c r="AG118" s="282">
        <v>0</v>
      </c>
      <c r="AH118" s="282">
        <v>0</v>
      </c>
      <c r="AI118" s="282">
        <v>0</v>
      </c>
      <c r="AJ118" s="282">
        <v>0</v>
      </c>
      <c r="AK118" s="282">
        <v>0</v>
      </c>
      <c r="AL118" s="282"/>
      <c r="AM118" s="282">
        <v>0</v>
      </c>
      <c r="AN118" s="282">
        <v>0</v>
      </c>
      <c r="AO118" s="282">
        <v>0</v>
      </c>
      <c r="AP118" s="282">
        <v>0</v>
      </c>
      <c r="AQ118" s="282">
        <v>0</v>
      </c>
      <c r="AR118" s="153"/>
      <c r="AS118" s="282">
        <v>191.25</v>
      </c>
      <c r="AT118" s="282">
        <v>171.25</v>
      </c>
      <c r="AU118" s="282">
        <v>148.24999999999989</v>
      </c>
      <c r="AV118" s="282">
        <v>131.25</v>
      </c>
      <c r="AW118" s="283">
        <v>98.25</v>
      </c>
      <c r="AX118" s="284"/>
      <c r="AY118" s="282">
        <v>146.25000000000006</v>
      </c>
      <c r="AZ118" s="282">
        <v>116.25</v>
      </c>
      <c r="BA118" s="282">
        <v>67.25</v>
      </c>
      <c r="BB118" s="282">
        <v>0.25</v>
      </c>
      <c r="BC118" s="283">
        <v>-94.625</v>
      </c>
      <c r="BE118" s="282">
        <v>108</v>
      </c>
      <c r="BF118" s="282">
        <v>128</v>
      </c>
      <c r="BG118" s="282">
        <v>151</v>
      </c>
      <c r="BH118" s="282">
        <v>168</v>
      </c>
      <c r="BI118" s="283">
        <v>201</v>
      </c>
      <c r="BJ118" s="150"/>
      <c r="BK118" s="282">
        <v>153</v>
      </c>
      <c r="BL118" s="282">
        <v>183</v>
      </c>
      <c r="BM118" s="282">
        <v>232</v>
      </c>
      <c r="BN118" s="282">
        <v>299</v>
      </c>
      <c r="BO118" s="283">
        <v>394</v>
      </c>
    </row>
    <row r="119" spans="2:67">
      <c r="B119" s="273" t="s">
        <v>65</v>
      </c>
      <c r="C119" s="286" t="s">
        <v>513</v>
      </c>
      <c r="D119" s="189">
        <v>358</v>
      </c>
      <c r="E119" s="115">
        <v>3.25</v>
      </c>
      <c r="F119" s="237" t="s">
        <v>190</v>
      </c>
      <c r="G119" s="314"/>
      <c r="I119" s="267">
        <v>39</v>
      </c>
      <c r="J119" s="267">
        <v>54</v>
      </c>
      <c r="K119" s="267">
        <v>78</v>
      </c>
      <c r="L119" s="267">
        <v>112</v>
      </c>
      <c r="M119" s="268">
        <v>145</v>
      </c>
      <c r="O119" s="267">
        <v>79</v>
      </c>
      <c r="P119" s="267">
        <v>124</v>
      </c>
      <c r="Q119" s="267">
        <v>190</v>
      </c>
      <c r="R119" s="267">
        <v>282</v>
      </c>
      <c r="S119" s="268">
        <v>289</v>
      </c>
      <c r="U119" s="267">
        <v>124</v>
      </c>
      <c r="V119" s="267">
        <v>144</v>
      </c>
      <c r="W119" s="267">
        <v>167</v>
      </c>
      <c r="X119" s="267">
        <v>184</v>
      </c>
      <c r="Y119" s="268">
        <v>217</v>
      </c>
      <c r="AA119" s="267">
        <v>169</v>
      </c>
      <c r="AB119" s="267">
        <v>199</v>
      </c>
      <c r="AC119" s="267">
        <v>248</v>
      </c>
      <c r="AD119" s="267">
        <v>343</v>
      </c>
      <c r="AE119" s="268">
        <v>425</v>
      </c>
      <c r="AG119" s="282">
        <v>0</v>
      </c>
      <c r="AH119" s="282">
        <v>0</v>
      </c>
      <c r="AI119" s="282">
        <v>0</v>
      </c>
      <c r="AJ119" s="282">
        <v>0</v>
      </c>
      <c r="AK119" s="282">
        <v>0</v>
      </c>
      <c r="AL119" s="282"/>
      <c r="AM119" s="282">
        <v>0</v>
      </c>
      <c r="AN119" s="282">
        <v>0</v>
      </c>
      <c r="AO119" s="282">
        <v>0</v>
      </c>
      <c r="AP119" s="282">
        <v>0</v>
      </c>
      <c r="AQ119" s="282">
        <v>0</v>
      </c>
      <c r="AR119" s="153"/>
      <c r="AS119" s="282">
        <v>234.25</v>
      </c>
      <c r="AT119" s="282">
        <v>214.25</v>
      </c>
      <c r="AU119" s="282">
        <v>191.24999999999989</v>
      </c>
      <c r="AV119" s="282">
        <v>174.25</v>
      </c>
      <c r="AW119" s="283">
        <v>141.25</v>
      </c>
      <c r="AX119" s="284"/>
      <c r="AY119" s="282">
        <v>189.25000000000006</v>
      </c>
      <c r="AZ119" s="282">
        <v>159.25</v>
      </c>
      <c r="BA119" s="282">
        <v>110.25</v>
      </c>
      <c r="BB119" s="282">
        <v>15.25</v>
      </c>
      <c r="BC119" s="283">
        <v>-66.75</v>
      </c>
      <c r="BE119" s="267">
        <v>124</v>
      </c>
      <c r="BF119" s="267">
        <v>144</v>
      </c>
      <c r="BG119" s="267">
        <v>167</v>
      </c>
      <c r="BH119" s="267">
        <v>184</v>
      </c>
      <c r="BI119" s="268">
        <v>217</v>
      </c>
      <c r="BJ119" s="150"/>
      <c r="BK119" s="267">
        <v>169</v>
      </c>
      <c r="BL119" s="267">
        <v>199</v>
      </c>
      <c r="BM119" s="267">
        <v>248</v>
      </c>
      <c r="BN119" s="267">
        <v>343</v>
      </c>
      <c r="BO119" s="268">
        <v>425</v>
      </c>
    </row>
    <row r="120" spans="2:67">
      <c r="B120" s="280" t="s">
        <v>65</v>
      </c>
      <c r="C120" s="281" t="s">
        <v>514</v>
      </c>
      <c r="D120" s="191">
        <v>442</v>
      </c>
      <c r="E120" s="114">
        <v>3.25</v>
      </c>
      <c r="F120" s="515" t="s">
        <v>190</v>
      </c>
      <c r="G120" s="345"/>
      <c r="I120" s="282">
        <v>83</v>
      </c>
      <c r="J120" s="282">
        <v>98</v>
      </c>
      <c r="K120" s="282">
        <v>122</v>
      </c>
      <c r="L120" s="282">
        <v>156</v>
      </c>
      <c r="M120" s="283">
        <v>189</v>
      </c>
      <c r="O120" s="282">
        <v>123</v>
      </c>
      <c r="P120" s="282">
        <v>168</v>
      </c>
      <c r="Q120" s="282">
        <v>234</v>
      </c>
      <c r="R120" s="282">
        <v>319</v>
      </c>
      <c r="S120" s="283">
        <v>325</v>
      </c>
      <c r="U120" s="282">
        <v>209</v>
      </c>
      <c r="V120" s="282">
        <v>229</v>
      </c>
      <c r="W120" s="282">
        <v>252</v>
      </c>
      <c r="X120" s="282">
        <v>269</v>
      </c>
      <c r="Y120" s="283">
        <v>302</v>
      </c>
      <c r="AA120" s="282">
        <v>254</v>
      </c>
      <c r="AB120" s="282">
        <v>284</v>
      </c>
      <c r="AC120" s="282">
        <v>333</v>
      </c>
      <c r="AD120" s="282">
        <v>412</v>
      </c>
      <c r="AE120" s="283">
        <v>510</v>
      </c>
      <c r="AG120" s="282">
        <v>-30</v>
      </c>
      <c r="AH120" s="282">
        <v>-30</v>
      </c>
      <c r="AI120" s="282">
        <v>-30</v>
      </c>
      <c r="AJ120" s="282">
        <v>-30</v>
      </c>
      <c r="AK120" s="282">
        <v>-30</v>
      </c>
      <c r="AL120" s="282"/>
      <c r="AM120" s="282">
        <v>-30</v>
      </c>
      <c r="AN120" s="282">
        <v>-30</v>
      </c>
      <c r="AO120" s="282">
        <v>-30</v>
      </c>
      <c r="AP120" s="282">
        <v>0</v>
      </c>
      <c r="AQ120" s="282">
        <v>-30</v>
      </c>
      <c r="AR120" s="153"/>
      <c r="AS120" s="282">
        <v>233.25</v>
      </c>
      <c r="AT120" s="282">
        <v>213.25</v>
      </c>
      <c r="AU120" s="282">
        <v>190.24999999999989</v>
      </c>
      <c r="AV120" s="282">
        <v>173.25</v>
      </c>
      <c r="AW120" s="283">
        <v>140.25</v>
      </c>
      <c r="AX120" s="284"/>
      <c r="AY120" s="282">
        <v>188.25000000000006</v>
      </c>
      <c r="AZ120" s="282">
        <v>158.25</v>
      </c>
      <c r="BA120" s="282">
        <v>109.25</v>
      </c>
      <c r="BB120" s="282">
        <v>30.25</v>
      </c>
      <c r="BC120" s="283">
        <v>-67.75</v>
      </c>
      <c r="BE120" s="282">
        <v>209</v>
      </c>
      <c r="BF120" s="282">
        <v>229</v>
      </c>
      <c r="BG120" s="282">
        <v>252</v>
      </c>
      <c r="BH120" s="282">
        <v>269</v>
      </c>
      <c r="BI120" s="283">
        <v>302</v>
      </c>
      <c r="BJ120" s="150"/>
      <c r="BK120" s="282">
        <v>254</v>
      </c>
      <c r="BL120" s="282">
        <v>284</v>
      </c>
      <c r="BM120" s="282">
        <v>333</v>
      </c>
      <c r="BN120" s="282">
        <v>412</v>
      </c>
      <c r="BO120" s="283">
        <v>510</v>
      </c>
    </row>
    <row r="121" spans="2:67">
      <c r="B121" s="273" t="s">
        <v>65</v>
      </c>
      <c r="C121" s="286" t="s">
        <v>414</v>
      </c>
      <c r="D121" s="189">
        <v>533</v>
      </c>
      <c r="E121" s="115">
        <v>5.33</v>
      </c>
      <c r="F121" s="237" t="s">
        <v>193</v>
      </c>
      <c r="G121" s="314"/>
      <c r="I121" s="267">
        <v>84</v>
      </c>
      <c r="J121" s="267">
        <v>99</v>
      </c>
      <c r="K121" s="267">
        <v>123</v>
      </c>
      <c r="L121" s="267">
        <v>157</v>
      </c>
      <c r="M121" s="268">
        <v>190</v>
      </c>
      <c r="O121" s="267">
        <v>124</v>
      </c>
      <c r="P121" s="267">
        <v>169</v>
      </c>
      <c r="Q121" s="267">
        <v>235</v>
      </c>
      <c r="R121" s="267">
        <v>345</v>
      </c>
      <c r="S121" s="268">
        <v>404</v>
      </c>
      <c r="U121" s="267">
        <v>209</v>
      </c>
      <c r="V121" s="267">
        <v>229</v>
      </c>
      <c r="W121" s="267">
        <v>252</v>
      </c>
      <c r="X121" s="267">
        <v>269</v>
      </c>
      <c r="Y121" s="268">
        <v>302</v>
      </c>
      <c r="AA121" s="267">
        <v>254</v>
      </c>
      <c r="AB121" s="267">
        <v>284</v>
      </c>
      <c r="AC121" s="267">
        <v>333</v>
      </c>
      <c r="AD121" s="267">
        <v>439</v>
      </c>
      <c r="AE121" s="268">
        <v>533</v>
      </c>
      <c r="AG121" s="282">
        <v>0</v>
      </c>
      <c r="AH121" s="282">
        <v>0</v>
      </c>
      <c r="AI121" s="282">
        <v>0</v>
      </c>
      <c r="AJ121" s="282">
        <v>0</v>
      </c>
      <c r="AK121" s="282">
        <v>0</v>
      </c>
      <c r="AL121" s="282"/>
      <c r="AM121" s="282">
        <v>0</v>
      </c>
      <c r="AN121" s="282">
        <v>0</v>
      </c>
      <c r="AO121" s="282">
        <v>0</v>
      </c>
      <c r="AP121" s="282">
        <v>0</v>
      </c>
      <c r="AQ121" s="282">
        <v>0</v>
      </c>
      <c r="AR121" s="153"/>
      <c r="AS121" s="282">
        <v>324.12</v>
      </c>
      <c r="AT121" s="282">
        <v>304.12</v>
      </c>
      <c r="AU121" s="282">
        <v>281.11999999999989</v>
      </c>
      <c r="AV121" s="282">
        <v>264.12</v>
      </c>
      <c r="AW121" s="283">
        <v>231.12</v>
      </c>
      <c r="AX121" s="284"/>
      <c r="AY121" s="282">
        <v>279.12000000000006</v>
      </c>
      <c r="AZ121" s="282">
        <v>249.12</v>
      </c>
      <c r="BA121" s="282">
        <v>200.12</v>
      </c>
      <c r="BB121" s="282">
        <v>94.12</v>
      </c>
      <c r="BC121" s="283">
        <v>0.12000000000000455</v>
      </c>
      <c r="BE121" s="267">
        <v>209</v>
      </c>
      <c r="BF121" s="267">
        <v>229</v>
      </c>
      <c r="BG121" s="267">
        <v>252</v>
      </c>
      <c r="BH121" s="267">
        <v>269</v>
      </c>
      <c r="BI121" s="268">
        <v>302</v>
      </c>
      <c r="BJ121" s="150"/>
      <c r="BK121" s="267">
        <v>254</v>
      </c>
      <c r="BL121" s="267">
        <v>314</v>
      </c>
      <c r="BM121" s="267">
        <v>383</v>
      </c>
      <c r="BN121" s="267">
        <v>479</v>
      </c>
      <c r="BO121" s="268">
        <v>593</v>
      </c>
    </row>
    <row r="122" spans="2:67">
      <c r="B122" s="280" t="s">
        <v>65</v>
      </c>
      <c r="C122" s="118" t="s">
        <v>635</v>
      </c>
      <c r="D122" s="191">
        <v>921</v>
      </c>
      <c r="E122" s="114">
        <v>5.33</v>
      </c>
      <c r="F122" s="515" t="s">
        <v>193</v>
      </c>
      <c r="G122" s="345"/>
      <c r="I122" s="282">
        <v>83</v>
      </c>
      <c r="J122" s="282">
        <v>98</v>
      </c>
      <c r="K122" s="282">
        <v>122</v>
      </c>
      <c r="L122" s="282">
        <v>156</v>
      </c>
      <c r="M122" s="283">
        <v>189</v>
      </c>
      <c r="O122" s="282">
        <v>123</v>
      </c>
      <c r="P122" s="282">
        <v>168</v>
      </c>
      <c r="Q122" s="282">
        <v>234</v>
      </c>
      <c r="R122" s="282">
        <v>344</v>
      </c>
      <c r="S122" s="283">
        <v>466</v>
      </c>
      <c r="U122" s="282">
        <v>52</v>
      </c>
      <c r="V122" s="282">
        <v>307</v>
      </c>
      <c r="W122" s="282">
        <v>330</v>
      </c>
      <c r="X122" s="282">
        <v>347</v>
      </c>
      <c r="Y122" s="283">
        <v>380</v>
      </c>
      <c r="AA122" s="282">
        <v>97</v>
      </c>
      <c r="AB122" s="282">
        <v>362</v>
      </c>
      <c r="AC122" s="282">
        <v>411</v>
      </c>
      <c r="AD122" s="282">
        <v>476</v>
      </c>
      <c r="AE122" s="283">
        <v>588</v>
      </c>
      <c r="AG122" s="282" t="e">
        <v>#N/A</v>
      </c>
      <c r="AH122" s="282" t="e">
        <v>#N/A</v>
      </c>
      <c r="AI122" s="282" t="e">
        <v>#N/A</v>
      </c>
      <c r="AJ122" s="282" t="e">
        <v>#N/A</v>
      </c>
      <c r="AK122" s="282" t="e">
        <v>#N/A</v>
      </c>
      <c r="AL122" s="282"/>
      <c r="AM122" s="282" t="e">
        <v>#N/A</v>
      </c>
      <c r="AN122" s="282" t="e">
        <v>#N/A</v>
      </c>
      <c r="AO122" s="282" t="e">
        <v>#N/A</v>
      </c>
      <c r="AP122" s="282" t="e">
        <v>#N/A</v>
      </c>
      <c r="AQ122" s="282" t="e">
        <v>#N/A</v>
      </c>
      <c r="AR122" s="153"/>
      <c r="AS122" s="282">
        <v>869</v>
      </c>
      <c r="AT122" s="282">
        <v>614.33000000000004</v>
      </c>
      <c r="AU122" s="282">
        <v>591.32999999999993</v>
      </c>
      <c r="AV122" s="282">
        <v>574.33000000000004</v>
      </c>
      <c r="AW122" s="283">
        <v>541.33000000000004</v>
      </c>
      <c r="AX122" s="284"/>
      <c r="AY122" s="282">
        <v>824</v>
      </c>
      <c r="AZ122" s="282">
        <v>559.33000000000004</v>
      </c>
      <c r="BA122" s="282">
        <v>510.33000000000004</v>
      </c>
      <c r="BB122" s="282">
        <v>445.33000000000004</v>
      </c>
      <c r="BC122" s="283">
        <v>333.33000000000004</v>
      </c>
      <c r="BE122" s="282">
        <v>52</v>
      </c>
      <c r="BF122" s="282">
        <v>307</v>
      </c>
      <c r="BG122" s="282">
        <v>330</v>
      </c>
      <c r="BH122" s="282">
        <v>347</v>
      </c>
      <c r="BI122" s="283">
        <v>380</v>
      </c>
      <c r="BJ122" s="150"/>
      <c r="BK122" s="282">
        <v>97</v>
      </c>
      <c r="BL122" s="282">
        <v>392</v>
      </c>
      <c r="BM122" s="282">
        <v>461</v>
      </c>
      <c r="BN122" s="282">
        <v>516</v>
      </c>
      <c r="BO122" s="283">
        <v>648</v>
      </c>
    </row>
    <row r="123" spans="2:67">
      <c r="B123" s="273" t="s">
        <v>65</v>
      </c>
      <c r="C123" s="286" t="s">
        <v>616</v>
      </c>
      <c r="D123" s="189">
        <v>801</v>
      </c>
      <c r="E123" s="115">
        <v>5.33</v>
      </c>
      <c r="F123" s="237" t="s">
        <v>193</v>
      </c>
      <c r="G123" s="314"/>
      <c r="I123" s="267">
        <v>39</v>
      </c>
      <c r="J123" s="267">
        <v>54</v>
      </c>
      <c r="K123" s="267">
        <v>195</v>
      </c>
      <c r="L123" s="267">
        <v>229</v>
      </c>
      <c r="M123" s="268">
        <v>262</v>
      </c>
      <c r="O123" s="267">
        <v>79</v>
      </c>
      <c r="P123" s="267">
        <v>124</v>
      </c>
      <c r="Q123" s="267">
        <v>307</v>
      </c>
      <c r="R123" s="267">
        <v>417</v>
      </c>
      <c r="S123" s="268">
        <v>564</v>
      </c>
      <c r="U123" s="267">
        <v>52</v>
      </c>
      <c r="V123" s="267">
        <v>268</v>
      </c>
      <c r="W123" s="267">
        <v>291</v>
      </c>
      <c r="X123" s="267">
        <v>308</v>
      </c>
      <c r="Y123" s="268">
        <v>341</v>
      </c>
      <c r="AA123" s="267">
        <v>97</v>
      </c>
      <c r="AB123" s="267">
        <v>323</v>
      </c>
      <c r="AC123" s="267">
        <v>372</v>
      </c>
      <c r="AD123" s="267">
        <v>537</v>
      </c>
      <c r="AE123" s="268">
        <v>649</v>
      </c>
      <c r="AG123" s="282">
        <v>0</v>
      </c>
      <c r="AH123" s="282">
        <v>0</v>
      </c>
      <c r="AI123" s="282">
        <v>0</v>
      </c>
      <c r="AJ123" s="282">
        <v>0</v>
      </c>
      <c r="AK123" s="282">
        <v>0</v>
      </c>
      <c r="AL123" s="282"/>
      <c r="AM123" s="282">
        <v>0</v>
      </c>
      <c r="AN123" s="282">
        <v>0</v>
      </c>
      <c r="AO123" s="282">
        <v>0</v>
      </c>
      <c r="AP123" s="282">
        <v>0</v>
      </c>
      <c r="AQ123" s="282">
        <v>0</v>
      </c>
      <c r="AR123" s="153"/>
      <c r="AS123" s="282">
        <v>749</v>
      </c>
      <c r="AT123" s="282">
        <v>533.09</v>
      </c>
      <c r="AU123" s="282">
        <v>510.08999999999992</v>
      </c>
      <c r="AV123" s="282">
        <v>493.09000000000003</v>
      </c>
      <c r="AW123" s="283">
        <v>460.09000000000003</v>
      </c>
      <c r="AX123" s="284"/>
      <c r="AY123" s="282">
        <v>704</v>
      </c>
      <c r="AZ123" s="282">
        <v>478.09000000000003</v>
      </c>
      <c r="BA123" s="282">
        <v>429.09000000000003</v>
      </c>
      <c r="BB123" s="282">
        <v>264.09000000000003</v>
      </c>
      <c r="BC123" s="283">
        <v>152.09000000000003</v>
      </c>
      <c r="BE123" s="267">
        <v>52</v>
      </c>
      <c r="BF123" s="267">
        <v>268</v>
      </c>
      <c r="BG123" s="267">
        <v>291</v>
      </c>
      <c r="BH123" s="267">
        <v>308</v>
      </c>
      <c r="BI123" s="268">
        <v>341</v>
      </c>
      <c r="BJ123" s="150"/>
      <c r="BK123" s="267">
        <v>97</v>
      </c>
      <c r="BL123" s="267">
        <v>353</v>
      </c>
      <c r="BM123" s="267">
        <v>422</v>
      </c>
      <c r="BN123" s="267">
        <v>577</v>
      </c>
      <c r="BO123" s="268">
        <v>709</v>
      </c>
    </row>
    <row r="124" spans="2:67">
      <c r="B124" s="280" t="s">
        <v>65</v>
      </c>
      <c r="C124" s="281" t="s">
        <v>483</v>
      </c>
      <c r="D124" s="191">
        <v>1487</v>
      </c>
      <c r="E124" s="114">
        <v>5.33</v>
      </c>
      <c r="F124" s="515" t="s">
        <v>193</v>
      </c>
      <c r="G124" s="345"/>
      <c r="I124" s="282">
        <v>39</v>
      </c>
      <c r="J124" s="282">
        <v>54</v>
      </c>
      <c r="K124" s="282">
        <v>249</v>
      </c>
      <c r="L124" s="282">
        <v>283</v>
      </c>
      <c r="M124" s="283">
        <v>316</v>
      </c>
      <c r="O124" s="282">
        <v>79</v>
      </c>
      <c r="P124" s="282">
        <v>124</v>
      </c>
      <c r="Q124" s="282">
        <v>361</v>
      </c>
      <c r="R124" s="282">
        <v>471</v>
      </c>
      <c r="S124" s="283">
        <v>618</v>
      </c>
      <c r="U124" s="282">
        <v>52</v>
      </c>
      <c r="V124" s="282">
        <v>450</v>
      </c>
      <c r="W124" s="282">
        <v>473</v>
      </c>
      <c r="X124" s="282">
        <v>490</v>
      </c>
      <c r="Y124" s="283">
        <v>523</v>
      </c>
      <c r="AA124" s="282">
        <v>97</v>
      </c>
      <c r="AB124" s="282">
        <v>505</v>
      </c>
      <c r="AC124" s="282">
        <v>554</v>
      </c>
      <c r="AD124" s="282">
        <v>669</v>
      </c>
      <c r="AE124" s="283">
        <v>781</v>
      </c>
      <c r="AG124" s="282">
        <v>0</v>
      </c>
      <c r="AH124" s="282">
        <v>0</v>
      </c>
      <c r="AI124" s="282">
        <v>0</v>
      </c>
      <c r="AJ124" s="282">
        <v>0</v>
      </c>
      <c r="AK124" s="282">
        <v>0</v>
      </c>
      <c r="AL124" s="282"/>
      <c r="AM124" s="282">
        <v>0</v>
      </c>
      <c r="AN124" s="282">
        <v>0</v>
      </c>
      <c r="AO124" s="282">
        <v>0</v>
      </c>
      <c r="AP124" s="282">
        <v>0</v>
      </c>
      <c r="AQ124" s="282">
        <v>0</v>
      </c>
      <c r="AR124" s="153"/>
      <c r="AS124" s="282">
        <v>1435</v>
      </c>
      <c r="AT124" s="282">
        <v>1037.33</v>
      </c>
      <c r="AU124" s="282">
        <v>1014.3299999999999</v>
      </c>
      <c r="AV124" s="282">
        <v>997.32999999999993</v>
      </c>
      <c r="AW124" s="283">
        <v>964.32999999999993</v>
      </c>
      <c r="AX124" s="284"/>
      <c r="AY124" s="282">
        <v>1390</v>
      </c>
      <c r="AZ124" s="282">
        <v>982.32999999999993</v>
      </c>
      <c r="BA124" s="282">
        <v>933.32999999999993</v>
      </c>
      <c r="BB124" s="282">
        <v>818.32999999999993</v>
      </c>
      <c r="BC124" s="283">
        <v>706.32999999999993</v>
      </c>
      <c r="BE124" s="282">
        <v>52</v>
      </c>
      <c r="BF124" s="282">
        <v>450</v>
      </c>
      <c r="BG124" s="282">
        <v>473</v>
      </c>
      <c r="BH124" s="282">
        <v>490</v>
      </c>
      <c r="BI124" s="283">
        <v>523</v>
      </c>
      <c r="BJ124" s="150"/>
      <c r="BK124" s="282">
        <v>97</v>
      </c>
      <c r="BL124" s="282">
        <v>535</v>
      </c>
      <c r="BM124" s="282">
        <v>604</v>
      </c>
      <c r="BN124" s="282">
        <v>709</v>
      </c>
      <c r="BO124" s="283">
        <v>841</v>
      </c>
    </row>
    <row r="125" spans="2:67">
      <c r="B125" s="273" t="s">
        <v>65</v>
      </c>
      <c r="C125" s="123" t="s">
        <v>636</v>
      </c>
      <c r="D125" s="189">
        <v>1487</v>
      </c>
      <c r="E125" s="115">
        <v>5.33</v>
      </c>
      <c r="F125" s="237" t="s">
        <v>193</v>
      </c>
      <c r="G125" s="314"/>
      <c r="I125" s="267">
        <v>39</v>
      </c>
      <c r="J125" s="267">
        <v>54</v>
      </c>
      <c r="K125" s="267">
        <v>289</v>
      </c>
      <c r="L125" s="267">
        <v>323</v>
      </c>
      <c r="M125" s="268">
        <v>356</v>
      </c>
      <c r="O125" s="267">
        <v>79</v>
      </c>
      <c r="P125" s="267">
        <v>124</v>
      </c>
      <c r="Q125" s="267">
        <v>401</v>
      </c>
      <c r="R125" s="267">
        <v>511</v>
      </c>
      <c r="S125" s="268">
        <v>658</v>
      </c>
      <c r="U125" s="267">
        <v>52</v>
      </c>
      <c r="V125" s="267">
        <v>250</v>
      </c>
      <c r="W125" s="267">
        <v>273</v>
      </c>
      <c r="X125" s="267">
        <v>290</v>
      </c>
      <c r="Y125" s="268">
        <v>323</v>
      </c>
      <c r="AA125" s="267">
        <v>97</v>
      </c>
      <c r="AB125" s="267">
        <v>305</v>
      </c>
      <c r="AC125" s="267">
        <v>354</v>
      </c>
      <c r="AD125" s="267">
        <v>419</v>
      </c>
      <c r="AE125" s="268">
        <v>531</v>
      </c>
      <c r="AG125" s="282" t="e">
        <v>#N/A</v>
      </c>
      <c r="AH125" s="282" t="e">
        <v>#N/A</v>
      </c>
      <c r="AI125" s="282" t="e">
        <v>#N/A</v>
      </c>
      <c r="AJ125" s="282" t="e">
        <v>#N/A</v>
      </c>
      <c r="AK125" s="282" t="e">
        <v>#N/A</v>
      </c>
      <c r="AL125" s="282"/>
      <c r="AM125" s="282" t="e">
        <v>#N/A</v>
      </c>
      <c r="AN125" s="282" t="e">
        <v>#N/A</v>
      </c>
      <c r="AO125" s="282" t="e">
        <v>#N/A</v>
      </c>
      <c r="AP125" s="282" t="e">
        <v>#N/A</v>
      </c>
      <c r="AQ125" s="282" t="e">
        <v>#N/A</v>
      </c>
      <c r="AR125" s="153"/>
      <c r="AS125" s="282">
        <v>1435</v>
      </c>
      <c r="AT125" s="282">
        <v>1237.33</v>
      </c>
      <c r="AU125" s="282">
        <v>1214.33</v>
      </c>
      <c r="AV125" s="282">
        <v>1197.33</v>
      </c>
      <c r="AW125" s="283">
        <v>1164.33</v>
      </c>
      <c r="AX125" s="284"/>
      <c r="AY125" s="282">
        <v>1390</v>
      </c>
      <c r="AZ125" s="282">
        <v>1182.33</v>
      </c>
      <c r="BA125" s="282">
        <v>1133.33</v>
      </c>
      <c r="BB125" s="282">
        <v>1068.33</v>
      </c>
      <c r="BC125" s="283">
        <v>956.32999999999993</v>
      </c>
      <c r="BE125" s="267">
        <v>52</v>
      </c>
      <c r="BF125" s="267">
        <v>250</v>
      </c>
      <c r="BG125" s="267">
        <v>273</v>
      </c>
      <c r="BH125" s="267">
        <v>290</v>
      </c>
      <c r="BI125" s="268">
        <v>323</v>
      </c>
      <c r="BJ125" s="150"/>
      <c r="BK125" s="267">
        <v>97</v>
      </c>
      <c r="BL125" s="267">
        <v>335</v>
      </c>
      <c r="BM125" s="267">
        <v>404</v>
      </c>
      <c r="BN125" s="267">
        <v>459</v>
      </c>
      <c r="BO125" s="268">
        <v>591</v>
      </c>
    </row>
    <row r="126" spans="2:67">
      <c r="B126" s="280" t="s">
        <v>65</v>
      </c>
      <c r="C126" s="281" t="s">
        <v>352</v>
      </c>
      <c r="D126" s="191">
        <v>938</v>
      </c>
      <c r="E126" s="114">
        <v>3.25</v>
      </c>
      <c r="F126" s="515" t="s">
        <v>190</v>
      </c>
      <c r="G126" s="345"/>
      <c r="I126" s="282">
        <v>39</v>
      </c>
      <c r="J126" s="282">
        <v>54</v>
      </c>
      <c r="K126" s="282">
        <v>195</v>
      </c>
      <c r="L126" s="282">
        <v>229</v>
      </c>
      <c r="M126" s="283">
        <v>262</v>
      </c>
      <c r="O126" s="282">
        <v>79</v>
      </c>
      <c r="P126" s="282">
        <v>124</v>
      </c>
      <c r="Q126" s="282">
        <v>307</v>
      </c>
      <c r="R126" s="282">
        <v>417</v>
      </c>
      <c r="S126" s="283">
        <v>564</v>
      </c>
      <c r="U126" s="282">
        <v>52</v>
      </c>
      <c r="V126" s="282">
        <v>506</v>
      </c>
      <c r="W126" s="282">
        <v>529</v>
      </c>
      <c r="X126" s="282">
        <v>546</v>
      </c>
      <c r="Y126" s="283">
        <v>579</v>
      </c>
      <c r="AA126" s="282">
        <v>97</v>
      </c>
      <c r="AB126" s="282">
        <v>561</v>
      </c>
      <c r="AC126" s="282">
        <v>610</v>
      </c>
      <c r="AD126" s="282">
        <v>675</v>
      </c>
      <c r="AE126" s="283">
        <v>789</v>
      </c>
      <c r="AG126" s="282">
        <v>0</v>
      </c>
      <c r="AH126" s="282">
        <v>-50</v>
      </c>
      <c r="AI126" s="282">
        <v>-50</v>
      </c>
      <c r="AJ126" s="282">
        <v>-50</v>
      </c>
      <c r="AK126" s="282">
        <v>-50</v>
      </c>
      <c r="AL126" s="282"/>
      <c r="AM126" s="282">
        <v>0</v>
      </c>
      <c r="AN126" s="282">
        <v>-50</v>
      </c>
      <c r="AO126" s="282">
        <v>-50</v>
      </c>
      <c r="AP126" s="282">
        <v>-16</v>
      </c>
      <c r="AQ126" s="282">
        <v>0</v>
      </c>
      <c r="AR126" s="153"/>
      <c r="AS126" s="282">
        <v>886</v>
      </c>
      <c r="AT126" s="282">
        <v>432.25</v>
      </c>
      <c r="AU126" s="282">
        <v>409.24999999999989</v>
      </c>
      <c r="AV126" s="282">
        <v>392.25</v>
      </c>
      <c r="AW126" s="283">
        <v>359.25</v>
      </c>
      <c r="AX126" s="284"/>
      <c r="AY126" s="282">
        <v>841</v>
      </c>
      <c r="AZ126" s="282">
        <v>377.25</v>
      </c>
      <c r="BA126" s="282">
        <v>328.25</v>
      </c>
      <c r="BB126" s="282">
        <v>263.25</v>
      </c>
      <c r="BC126" s="283">
        <v>149.25</v>
      </c>
      <c r="BE126" s="282">
        <v>52</v>
      </c>
      <c r="BF126" s="282">
        <v>506</v>
      </c>
      <c r="BG126" s="282">
        <v>529</v>
      </c>
      <c r="BH126" s="282">
        <v>546</v>
      </c>
      <c r="BI126" s="283">
        <v>579</v>
      </c>
      <c r="BJ126" s="150"/>
      <c r="BK126" s="282">
        <v>97</v>
      </c>
      <c r="BL126" s="282">
        <v>591</v>
      </c>
      <c r="BM126" s="282">
        <v>660</v>
      </c>
      <c r="BN126" s="282">
        <v>715</v>
      </c>
      <c r="BO126" s="283">
        <v>950</v>
      </c>
    </row>
    <row r="127" spans="2:67">
      <c r="B127" s="273" t="s">
        <v>65</v>
      </c>
      <c r="C127" s="286" t="s">
        <v>485</v>
      </c>
      <c r="D127" s="189">
        <v>842</v>
      </c>
      <c r="E127" s="115">
        <v>3.25</v>
      </c>
      <c r="F127" s="237" t="s">
        <v>190</v>
      </c>
      <c r="G127" s="314"/>
      <c r="I127" s="267">
        <v>39</v>
      </c>
      <c r="J127" s="267">
        <v>54</v>
      </c>
      <c r="K127" s="267">
        <v>285</v>
      </c>
      <c r="L127" s="267">
        <v>319</v>
      </c>
      <c r="M127" s="268">
        <v>352</v>
      </c>
      <c r="O127" s="267">
        <v>79</v>
      </c>
      <c r="P127" s="267">
        <v>124</v>
      </c>
      <c r="Q127" s="267">
        <v>397</v>
      </c>
      <c r="R127" s="267">
        <v>507</v>
      </c>
      <c r="S127" s="268">
        <v>654</v>
      </c>
      <c r="U127" s="267">
        <v>52</v>
      </c>
      <c r="V127" s="267">
        <v>329</v>
      </c>
      <c r="W127" s="267">
        <v>352</v>
      </c>
      <c r="X127" s="267">
        <v>369</v>
      </c>
      <c r="Y127" s="268">
        <v>402</v>
      </c>
      <c r="AA127" s="267">
        <v>97</v>
      </c>
      <c r="AB127" s="267">
        <v>384</v>
      </c>
      <c r="AC127" s="267">
        <v>433</v>
      </c>
      <c r="AD127" s="267">
        <v>503</v>
      </c>
      <c r="AE127" s="268">
        <v>613</v>
      </c>
      <c r="AG127" s="282">
        <v>0</v>
      </c>
      <c r="AH127" s="282">
        <v>-50</v>
      </c>
      <c r="AI127" s="282">
        <v>-50</v>
      </c>
      <c r="AJ127" s="282">
        <v>-50</v>
      </c>
      <c r="AK127" s="282">
        <v>-50</v>
      </c>
      <c r="AL127" s="282"/>
      <c r="AM127" s="282">
        <v>0</v>
      </c>
      <c r="AN127" s="282">
        <v>-50</v>
      </c>
      <c r="AO127" s="282">
        <v>-50</v>
      </c>
      <c r="AP127" s="282">
        <v>0</v>
      </c>
      <c r="AQ127" s="282">
        <v>0</v>
      </c>
      <c r="AR127" s="153"/>
      <c r="AS127" s="282">
        <v>790</v>
      </c>
      <c r="AT127" s="282">
        <v>513.25</v>
      </c>
      <c r="AU127" s="282">
        <v>490.24999999999989</v>
      </c>
      <c r="AV127" s="282">
        <v>473.25</v>
      </c>
      <c r="AW127" s="283">
        <v>440.25</v>
      </c>
      <c r="AX127" s="284"/>
      <c r="AY127" s="282">
        <v>745</v>
      </c>
      <c r="AZ127" s="282">
        <v>458.25</v>
      </c>
      <c r="BA127" s="282">
        <v>409.25</v>
      </c>
      <c r="BB127" s="282">
        <v>339.25</v>
      </c>
      <c r="BC127" s="283">
        <v>229.25</v>
      </c>
      <c r="BE127" s="267">
        <v>52</v>
      </c>
      <c r="BF127" s="267">
        <v>329</v>
      </c>
      <c r="BG127" s="267">
        <v>352</v>
      </c>
      <c r="BH127" s="267">
        <v>369</v>
      </c>
      <c r="BI127" s="268">
        <v>402</v>
      </c>
      <c r="BJ127" s="150"/>
      <c r="BK127" s="267">
        <v>97</v>
      </c>
      <c r="BL127" s="267">
        <v>414</v>
      </c>
      <c r="BM127" s="267">
        <v>483</v>
      </c>
      <c r="BN127" s="267">
        <v>543</v>
      </c>
      <c r="BO127" s="268">
        <v>673</v>
      </c>
    </row>
    <row r="128" spans="2:67">
      <c r="B128" s="280" t="s">
        <v>65</v>
      </c>
      <c r="C128" s="281" t="s">
        <v>486</v>
      </c>
      <c r="D128" s="188">
        <v>902</v>
      </c>
      <c r="E128" s="114">
        <v>3.25</v>
      </c>
      <c r="F128" s="515" t="s">
        <v>190</v>
      </c>
      <c r="G128" s="345"/>
      <c r="I128" s="282">
        <v>39</v>
      </c>
      <c r="J128" s="282">
        <v>54</v>
      </c>
      <c r="K128" s="282">
        <v>345</v>
      </c>
      <c r="L128" s="282">
        <v>379</v>
      </c>
      <c r="M128" s="283">
        <v>412</v>
      </c>
      <c r="O128" s="282">
        <v>79</v>
      </c>
      <c r="P128" s="282">
        <v>124</v>
      </c>
      <c r="Q128" s="282">
        <v>457</v>
      </c>
      <c r="R128" s="282">
        <v>567</v>
      </c>
      <c r="S128" s="283">
        <v>714</v>
      </c>
      <c r="U128" s="282">
        <v>52</v>
      </c>
      <c r="V128" s="282">
        <v>370</v>
      </c>
      <c r="W128" s="282">
        <v>393</v>
      </c>
      <c r="X128" s="282">
        <v>410</v>
      </c>
      <c r="Y128" s="283">
        <v>443</v>
      </c>
      <c r="AA128" s="282">
        <v>97</v>
      </c>
      <c r="AB128" s="282">
        <v>425</v>
      </c>
      <c r="AC128" s="282">
        <v>474</v>
      </c>
      <c r="AD128" s="282">
        <v>539</v>
      </c>
      <c r="AE128" s="283">
        <v>651</v>
      </c>
      <c r="AG128" s="282">
        <v>0</v>
      </c>
      <c r="AH128" s="282">
        <v>2</v>
      </c>
      <c r="AI128" s="282">
        <v>2</v>
      </c>
      <c r="AJ128" s="282">
        <v>2</v>
      </c>
      <c r="AK128" s="282">
        <v>2</v>
      </c>
      <c r="AL128" s="282"/>
      <c r="AM128" s="282">
        <v>0</v>
      </c>
      <c r="AN128" s="282">
        <v>2</v>
      </c>
      <c r="AO128" s="282">
        <v>2</v>
      </c>
      <c r="AP128" s="282">
        <v>44</v>
      </c>
      <c r="AQ128" s="282">
        <v>32</v>
      </c>
      <c r="AR128" s="153"/>
      <c r="AS128" s="282">
        <v>850</v>
      </c>
      <c r="AT128" s="282">
        <v>532.25</v>
      </c>
      <c r="AU128" s="282">
        <v>509.24999999999989</v>
      </c>
      <c r="AV128" s="282">
        <v>492.25</v>
      </c>
      <c r="AW128" s="283">
        <v>459.25</v>
      </c>
      <c r="AX128" s="284"/>
      <c r="AY128" s="282">
        <v>805</v>
      </c>
      <c r="AZ128" s="282">
        <v>477.25</v>
      </c>
      <c r="BA128" s="282">
        <v>428.25</v>
      </c>
      <c r="BB128" s="282">
        <v>363.25</v>
      </c>
      <c r="BC128" s="283">
        <v>251.25</v>
      </c>
      <c r="BE128" s="282">
        <v>52</v>
      </c>
      <c r="BF128" s="282">
        <v>370</v>
      </c>
      <c r="BG128" s="282">
        <v>393</v>
      </c>
      <c r="BH128" s="282">
        <v>410</v>
      </c>
      <c r="BI128" s="283">
        <v>443</v>
      </c>
      <c r="BJ128" s="150"/>
      <c r="BK128" s="282">
        <v>97</v>
      </c>
      <c r="BL128" s="282">
        <v>455</v>
      </c>
      <c r="BM128" s="282">
        <v>524</v>
      </c>
      <c r="BN128" s="282">
        <v>579</v>
      </c>
      <c r="BO128" s="283">
        <v>711</v>
      </c>
    </row>
    <row r="129" spans="2:67">
      <c r="B129" s="273" t="s">
        <v>65</v>
      </c>
      <c r="C129" s="286" t="s">
        <v>602</v>
      </c>
      <c r="D129" s="189">
        <v>686</v>
      </c>
      <c r="E129" s="115">
        <v>3.25</v>
      </c>
      <c r="F129" s="237" t="s">
        <v>190</v>
      </c>
      <c r="G129" s="314"/>
      <c r="I129" s="267">
        <v>39</v>
      </c>
      <c r="J129" s="267">
        <v>54</v>
      </c>
      <c r="K129" s="267">
        <v>188</v>
      </c>
      <c r="L129" s="267">
        <v>222</v>
      </c>
      <c r="M129" s="268">
        <v>255</v>
      </c>
      <c r="O129" s="267">
        <v>79</v>
      </c>
      <c r="P129" s="267">
        <v>124</v>
      </c>
      <c r="Q129" s="267">
        <v>300</v>
      </c>
      <c r="R129" s="267">
        <v>410</v>
      </c>
      <c r="S129" s="268">
        <v>557</v>
      </c>
      <c r="U129" s="267">
        <v>52</v>
      </c>
      <c r="V129" s="267">
        <v>198</v>
      </c>
      <c r="W129" s="267">
        <v>221</v>
      </c>
      <c r="X129" s="267">
        <v>238</v>
      </c>
      <c r="Y129" s="268">
        <v>271</v>
      </c>
      <c r="AA129" s="267">
        <v>97</v>
      </c>
      <c r="AB129" s="267">
        <v>253</v>
      </c>
      <c r="AC129" s="267">
        <v>302</v>
      </c>
      <c r="AD129" s="267">
        <v>367</v>
      </c>
      <c r="AE129" s="268">
        <v>479</v>
      </c>
      <c r="AG129" s="282">
        <v>0</v>
      </c>
      <c r="AH129" s="282">
        <v>-40</v>
      </c>
      <c r="AI129" s="282">
        <v>-40</v>
      </c>
      <c r="AJ129" s="282">
        <v>-40</v>
      </c>
      <c r="AK129" s="282">
        <v>-40</v>
      </c>
      <c r="AL129" s="282"/>
      <c r="AM129" s="282">
        <v>0</v>
      </c>
      <c r="AN129" s="282">
        <v>-40</v>
      </c>
      <c r="AO129" s="282">
        <v>-40</v>
      </c>
      <c r="AP129" s="282">
        <v>-40</v>
      </c>
      <c r="AQ129" s="282">
        <v>-40</v>
      </c>
      <c r="AR129" s="153"/>
      <c r="AS129" s="282">
        <v>634</v>
      </c>
      <c r="AT129" s="282">
        <v>488.25</v>
      </c>
      <c r="AU129" s="282">
        <v>465.24999999999989</v>
      </c>
      <c r="AV129" s="282">
        <v>448.25</v>
      </c>
      <c r="AW129" s="283">
        <v>415.25</v>
      </c>
      <c r="AX129" s="284"/>
      <c r="AY129" s="282">
        <v>589</v>
      </c>
      <c r="AZ129" s="282">
        <v>433.25</v>
      </c>
      <c r="BA129" s="282">
        <v>384.25</v>
      </c>
      <c r="BB129" s="282">
        <v>319.25</v>
      </c>
      <c r="BC129" s="283">
        <v>207.25</v>
      </c>
      <c r="BE129" s="267">
        <v>52</v>
      </c>
      <c r="BF129" s="267">
        <v>198</v>
      </c>
      <c r="BG129" s="267">
        <v>221</v>
      </c>
      <c r="BH129" s="267">
        <v>238</v>
      </c>
      <c r="BI129" s="268">
        <v>271</v>
      </c>
      <c r="BJ129" s="150"/>
      <c r="BK129" s="267">
        <v>97</v>
      </c>
      <c r="BL129" s="267">
        <v>283</v>
      </c>
      <c r="BM129" s="267">
        <v>352</v>
      </c>
      <c r="BN129" s="267">
        <v>407</v>
      </c>
      <c r="BO129" s="268">
        <v>539</v>
      </c>
    </row>
    <row r="130" spans="2:67">
      <c r="B130" s="280" t="s">
        <v>65</v>
      </c>
      <c r="C130" s="281" t="s">
        <v>487</v>
      </c>
      <c r="D130" s="188">
        <v>1556</v>
      </c>
      <c r="E130" s="114">
        <v>3.25</v>
      </c>
      <c r="F130" s="239" t="s">
        <v>190</v>
      </c>
      <c r="G130" s="315"/>
      <c r="I130" s="282">
        <v>39</v>
      </c>
      <c r="J130" s="282">
        <v>54</v>
      </c>
      <c r="K130" s="282">
        <v>231</v>
      </c>
      <c r="L130" s="282">
        <v>265</v>
      </c>
      <c r="M130" s="283">
        <v>298</v>
      </c>
      <c r="O130" s="282">
        <v>79</v>
      </c>
      <c r="P130" s="282">
        <v>124</v>
      </c>
      <c r="Q130" s="282">
        <v>343</v>
      </c>
      <c r="R130" s="282">
        <v>453</v>
      </c>
      <c r="S130" s="283">
        <v>600</v>
      </c>
      <c r="U130" s="282">
        <v>52</v>
      </c>
      <c r="V130" s="282">
        <v>452</v>
      </c>
      <c r="W130" s="282">
        <v>475</v>
      </c>
      <c r="X130" s="282">
        <v>492</v>
      </c>
      <c r="Y130" s="283">
        <v>525</v>
      </c>
      <c r="AA130" s="282">
        <v>97</v>
      </c>
      <c r="AB130" s="282">
        <v>507</v>
      </c>
      <c r="AC130" s="282">
        <v>556</v>
      </c>
      <c r="AD130" s="282">
        <v>621</v>
      </c>
      <c r="AE130" s="283">
        <v>733</v>
      </c>
      <c r="AG130" s="282">
        <v>0</v>
      </c>
      <c r="AH130" s="282">
        <v>0</v>
      </c>
      <c r="AI130" s="282">
        <v>0</v>
      </c>
      <c r="AJ130" s="282">
        <v>0</v>
      </c>
      <c r="AK130" s="282">
        <v>0</v>
      </c>
      <c r="AL130" s="282"/>
      <c r="AM130" s="282">
        <v>0</v>
      </c>
      <c r="AN130" s="282">
        <v>0</v>
      </c>
      <c r="AO130" s="282">
        <v>0</v>
      </c>
      <c r="AP130" s="282">
        <v>0</v>
      </c>
      <c r="AQ130" s="282">
        <v>0</v>
      </c>
      <c r="AR130" s="153"/>
      <c r="AS130" s="282">
        <v>1504</v>
      </c>
      <c r="AT130" s="282">
        <v>1104.25</v>
      </c>
      <c r="AU130" s="282">
        <v>1081.25</v>
      </c>
      <c r="AV130" s="282">
        <v>1064.25</v>
      </c>
      <c r="AW130" s="283">
        <v>1031.25</v>
      </c>
      <c r="AX130" s="284"/>
      <c r="AY130" s="282">
        <v>1459</v>
      </c>
      <c r="AZ130" s="282">
        <v>1049.25</v>
      </c>
      <c r="BA130" s="282">
        <v>1000.25</v>
      </c>
      <c r="BB130" s="282">
        <v>935.25</v>
      </c>
      <c r="BC130" s="283">
        <v>823.25</v>
      </c>
      <c r="BE130" s="282">
        <v>52</v>
      </c>
      <c r="BF130" s="282">
        <v>452</v>
      </c>
      <c r="BG130" s="282">
        <v>475</v>
      </c>
      <c r="BH130" s="282">
        <v>492</v>
      </c>
      <c r="BI130" s="283">
        <v>525</v>
      </c>
      <c r="BJ130" s="150"/>
      <c r="BK130" s="282">
        <v>97</v>
      </c>
      <c r="BL130" s="282">
        <v>537</v>
      </c>
      <c r="BM130" s="282">
        <v>606</v>
      </c>
      <c r="BN130" s="282">
        <v>661</v>
      </c>
      <c r="BO130" s="283">
        <v>793</v>
      </c>
    </row>
    <row r="131" spans="2:67">
      <c r="B131" s="273" t="s">
        <v>65</v>
      </c>
      <c r="C131" s="286" t="s">
        <v>488</v>
      </c>
      <c r="D131" s="189">
        <v>1279</v>
      </c>
      <c r="E131" s="115">
        <v>3.25</v>
      </c>
      <c r="F131" s="237" t="s">
        <v>190</v>
      </c>
      <c r="G131" s="314"/>
      <c r="I131" s="267">
        <v>90</v>
      </c>
      <c r="J131" s="267">
        <v>135</v>
      </c>
      <c r="K131" s="267">
        <v>148</v>
      </c>
      <c r="L131" s="267">
        <v>148</v>
      </c>
      <c r="M131" s="268">
        <v>148</v>
      </c>
      <c r="O131" s="267">
        <v>90</v>
      </c>
      <c r="P131" s="267">
        <v>135</v>
      </c>
      <c r="Q131" s="267">
        <v>148</v>
      </c>
      <c r="R131" s="267">
        <v>148</v>
      </c>
      <c r="S131" s="268">
        <v>148</v>
      </c>
      <c r="U131" s="267">
        <v>52</v>
      </c>
      <c r="V131" s="267">
        <v>462</v>
      </c>
      <c r="W131" s="267">
        <v>485</v>
      </c>
      <c r="X131" s="267">
        <v>502</v>
      </c>
      <c r="Y131" s="268">
        <v>535</v>
      </c>
      <c r="AA131" s="267">
        <v>97</v>
      </c>
      <c r="AB131" s="267">
        <v>517</v>
      </c>
      <c r="AC131" s="267">
        <v>566</v>
      </c>
      <c r="AD131" s="267">
        <v>680</v>
      </c>
      <c r="AE131" s="268">
        <v>773</v>
      </c>
      <c r="AG131" s="282">
        <v>0</v>
      </c>
      <c r="AH131" s="282">
        <v>0</v>
      </c>
      <c r="AI131" s="282">
        <v>0</v>
      </c>
      <c r="AJ131" s="282">
        <v>0</v>
      </c>
      <c r="AK131" s="282">
        <v>0</v>
      </c>
      <c r="AL131" s="282"/>
      <c r="AM131" s="282">
        <v>0</v>
      </c>
      <c r="AN131" s="282">
        <v>0</v>
      </c>
      <c r="AO131" s="282">
        <v>0</v>
      </c>
      <c r="AP131" s="282">
        <v>0</v>
      </c>
      <c r="AQ131" s="282">
        <v>0</v>
      </c>
      <c r="AR131" s="153"/>
      <c r="AS131" s="282">
        <v>1227</v>
      </c>
      <c r="AT131" s="282">
        <v>817.25</v>
      </c>
      <c r="AU131" s="282">
        <v>794.25</v>
      </c>
      <c r="AV131" s="282">
        <v>777.25</v>
      </c>
      <c r="AW131" s="283">
        <v>744.25</v>
      </c>
      <c r="AX131" s="284"/>
      <c r="AY131" s="282">
        <v>1182</v>
      </c>
      <c r="AZ131" s="282">
        <v>762.25</v>
      </c>
      <c r="BA131" s="282">
        <v>713.25</v>
      </c>
      <c r="BB131" s="282">
        <v>599.25</v>
      </c>
      <c r="BC131" s="283">
        <v>506.25</v>
      </c>
      <c r="BE131" s="267">
        <v>52</v>
      </c>
      <c r="BF131" s="267">
        <v>462</v>
      </c>
      <c r="BG131" s="267">
        <v>485</v>
      </c>
      <c r="BH131" s="267">
        <v>502</v>
      </c>
      <c r="BI131" s="268">
        <v>535</v>
      </c>
      <c r="BJ131" s="150"/>
      <c r="BK131" s="267">
        <v>97</v>
      </c>
      <c r="BL131" s="267">
        <v>547</v>
      </c>
      <c r="BM131" s="267">
        <v>616</v>
      </c>
      <c r="BN131" s="267">
        <v>720</v>
      </c>
      <c r="BO131" s="268">
        <v>833</v>
      </c>
    </row>
    <row r="132" spans="2:67">
      <c r="B132" s="280" t="s">
        <v>65</v>
      </c>
      <c r="C132" s="281" t="s">
        <v>489</v>
      </c>
      <c r="D132" s="188">
        <v>1372</v>
      </c>
      <c r="E132" s="114">
        <v>3.25</v>
      </c>
      <c r="F132" s="239" t="s">
        <v>190</v>
      </c>
      <c r="G132" s="315"/>
      <c r="I132" s="282">
        <v>95</v>
      </c>
      <c r="J132" s="282">
        <v>110</v>
      </c>
      <c r="K132" s="282">
        <v>134</v>
      </c>
      <c r="L132" s="282">
        <v>168</v>
      </c>
      <c r="M132" s="283">
        <v>201</v>
      </c>
      <c r="O132" s="282">
        <v>135</v>
      </c>
      <c r="P132" s="282">
        <v>180</v>
      </c>
      <c r="Q132" s="282">
        <v>246</v>
      </c>
      <c r="R132" s="282">
        <v>356</v>
      </c>
      <c r="S132" s="283">
        <v>432</v>
      </c>
      <c r="U132" s="282">
        <v>52</v>
      </c>
      <c r="V132" s="282">
        <v>343</v>
      </c>
      <c r="W132" s="282">
        <v>366</v>
      </c>
      <c r="X132" s="282">
        <v>383</v>
      </c>
      <c r="Y132" s="283">
        <v>416</v>
      </c>
      <c r="AA132" s="282">
        <v>97</v>
      </c>
      <c r="AB132" s="282">
        <v>398</v>
      </c>
      <c r="AC132" s="282">
        <v>447</v>
      </c>
      <c r="AD132" s="282">
        <v>512</v>
      </c>
      <c r="AE132" s="283">
        <v>624</v>
      </c>
      <c r="AG132" s="282">
        <v>0</v>
      </c>
      <c r="AH132" s="282">
        <v>0</v>
      </c>
      <c r="AI132" s="282">
        <v>0</v>
      </c>
      <c r="AJ132" s="282">
        <v>0</v>
      </c>
      <c r="AK132" s="282">
        <v>0</v>
      </c>
      <c r="AL132" s="282"/>
      <c r="AM132" s="282">
        <v>0</v>
      </c>
      <c r="AN132" s="282">
        <v>0</v>
      </c>
      <c r="AO132" s="282">
        <v>0</v>
      </c>
      <c r="AP132" s="282">
        <v>0</v>
      </c>
      <c r="AQ132" s="282">
        <v>0</v>
      </c>
      <c r="AR132" s="153"/>
      <c r="AS132" s="282">
        <v>1320</v>
      </c>
      <c r="AT132" s="282">
        <v>1029.25</v>
      </c>
      <c r="AU132" s="282">
        <v>1006.25</v>
      </c>
      <c r="AV132" s="282">
        <v>989.25</v>
      </c>
      <c r="AW132" s="283">
        <v>956.25</v>
      </c>
      <c r="AX132" s="284"/>
      <c r="AY132" s="282">
        <v>1275</v>
      </c>
      <c r="AZ132" s="282">
        <v>974.25</v>
      </c>
      <c r="BA132" s="282">
        <v>925.25</v>
      </c>
      <c r="BB132" s="282">
        <v>860.25</v>
      </c>
      <c r="BC132" s="283">
        <v>748.25</v>
      </c>
      <c r="BE132" s="282">
        <v>52</v>
      </c>
      <c r="BF132" s="282">
        <v>343</v>
      </c>
      <c r="BG132" s="282">
        <v>366</v>
      </c>
      <c r="BH132" s="282">
        <v>383</v>
      </c>
      <c r="BI132" s="283">
        <v>416</v>
      </c>
      <c r="BJ132" s="150"/>
      <c r="BK132" s="282">
        <v>97</v>
      </c>
      <c r="BL132" s="282">
        <v>428</v>
      </c>
      <c r="BM132" s="282">
        <v>497</v>
      </c>
      <c r="BN132" s="282">
        <v>552</v>
      </c>
      <c r="BO132" s="283">
        <v>684</v>
      </c>
    </row>
    <row r="133" spans="2:67">
      <c r="B133" s="273" t="s">
        <v>65</v>
      </c>
      <c r="C133" s="286" t="s">
        <v>490</v>
      </c>
      <c r="D133" s="189">
        <v>1047</v>
      </c>
      <c r="E133" s="115">
        <v>3.25</v>
      </c>
      <c r="F133" s="237" t="s">
        <v>190</v>
      </c>
      <c r="G133" s="314"/>
      <c r="I133" s="267">
        <v>39</v>
      </c>
      <c r="J133" s="267">
        <v>54</v>
      </c>
      <c r="K133" s="267">
        <v>78</v>
      </c>
      <c r="L133" s="267">
        <v>112</v>
      </c>
      <c r="M133" s="268">
        <v>145</v>
      </c>
      <c r="O133" s="267">
        <v>79</v>
      </c>
      <c r="P133" s="267">
        <v>124</v>
      </c>
      <c r="Q133" s="267">
        <v>190</v>
      </c>
      <c r="R133" s="267">
        <v>300</v>
      </c>
      <c r="S133" s="268">
        <v>359</v>
      </c>
      <c r="U133" s="267">
        <v>52</v>
      </c>
      <c r="V133" s="267">
        <v>432</v>
      </c>
      <c r="W133" s="267">
        <v>455</v>
      </c>
      <c r="X133" s="267">
        <v>472</v>
      </c>
      <c r="Y133" s="268">
        <v>505</v>
      </c>
      <c r="AA133" s="267">
        <v>97</v>
      </c>
      <c r="AB133" s="267">
        <v>487</v>
      </c>
      <c r="AC133" s="267">
        <v>536</v>
      </c>
      <c r="AD133" s="267">
        <v>601</v>
      </c>
      <c r="AE133" s="268">
        <v>713</v>
      </c>
      <c r="AG133" s="282">
        <v>0</v>
      </c>
      <c r="AH133" s="282">
        <v>-240</v>
      </c>
      <c r="AI133" s="282">
        <v>-240</v>
      </c>
      <c r="AJ133" s="282">
        <v>-240</v>
      </c>
      <c r="AK133" s="282">
        <v>-240</v>
      </c>
      <c r="AL133" s="282"/>
      <c r="AM133" s="282">
        <v>0</v>
      </c>
      <c r="AN133" s="282">
        <v>-240</v>
      </c>
      <c r="AO133" s="282">
        <v>-240</v>
      </c>
      <c r="AP133" s="282">
        <v>-240</v>
      </c>
      <c r="AQ133" s="282">
        <v>-240</v>
      </c>
      <c r="AR133" s="153"/>
      <c r="AS133" s="282">
        <v>995</v>
      </c>
      <c r="AT133" s="282">
        <v>615.25</v>
      </c>
      <c r="AU133" s="282">
        <v>592.24999999999989</v>
      </c>
      <c r="AV133" s="282">
        <v>575.25</v>
      </c>
      <c r="AW133" s="283">
        <v>542.25</v>
      </c>
      <c r="AX133" s="284"/>
      <c r="AY133" s="282">
        <v>950</v>
      </c>
      <c r="AZ133" s="282">
        <v>560.25</v>
      </c>
      <c r="BA133" s="282">
        <v>511.25</v>
      </c>
      <c r="BB133" s="282">
        <v>446.25</v>
      </c>
      <c r="BC133" s="283">
        <v>334.25</v>
      </c>
      <c r="BE133" s="267">
        <v>52</v>
      </c>
      <c r="BF133" s="267">
        <v>432</v>
      </c>
      <c r="BG133" s="267">
        <v>455</v>
      </c>
      <c r="BH133" s="267">
        <v>472</v>
      </c>
      <c r="BI133" s="268">
        <v>505</v>
      </c>
      <c r="BJ133" s="150"/>
      <c r="BK133" s="267">
        <v>97</v>
      </c>
      <c r="BL133" s="267">
        <v>517</v>
      </c>
      <c r="BM133" s="267">
        <v>586</v>
      </c>
      <c r="BN133" s="267">
        <v>641</v>
      </c>
      <c r="BO133" s="268">
        <v>773</v>
      </c>
    </row>
    <row r="134" spans="2:67">
      <c r="B134" s="280" t="s">
        <v>65</v>
      </c>
      <c r="C134" s="281" t="s">
        <v>491</v>
      </c>
      <c r="D134" s="188">
        <v>182</v>
      </c>
      <c r="E134" s="114">
        <v>3.75</v>
      </c>
      <c r="F134" s="239" t="s">
        <v>191</v>
      </c>
      <c r="G134" s="315"/>
      <c r="I134" s="282">
        <v>58</v>
      </c>
      <c r="J134" s="282">
        <v>73</v>
      </c>
      <c r="K134" s="282">
        <v>97</v>
      </c>
      <c r="L134" s="282">
        <v>131</v>
      </c>
      <c r="M134" s="283">
        <v>164</v>
      </c>
      <c r="O134" s="282">
        <v>98</v>
      </c>
      <c r="P134" s="282">
        <v>143</v>
      </c>
      <c r="Q134" s="282">
        <v>209</v>
      </c>
      <c r="R134" s="282">
        <v>310</v>
      </c>
      <c r="S134" s="283">
        <v>317</v>
      </c>
      <c r="U134" s="282">
        <v>71</v>
      </c>
      <c r="V134" s="282">
        <v>91</v>
      </c>
      <c r="W134" s="282">
        <v>114</v>
      </c>
      <c r="X134" s="282">
        <v>131</v>
      </c>
      <c r="Y134" s="283">
        <v>164</v>
      </c>
      <c r="AA134" s="282">
        <v>116</v>
      </c>
      <c r="AB134" s="282">
        <v>146</v>
      </c>
      <c r="AC134" s="282">
        <v>195</v>
      </c>
      <c r="AD134" s="282">
        <v>260</v>
      </c>
      <c r="AE134" s="283">
        <v>260</v>
      </c>
      <c r="AG134" s="282">
        <v>0</v>
      </c>
      <c r="AH134" s="282">
        <v>0</v>
      </c>
      <c r="AI134" s="282">
        <v>0</v>
      </c>
      <c r="AJ134" s="282">
        <v>0</v>
      </c>
      <c r="AK134" s="282">
        <v>0</v>
      </c>
      <c r="AL134" s="282"/>
      <c r="AM134" s="282">
        <v>0</v>
      </c>
      <c r="AN134" s="282">
        <v>0</v>
      </c>
      <c r="AO134" s="282">
        <v>0</v>
      </c>
      <c r="AP134" s="282">
        <v>0</v>
      </c>
      <c r="AQ134" s="282">
        <v>0</v>
      </c>
      <c r="AR134" s="153"/>
      <c r="AS134" s="282">
        <v>110.75</v>
      </c>
      <c r="AT134" s="282">
        <v>90.75</v>
      </c>
      <c r="AU134" s="282">
        <v>67.749999999999886</v>
      </c>
      <c r="AV134" s="282">
        <v>50.75</v>
      </c>
      <c r="AW134" s="283">
        <v>17.75</v>
      </c>
      <c r="AX134" s="284"/>
      <c r="AY134" s="282">
        <v>65.750000000000057</v>
      </c>
      <c r="AZ134" s="282">
        <v>35.75</v>
      </c>
      <c r="BA134" s="282">
        <v>-13.25</v>
      </c>
      <c r="BB134" s="282">
        <v>-78.25</v>
      </c>
      <c r="BC134" s="283">
        <v>-78.25</v>
      </c>
      <c r="BE134" s="282">
        <v>71</v>
      </c>
      <c r="BF134" s="282">
        <v>91</v>
      </c>
      <c r="BG134" s="282">
        <v>114</v>
      </c>
      <c r="BH134" s="282">
        <v>131</v>
      </c>
      <c r="BI134" s="283">
        <v>164</v>
      </c>
      <c r="BJ134" s="150"/>
      <c r="BK134" s="282">
        <v>116</v>
      </c>
      <c r="BL134" s="282">
        <v>146</v>
      </c>
      <c r="BM134" s="282">
        <v>195</v>
      </c>
      <c r="BN134" s="282">
        <v>260</v>
      </c>
      <c r="BO134" s="283">
        <v>260</v>
      </c>
    </row>
    <row r="135" spans="2:67">
      <c r="B135" s="273" t="s">
        <v>65</v>
      </c>
      <c r="C135" s="286" t="s">
        <v>492</v>
      </c>
      <c r="D135" s="189">
        <v>310</v>
      </c>
      <c r="E135" s="115">
        <v>3.75</v>
      </c>
      <c r="F135" s="237" t="s">
        <v>191</v>
      </c>
      <c r="G135" s="314"/>
      <c r="I135" s="267">
        <v>115</v>
      </c>
      <c r="J135" s="267">
        <v>130</v>
      </c>
      <c r="K135" s="267">
        <v>154</v>
      </c>
      <c r="L135" s="267">
        <v>188</v>
      </c>
      <c r="M135" s="268">
        <v>221</v>
      </c>
      <c r="O135" s="267">
        <v>155</v>
      </c>
      <c r="P135" s="267">
        <v>200</v>
      </c>
      <c r="Q135" s="267">
        <v>266</v>
      </c>
      <c r="R135" s="267">
        <v>376</v>
      </c>
      <c r="S135" s="268">
        <v>506</v>
      </c>
      <c r="U135" s="267">
        <v>127</v>
      </c>
      <c r="V135" s="267">
        <v>147</v>
      </c>
      <c r="W135" s="267">
        <v>170</v>
      </c>
      <c r="X135" s="267">
        <v>187</v>
      </c>
      <c r="Y135" s="268">
        <v>220</v>
      </c>
      <c r="AA135" s="267">
        <v>172</v>
      </c>
      <c r="AB135" s="267">
        <v>202</v>
      </c>
      <c r="AC135" s="267">
        <v>281</v>
      </c>
      <c r="AD135" s="267">
        <v>316</v>
      </c>
      <c r="AE135" s="268">
        <v>400</v>
      </c>
      <c r="AG135" s="282">
        <v>0</v>
      </c>
      <c r="AH135" s="282">
        <v>0</v>
      </c>
      <c r="AI135" s="282">
        <v>0</v>
      </c>
      <c r="AJ135" s="282">
        <v>0</v>
      </c>
      <c r="AK135" s="282">
        <v>0</v>
      </c>
      <c r="AL135" s="282"/>
      <c r="AM135" s="282">
        <v>0</v>
      </c>
      <c r="AN135" s="282">
        <v>0</v>
      </c>
      <c r="AO135" s="282">
        <v>0</v>
      </c>
      <c r="AP135" s="282">
        <v>0</v>
      </c>
      <c r="AQ135" s="282">
        <v>0</v>
      </c>
      <c r="AR135" s="153"/>
      <c r="AS135" s="282">
        <v>182.75</v>
      </c>
      <c r="AT135" s="282">
        <v>162.75</v>
      </c>
      <c r="AU135" s="282">
        <v>139.74999999999989</v>
      </c>
      <c r="AV135" s="282">
        <v>122.75</v>
      </c>
      <c r="AW135" s="283">
        <v>89.75</v>
      </c>
      <c r="AX135" s="284"/>
      <c r="AY135" s="282">
        <v>137.75000000000006</v>
      </c>
      <c r="AZ135" s="282">
        <v>107.75</v>
      </c>
      <c r="BA135" s="282">
        <v>28.75</v>
      </c>
      <c r="BB135" s="282">
        <v>-6.25</v>
      </c>
      <c r="BC135" s="283">
        <v>-90.375</v>
      </c>
      <c r="BE135" s="267">
        <v>127</v>
      </c>
      <c r="BF135" s="267">
        <v>147</v>
      </c>
      <c r="BG135" s="267">
        <v>170</v>
      </c>
      <c r="BH135" s="267">
        <v>187</v>
      </c>
      <c r="BI135" s="268">
        <v>220</v>
      </c>
      <c r="BJ135" s="150"/>
      <c r="BK135" s="267">
        <v>172</v>
      </c>
      <c r="BL135" s="267">
        <v>202</v>
      </c>
      <c r="BM135" s="267">
        <v>281</v>
      </c>
      <c r="BN135" s="267">
        <v>316</v>
      </c>
      <c r="BO135" s="268">
        <v>400</v>
      </c>
    </row>
    <row r="136" spans="2:67">
      <c r="B136" s="280" t="s">
        <v>65</v>
      </c>
      <c r="C136" s="281" t="s">
        <v>493</v>
      </c>
      <c r="D136" s="188">
        <v>310</v>
      </c>
      <c r="E136" s="114">
        <v>3.75</v>
      </c>
      <c r="F136" s="239" t="s">
        <v>191</v>
      </c>
      <c r="G136" s="315"/>
      <c r="I136" s="282">
        <v>105</v>
      </c>
      <c r="J136" s="282">
        <v>120</v>
      </c>
      <c r="K136" s="282">
        <v>144</v>
      </c>
      <c r="L136" s="282">
        <v>178</v>
      </c>
      <c r="M136" s="283">
        <v>211</v>
      </c>
      <c r="O136" s="282">
        <v>145</v>
      </c>
      <c r="P136" s="282">
        <v>190</v>
      </c>
      <c r="Q136" s="282">
        <v>256</v>
      </c>
      <c r="R136" s="282">
        <v>366</v>
      </c>
      <c r="S136" s="283">
        <v>451</v>
      </c>
      <c r="U136" s="282">
        <v>137</v>
      </c>
      <c r="V136" s="282">
        <v>157</v>
      </c>
      <c r="W136" s="282">
        <v>180</v>
      </c>
      <c r="X136" s="282">
        <v>197</v>
      </c>
      <c r="Y136" s="283">
        <v>230</v>
      </c>
      <c r="AA136" s="282">
        <v>182</v>
      </c>
      <c r="AB136" s="282">
        <v>212</v>
      </c>
      <c r="AC136" s="282">
        <v>261</v>
      </c>
      <c r="AD136" s="282">
        <v>326</v>
      </c>
      <c r="AE136" s="283">
        <v>395</v>
      </c>
      <c r="AG136" s="282">
        <v>0</v>
      </c>
      <c r="AH136" s="282">
        <v>0</v>
      </c>
      <c r="AI136" s="282">
        <v>0</v>
      </c>
      <c r="AJ136" s="282">
        <v>0</v>
      </c>
      <c r="AK136" s="282">
        <v>0</v>
      </c>
      <c r="AL136" s="282"/>
      <c r="AM136" s="282">
        <v>0</v>
      </c>
      <c r="AN136" s="282">
        <v>0</v>
      </c>
      <c r="AO136" s="282">
        <v>29</v>
      </c>
      <c r="AP136" s="282">
        <v>0</v>
      </c>
      <c r="AQ136" s="282">
        <v>0</v>
      </c>
      <c r="AR136" s="153"/>
      <c r="AS136" s="282">
        <v>172.75</v>
      </c>
      <c r="AT136" s="282">
        <v>152.75</v>
      </c>
      <c r="AU136" s="282">
        <v>129.74999999999989</v>
      </c>
      <c r="AV136" s="282">
        <v>112.75</v>
      </c>
      <c r="AW136" s="283">
        <v>79.75</v>
      </c>
      <c r="AX136" s="284"/>
      <c r="AY136" s="282">
        <v>127.75000000000006</v>
      </c>
      <c r="AZ136" s="282">
        <v>97.75</v>
      </c>
      <c r="BA136" s="282">
        <v>48.75</v>
      </c>
      <c r="BB136" s="282">
        <v>-16.25</v>
      </c>
      <c r="BC136" s="283">
        <v>-85.375</v>
      </c>
      <c r="BE136" s="282">
        <v>137</v>
      </c>
      <c r="BF136" s="282">
        <v>157</v>
      </c>
      <c r="BG136" s="282">
        <v>180</v>
      </c>
      <c r="BH136" s="282">
        <v>197</v>
      </c>
      <c r="BI136" s="283">
        <v>230</v>
      </c>
      <c r="BJ136" s="150"/>
      <c r="BK136" s="282">
        <v>182</v>
      </c>
      <c r="BL136" s="282">
        <v>212</v>
      </c>
      <c r="BM136" s="282">
        <v>261</v>
      </c>
      <c r="BN136" s="282">
        <v>326</v>
      </c>
      <c r="BO136" s="283">
        <v>395</v>
      </c>
    </row>
    <row r="137" spans="2:67">
      <c r="B137" s="273" t="s">
        <v>65</v>
      </c>
      <c r="C137" s="286" t="s">
        <v>617</v>
      </c>
      <c r="D137" s="189">
        <v>1195</v>
      </c>
      <c r="E137" s="115">
        <v>3.75</v>
      </c>
      <c r="F137" s="237" t="s">
        <v>191</v>
      </c>
      <c r="G137" s="314"/>
      <c r="I137" s="267">
        <v>39</v>
      </c>
      <c r="J137" s="267">
        <v>54</v>
      </c>
      <c r="K137" s="267">
        <v>220</v>
      </c>
      <c r="L137" s="267">
        <v>254</v>
      </c>
      <c r="M137" s="268">
        <v>287</v>
      </c>
      <c r="O137" s="267">
        <v>79</v>
      </c>
      <c r="P137" s="267">
        <v>124</v>
      </c>
      <c r="Q137" s="267">
        <v>332</v>
      </c>
      <c r="R137" s="267">
        <v>442</v>
      </c>
      <c r="S137" s="268">
        <v>589</v>
      </c>
      <c r="U137" s="267">
        <v>52</v>
      </c>
      <c r="V137" s="267">
        <v>392</v>
      </c>
      <c r="W137" s="267">
        <v>415</v>
      </c>
      <c r="X137" s="267">
        <v>432</v>
      </c>
      <c r="Y137" s="268">
        <v>465</v>
      </c>
      <c r="AA137" s="267">
        <v>97</v>
      </c>
      <c r="AB137" s="267">
        <v>447</v>
      </c>
      <c r="AC137" s="267">
        <v>496</v>
      </c>
      <c r="AD137" s="267">
        <v>561</v>
      </c>
      <c r="AE137" s="268">
        <v>673</v>
      </c>
      <c r="AG137" s="282">
        <v>0</v>
      </c>
      <c r="AH137" s="282">
        <v>-100</v>
      </c>
      <c r="AI137" s="282">
        <v>-100</v>
      </c>
      <c r="AJ137" s="282">
        <v>-100</v>
      </c>
      <c r="AK137" s="282">
        <v>-100</v>
      </c>
      <c r="AL137" s="282"/>
      <c r="AM137" s="282">
        <v>0</v>
      </c>
      <c r="AN137" s="282">
        <v>-100</v>
      </c>
      <c r="AO137" s="282">
        <v>-100</v>
      </c>
      <c r="AP137" s="282">
        <v>-100</v>
      </c>
      <c r="AQ137" s="282">
        <v>-77</v>
      </c>
      <c r="AR137" s="153"/>
      <c r="AS137" s="282">
        <v>1143</v>
      </c>
      <c r="AT137" s="282">
        <v>802.75</v>
      </c>
      <c r="AU137" s="282">
        <v>779.75</v>
      </c>
      <c r="AV137" s="282">
        <v>762.75</v>
      </c>
      <c r="AW137" s="283">
        <v>729.75</v>
      </c>
      <c r="AX137" s="284"/>
      <c r="AY137" s="282">
        <v>1098</v>
      </c>
      <c r="AZ137" s="282">
        <v>747.75</v>
      </c>
      <c r="BA137" s="282">
        <v>698.75</v>
      </c>
      <c r="BB137" s="282">
        <v>633.75</v>
      </c>
      <c r="BC137" s="283">
        <v>521.75</v>
      </c>
      <c r="BE137" s="267">
        <v>52</v>
      </c>
      <c r="BF137" s="267">
        <v>392</v>
      </c>
      <c r="BG137" s="267">
        <v>415</v>
      </c>
      <c r="BH137" s="267">
        <v>432</v>
      </c>
      <c r="BI137" s="268">
        <v>465</v>
      </c>
      <c r="BJ137" s="150"/>
      <c r="BK137" s="267">
        <v>97</v>
      </c>
      <c r="BL137" s="267">
        <v>477</v>
      </c>
      <c r="BM137" s="267">
        <v>546</v>
      </c>
      <c r="BN137" s="267">
        <v>601</v>
      </c>
      <c r="BO137" s="268">
        <v>733</v>
      </c>
    </row>
    <row r="138" spans="2:67">
      <c r="B138" s="280" t="s">
        <v>65</v>
      </c>
      <c r="C138" s="281" t="s">
        <v>427</v>
      </c>
      <c r="D138" s="188">
        <v>537</v>
      </c>
      <c r="E138" s="114">
        <v>3.75</v>
      </c>
      <c r="F138" s="239" t="s">
        <v>191</v>
      </c>
      <c r="G138" s="315"/>
      <c r="I138" s="282">
        <v>105</v>
      </c>
      <c r="J138" s="282">
        <v>120</v>
      </c>
      <c r="K138" s="282">
        <v>144</v>
      </c>
      <c r="L138" s="282">
        <v>178</v>
      </c>
      <c r="M138" s="283">
        <v>211</v>
      </c>
      <c r="O138" s="282">
        <v>145</v>
      </c>
      <c r="P138" s="282">
        <v>190</v>
      </c>
      <c r="Q138" s="282">
        <v>256</v>
      </c>
      <c r="R138" s="282">
        <v>366</v>
      </c>
      <c r="S138" s="283">
        <v>451</v>
      </c>
      <c r="U138" s="282">
        <v>237</v>
      </c>
      <c r="V138" s="282">
        <v>257</v>
      </c>
      <c r="W138" s="282">
        <v>280</v>
      </c>
      <c r="X138" s="282">
        <v>297</v>
      </c>
      <c r="Y138" s="283">
        <v>330</v>
      </c>
      <c r="AA138" s="282">
        <v>282</v>
      </c>
      <c r="AB138" s="282">
        <v>312</v>
      </c>
      <c r="AC138" s="282">
        <v>361</v>
      </c>
      <c r="AD138" s="282">
        <v>426</v>
      </c>
      <c r="AE138" s="283">
        <v>538</v>
      </c>
      <c r="AG138" s="282">
        <v>0</v>
      </c>
      <c r="AH138" s="282">
        <v>0</v>
      </c>
      <c r="AI138" s="282">
        <v>0</v>
      </c>
      <c r="AJ138" s="282">
        <v>0</v>
      </c>
      <c r="AK138" s="282">
        <v>0</v>
      </c>
      <c r="AL138" s="282"/>
      <c r="AM138" s="282">
        <v>0</v>
      </c>
      <c r="AN138" s="282">
        <v>0</v>
      </c>
      <c r="AO138" s="282">
        <v>0</v>
      </c>
      <c r="AP138" s="282">
        <v>30</v>
      </c>
      <c r="AQ138" s="282">
        <v>0</v>
      </c>
      <c r="AR138" s="153"/>
      <c r="AS138" s="282">
        <v>299.75</v>
      </c>
      <c r="AT138" s="282">
        <v>279.75</v>
      </c>
      <c r="AU138" s="282">
        <v>256.74999999999989</v>
      </c>
      <c r="AV138" s="282">
        <v>239.75</v>
      </c>
      <c r="AW138" s="283">
        <v>206.75</v>
      </c>
      <c r="AX138" s="284"/>
      <c r="AY138" s="282">
        <v>254.75000000000006</v>
      </c>
      <c r="AZ138" s="282">
        <v>224.75</v>
      </c>
      <c r="BA138" s="282">
        <v>175.75</v>
      </c>
      <c r="BB138" s="282">
        <v>110.75</v>
      </c>
      <c r="BC138" s="283">
        <v>-1.25</v>
      </c>
      <c r="BE138" s="282">
        <v>237</v>
      </c>
      <c r="BF138" s="282">
        <v>257</v>
      </c>
      <c r="BG138" s="282">
        <v>280</v>
      </c>
      <c r="BH138" s="282">
        <v>297</v>
      </c>
      <c r="BI138" s="283">
        <v>330</v>
      </c>
      <c r="BJ138" s="150"/>
      <c r="BK138" s="282">
        <v>282</v>
      </c>
      <c r="BL138" s="282">
        <v>342</v>
      </c>
      <c r="BM138" s="282">
        <v>411</v>
      </c>
      <c r="BN138" s="282">
        <v>537</v>
      </c>
      <c r="BO138" s="283">
        <v>598</v>
      </c>
    </row>
    <row r="139" spans="2:67">
      <c r="B139" s="273" t="s">
        <v>65</v>
      </c>
      <c r="C139" s="286" t="s">
        <v>418</v>
      </c>
      <c r="D139" s="189">
        <v>421</v>
      </c>
      <c r="E139" s="115">
        <v>2.5</v>
      </c>
      <c r="F139" s="237" t="s">
        <v>459</v>
      </c>
      <c r="G139" s="314"/>
      <c r="I139" s="267">
        <v>105</v>
      </c>
      <c r="J139" s="267">
        <v>120</v>
      </c>
      <c r="K139" s="267">
        <v>144</v>
      </c>
      <c r="L139" s="267">
        <v>178</v>
      </c>
      <c r="M139" s="268">
        <v>211</v>
      </c>
      <c r="O139" s="267">
        <v>145</v>
      </c>
      <c r="P139" s="267">
        <v>190</v>
      </c>
      <c r="Q139" s="267">
        <v>256</v>
      </c>
      <c r="R139" s="267">
        <v>366</v>
      </c>
      <c r="S139" s="268">
        <v>484</v>
      </c>
      <c r="U139" s="267">
        <v>99</v>
      </c>
      <c r="V139" s="267">
        <v>119</v>
      </c>
      <c r="W139" s="267">
        <v>142</v>
      </c>
      <c r="X139" s="267">
        <v>159</v>
      </c>
      <c r="Y139" s="268">
        <v>192</v>
      </c>
      <c r="AA139" s="267">
        <v>144</v>
      </c>
      <c r="AB139" s="267">
        <v>174</v>
      </c>
      <c r="AC139" s="267">
        <v>223</v>
      </c>
      <c r="AD139" s="267">
        <v>288</v>
      </c>
      <c r="AE139" s="268">
        <v>400</v>
      </c>
      <c r="AG139" s="282">
        <v>50</v>
      </c>
      <c r="AH139" s="282">
        <v>50</v>
      </c>
      <c r="AI139" s="282">
        <v>50</v>
      </c>
      <c r="AJ139" s="282">
        <v>50</v>
      </c>
      <c r="AK139" s="282">
        <v>50</v>
      </c>
      <c r="AL139" s="282"/>
      <c r="AM139" s="282">
        <v>50</v>
      </c>
      <c r="AN139" s="282">
        <v>50</v>
      </c>
      <c r="AO139" s="282">
        <v>50</v>
      </c>
      <c r="AP139" s="282">
        <v>50</v>
      </c>
      <c r="AQ139" s="282">
        <v>50</v>
      </c>
      <c r="AR139" s="153"/>
      <c r="AS139" s="282">
        <v>322.5</v>
      </c>
      <c r="AT139" s="282">
        <v>302.5</v>
      </c>
      <c r="AU139" s="282">
        <v>279.49999999999989</v>
      </c>
      <c r="AV139" s="282">
        <v>262.5</v>
      </c>
      <c r="AW139" s="283">
        <v>229.5</v>
      </c>
      <c r="AX139" s="284"/>
      <c r="AY139" s="282">
        <v>277.50000000000006</v>
      </c>
      <c r="AZ139" s="282">
        <v>247.5</v>
      </c>
      <c r="BA139" s="282">
        <v>198.5</v>
      </c>
      <c r="BB139" s="282">
        <v>133.5</v>
      </c>
      <c r="BC139" s="283">
        <v>21.5</v>
      </c>
      <c r="BE139" s="267">
        <v>99</v>
      </c>
      <c r="BF139" s="267">
        <v>119</v>
      </c>
      <c r="BG139" s="267">
        <v>142</v>
      </c>
      <c r="BH139" s="267">
        <v>159</v>
      </c>
      <c r="BI139" s="268">
        <v>192</v>
      </c>
      <c r="BJ139" s="150"/>
      <c r="BK139" s="267">
        <v>144</v>
      </c>
      <c r="BL139" s="267">
        <v>204</v>
      </c>
      <c r="BM139" s="267">
        <v>273</v>
      </c>
      <c r="BN139" s="267">
        <v>328</v>
      </c>
      <c r="BO139" s="268">
        <v>460</v>
      </c>
    </row>
    <row r="140" spans="2:67">
      <c r="B140" s="280" t="s">
        <v>65</v>
      </c>
      <c r="C140" s="281" t="s">
        <v>566</v>
      </c>
      <c r="D140" s="188">
        <v>315</v>
      </c>
      <c r="E140" s="114">
        <v>2.5</v>
      </c>
      <c r="F140" s="239" t="s">
        <v>459</v>
      </c>
      <c r="G140" s="315"/>
      <c r="I140" s="282">
        <v>39</v>
      </c>
      <c r="J140" s="282">
        <v>54</v>
      </c>
      <c r="K140" s="282">
        <v>159</v>
      </c>
      <c r="L140" s="282">
        <v>193</v>
      </c>
      <c r="M140" s="283">
        <v>226</v>
      </c>
      <c r="O140" s="282">
        <v>79</v>
      </c>
      <c r="P140" s="282">
        <v>124</v>
      </c>
      <c r="Q140" s="282">
        <v>271</v>
      </c>
      <c r="R140" s="282">
        <v>381</v>
      </c>
      <c r="S140" s="283">
        <v>528</v>
      </c>
      <c r="U140" s="282">
        <v>129</v>
      </c>
      <c r="V140" s="282">
        <v>149</v>
      </c>
      <c r="W140" s="282">
        <v>172</v>
      </c>
      <c r="X140" s="282">
        <v>189</v>
      </c>
      <c r="Y140" s="283">
        <v>222</v>
      </c>
      <c r="AA140" s="282">
        <v>174</v>
      </c>
      <c r="AB140" s="282">
        <v>204</v>
      </c>
      <c r="AC140" s="282">
        <v>253</v>
      </c>
      <c r="AD140" s="282">
        <v>318</v>
      </c>
      <c r="AE140" s="283">
        <v>407</v>
      </c>
      <c r="AG140" s="282">
        <v>0</v>
      </c>
      <c r="AH140" s="282">
        <v>0</v>
      </c>
      <c r="AI140" s="282">
        <v>0</v>
      </c>
      <c r="AJ140" s="282">
        <v>0</v>
      </c>
      <c r="AK140" s="282">
        <v>0</v>
      </c>
      <c r="AL140" s="282"/>
      <c r="AM140" s="282">
        <v>0</v>
      </c>
      <c r="AN140" s="282">
        <v>0</v>
      </c>
      <c r="AO140" s="282">
        <v>0</v>
      </c>
      <c r="AP140" s="282">
        <v>0</v>
      </c>
      <c r="AQ140" s="282">
        <v>0</v>
      </c>
      <c r="AR140" s="153"/>
      <c r="AS140" s="282">
        <v>186.5</v>
      </c>
      <c r="AT140" s="282">
        <v>166.5</v>
      </c>
      <c r="AU140" s="282">
        <v>143.49999999999989</v>
      </c>
      <c r="AV140" s="282">
        <v>126.5</v>
      </c>
      <c r="AW140" s="283">
        <v>93.5</v>
      </c>
      <c r="AX140" s="284"/>
      <c r="AY140" s="282">
        <v>141.50000000000006</v>
      </c>
      <c r="AZ140" s="282">
        <v>111.5</v>
      </c>
      <c r="BA140" s="282">
        <v>62.5</v>
      </c>
      <c r="BB140" s="282">
        <v>-2.5</v>
      </c>
      <c r="BC140" s="283">
        <v>-92.25</v>
      </c>
      <c r="BE140" s="282">
        <v>129</v>
      </c>
      <c r="BF140" s="282">
        <v>149</v>
      </c>
      <c r="BG140" s="282">
        <v>172</v>
      </c>
      <c r="BH140" s="282">
        <v>189</v>
      </c>
      <c r="BI140" s="283">
        <v>222</v>
      </c>
      <c r="BJ140" s="150"/>
      <c r="BK140" s="282">
        <v>174</v>
      </c>
      <c r="BL140" s="282">
        <v>204</v>
      </c>
      <c r="BM140" s="282">
        <v>253</v>
      </c>
      <c r="BN140" s="282">
        <v>318</v>
      </c>
      <c r="BO140" s="283">
        <v>407</v>
      </c>
    </row>
    <row r="141" spans="2:67">
      <c r="B141" s="273" t="s">
        <v>65</v>
      </c>
      <c r="C141" s="286" t="s">
        <v>567</v>
      </c>
      <c r="D141" s="189">
        <v>373</v>
      </c>
      <c r="E141" s="115">
        <v>2.5</v>
      </c>
      <c r="F141" s="237" t="s">
        <v>459</v>
      </c>
      <c r="G141" s="314"/>
      <c r="I141" s="267">
        <v>68</v>
      </c>
      <c r="J141" s="267">
        <v>83</v>
      </c>
      <c r="K141" s="267">
        <v>107</v>
      </c>
      <c r="L141" s="267">
        <v>141</v>
      </c>
      <c r="M141" s="268">
        <v>174</v>
      </c>
      <c r="O141" s="267">
        <v>108</v>
      </c>
      <c r="P141" s="267">
        <v>153</v>
      </c>
      <c r="Q141" s="267">
        <v>219</v>
      </c>
      <c r="R141" s="267">
        <v>329</v>
      </c>
      <c r="S141" s="268">
        <v>411</v>
      </c>
      <c r="U141" s="267">
        <v>128</v>
      </c>
      <c r="V141" s="267">
        <v>148</v>
      </c>
      <c r="W141" s="267">
        <v>171</v>
      </c>
      <c r="X141" s="267">
        <v>188</v>
      </c>
      <c r="Y141" s="268">
        <v>221</v>
      </c>
      <c r="AA141" s="267">
        <v>173</v>
      </c>
      <c r="AB141" s="267">
        <v>203</v>
      </c>
      <c r="AC141" s="267">
        <v>252</v>
      </c>
      <c r="AD141" s="267">
        <v>317</v>
      </c>
      <c r="AE141" s="268">
        <v>429</v>
      </c>
      <c r="AG141" s="282">
        <v>0</v>
      </c>
      <c r="AH141" s="282">
        <v>0</v>
      </c>
      <c r="AI141" s="282">
        <v>0</v>
      </c>
      <c r="AJ141" s="282">
        <v>0</v>
      </c>
      <c r="AK141" s="282">
        <v>0</v>
      </c>
      <c r="AL141" s="282"/>
      <c r="AM141" s="282">
        <v>0</v>
      </c>
      <c r="AN141" s="282">
        <v>0</v>
      </c>
      <c r="AO141" s="282">
        <v>0</v>
      </c>
      <c r="AP141" s="282">
        <v>0</v>
      </c>
      <c r="AQ141" s="282">
        <v>0</v>
      </c>
      <c r="AR141" s="153"/>
      <c r="AS141" s="282">
        <v>245.5</v>
      </c>
      <c r="AT141" s="282">
        <v>225.5</v>
      </c>
      <c r="AU141" s="282">
        <v>202.49999999999989</v>
      </c>
      <c r="AV141" s="282">
        <v>185.5</v>
      </c>
      <c r="AW141" s="283">
        <v>152.5</v>
      </c>
      <c r="AX141" s="284"/>
      <c r="AY141" s="282">
        <v>200.50000000000006</v>
      </c>
      <c r="AZ141" s="282">
        <v>170.5</v>
      </c>
      <c r="BA141" s="282">
        <v>121.5</v>
      </c>
      <c r="BB141" s="282">
        <v>56.5</v>
      </c>
      <c r="BC141" s="283">
        <v>-55.5</v>
      </c>
      <c r="BE141" s="267">
        <v>128</v>
      </c>
      <c r="BF141" s="267">
        <v>148</v>
      </c>
      <c r="BG141" s="267">
        <v>171</v>
      </c>
      <c r="BH141" s="267">
        <v>188</v>
      </c>
      <c r="BI141" s="268">
        <v>221</v>
      </c>
      <c r="BJ141" s="150"/>
      <c r="BK141" s="267">
        <v>173</v>
      </c>
      <c r="BL141" s="267">
        <v>210</v>
      </c>
      <c r="BM141" s="267">
        <v>259</v>
      </c>
      <c r="BN141" s="267">
        <v>324</v>
      </c>
      <c r="BO141" s="268">
        <v>436</v>
      </c>
    </row>
    <row r="142" spans="2:67">
      <c r="B142" s="280" t="s">
        <v>65</v>
      </c>
      <c r="C142" s="281" t="s">
        <v>568</v>
      </c>
      <c r="D142" s="188">
        <v>338</v>
      </c>
      <c r="E142" s="114">
        <v>2.5</v>
      </c>
      <c r="F142" s="239" t="s">
        <v>459</v>
      </c>
      <c r="G142" s="315"/>
      <c r="I142" s="282">
        <v>125</v>
      </c>
      <c r="J142" s="282">
        <v>140</v>
      </c>
      <c r="K142" s="282">
        <v>164</v>
      </c>
      <c r="L142" s="282">
        <v>198</v>
      </c>
      <c r="M142" s="283">
        <v>231</v>
      </c>
      <c r="O142" s="282">
        <v>165</v>
      </c>
      <c r="P142" s="282">
        <v>210</v>
      </c>
      <c r="Q142" s="282">
        <v>276</v>
      </c>
      <c r="R142" s="282">
        <v>386</v>
      </c>
      <c r="S142" s="283">
        <v>463</v>
      </c>
      <c r="U142" s="282">
        <v>129</v>
      </c>
      <c r="V142" s="282">
        <v>149</v>
      </c>
      <c r="W142" s="282">
        <v>172</v>
      </c>
      <c r="X142" s="282">
        <v>189</v>
      </c>
      <c r="Y142" s="283">
        <v>222</v>
      </c>
      <c r="AA142" s="282">
        <v>174</v>
      </c>
      <c r="AB142" s="282">
        <v>204</v>
      </c>
      <c r="AC142" s="282">
        <v>253</v>
      </c>
      <c r="AD142" s="282">
        <v>318</v>
      </c>
      <c r="AE142" s="283">
        <v>430</v>
      </c>
      <c r="AG142" s="282">
        <v>0</v>
      </c>
      <c r="AH142" s="282">
        <v>0</v>
      </c>
      <c r="AI142" s="282">
        <v>0</v>
      </c>
      <c r="AJ142" s="282">
        <v>0</v>
      </c>
      <c r="AK142" s="282">
        <v>0</v>
      </c>
      <c r="AL142" s="282"/>
      <c r="AM142" s="282">
        <v>0</v>
      </c>
      <c r="AN142" s="282">
        <v>0</v>
      </c>
      <c r="AO142" s="282">
        <v>0</v>
      </c>
      <c r="AP142" s="282">
        <v>0</v>
      </c>
      <c r="AQ142" s="282">
        <v>0</v>
      </c>
      <c r="AR142" s="153"/>
      <c r="AS142" s="282">
        <v>209.5</v>
      </c>
      <c r="AT142" s="282">
        <v>189.5</v>
      </c>
      <c r="AU142" s="282">
        <v>166.49999999999989</v>
      </c>
      <c r="AV142" s="282">
        <v>149.5</v>
      </c>
      <c r="AW142" s="283">
        <v>116.5</v>
      </c>
      <c r="AX142" s="284"/>
      <c r="AY142" s="282">
        <v>164.50000000000006</v>
      </c>
      <c r="AZ142" s="282">
        <v>134.5</v>
      </c>
      <c r="BA142" s="282">
        <v>85.5</v>
      </c>
      <c r="BB142" s="282">
        <v>20.5</v>
      </c>
      <c r="BC142" s="283">
        <v>-91.5</v>
      </c>
      <c r="BE142" s="282">
        <v>129</v>
      </c>
      <c r="BF142" s="282">
        <v>149</v>
      </c>
      <c r="BG142" s="282">
        <v>172</v>
      </c>
      <c r="BH142" s="282">
        <v>189</v>
      </c>
      <c r="BI142" s="283">
        <v>222</v>
      </c>
      <c r="BJ142" s="150"/>
      <c r="BK142" s="282">
        <v>174</v>
      </c>
      <c r="BL142" s="282">
        <v>204</v>
      </c>
      <c r="BM142" s="282">
        <v>253</v>
      </c>
      <c r="BN142" s="282">
        <v>318</v>
      </c>
      <c r="BO142" s="283">
        <v>430</v>
      </c>
    </row>
    <row r="143" spans="2:67">
      <c r="B143" s="273" t="s">
        <v>65</v>
      </c>
      <c r="C143" s="286" t="s">
        <v>557</v>
      </c>
      <c r="D143" s="189">
        <v>207</v>
      </c>
      <c r="E143" s="115">
        <v>2.5</v>
      </c>
      <c r="F143" s="237" t="s">
        <v>459</v>
      </c>
      <c r="G143" s="314"/>
      <c r="I143" s="267">
        <v>39</v>
      </c>
      <c r="J143" s="267">
        <v>54</v>
      </c>
      <c r="K143" s="267">
        <v>569</v>
      </c>
      <c r="L143" s="267">
        <v>603</v>
      </c>
      <c r="M143" s="268">
        <v>636</v>
      </c>
      <c r="O143" s="267">
        <v>79</v>
      </c>
      <c r="P143" s="267">
        <v>124</v>
      </c>
      <c r="Q143" s="267">
        <v>681</v>
      </c>
      <c r="R143" s="267">
        <v>791</v>
      </c>
      <c r="S143" s="268">
        <v>938</v>
      </c>
      <c r="U143" s="267">
        <v>77</v>
      </c>
      <c r="V143" s="267">
        <v>97</v>
      </c>
      <c r="W143" s="267">
        <v>120</v>
      </c>
      <c r="X143" s="267">
        <v>137</v>
      </c>
      <c r="Y143" s="268">
        <v>170</v>
      </c>
      <c r="AA143" s="267">
        <v>122</v>
      </c>
      <c r="AB143" s="267">
        <v>152</v>
      </c>
      <c r="AC143" s="267">
        <v>201</v>
      </c>
      <c r="AD143" s="267">
        <v>266</v>
      </c>
      <c r="AE143" s="268">
        <v>271</v>
      </c>
      <c r="AG143" s="282">
        <v>0</v>
      </c>
      <c r="AH143" s="282">
        <v>0</v>
      </c>
      <c r="AI143" s="282">
        <v>0</v>
      </c>
      <c r="AJ143" s="282">
        <v>0</v>
      </c>
      <c r="AK143" s="282">
        <v>0</v>
      </c>
      <c r="AL143" s="282"/>
      <c r="AM143" s="282">
        <v>0</v>
      </c>
      <c r="AN143" s="282">
        <v>0</v>
      </c>
      <c r="AO143" s="282">
        <v>0</v>
      </c>
      <c r="AP143" s="282">
        <v>0</v>
      </c>
      <c r="AQ143" s="282">
        <v>0</v>
      </c>
      <c r="AR143" s="153"/>
      <c r="AS143" s="282">
        <v>130.5</v>
      </c>
      <c r="AT143" s="282">
        <v>110.5</v>
      </c>
      <c r="AU143" s="282">
        <v>87.499999999999886</v>
      </c>
      <c r="AV143" s="282">
        <v>70.5</v>
      </c>
      <c r="AW143" s="283">
        <v>37.5</v>
      </c>
      <c r="AX143" s="284"/>
      <c r="AY143" s="282">
        <v>85.500000000000057</v>
      </c>
      <c r="AZ143" s="282">
        <v>55.5</v>
      </c>
      <c r="BA143" s="282">
        <v>6.5</v>
      </c>
      <c r="BB143" s="282">
        <v>-58.5</v>
      </c>
      <c r="BC143" s="283">
        <v>-64.25</v>
      </c>
      <c r="BE143" s="267">
        <v>77</v>
      </c>
      <c r="BF143" s="267">
        <v>97</v>
      </c>
      <c r="BG143" s="267">
        <v>120</v>
      </c>
      <c r="BH143" s="267">
        <v>137</v>
      </c>
      <c r="BI143" s="268">
        <v>170</v>
      </c>
      <c r="BJ143" s="150"/>
      <c r="BK143" s="267">
        <v>122</v>
      </c>
      <c r="BL143" s="267">
        <v>152</v>
      </c>
      <c r="BM143" s="267">
        <v>201</v>
      </c>
      <c r="BN143" s="267">
        <v>266</v>
      </c>
      <c r="BO143" s="268">
        <v>271</v>
      </c>
    </row>
    <row r="144" spans="2:67">
      <c r="B144" s="280" t="s">
        <v>65</v>
      </c>
      <c r="C144" s="281" t="s">
        <v>569</v>
      </c>
      <c r="D144" s="188">
        <v>626</v>
      </c>
      <c r="E144" s="114">
        <v>2.5</v>
      </c>
      <c r="F144" s="239" t="s">
        <v>459</v>
      </c>
      <c r="G144" s="315"/>
      <c r="I144" s="282">
        <v>39</v>
      </c>
      <c r="J144" s="282">
        <v>54</v>
      </c>
      <c r="K144" s="282">
        <v>278</v>
      </c>
      <c r="L144" s="282">
        <v>312</v>
      </c>
      <c r="M144" s="283">
        <v>345</v>
      </c>
      <c r="O144" s="282">
        <v>79</v>
      </c>
      <c r="P144" s="282">
        <v>124</v>
      </c>
      <c r="Q144" s="282">
        <v>390</v>
      </c>
      <c r="R144" s="282">
        <v>500</v>
      </c>
      <c r="S144" s="283">
        <v>647</v>
      </c>
      <c r="U144" s="282">
        <v>52</v>
      </c>
      <c r="V144" s="282">
        <v>239</v>
      </c>
      <c r="W144" s="282">
        <v>262</v>
      </c>
      <c r="X144" s="282">
        <v>279</v>
      </c>
      <c r="Y144" s="283">
        <v>312</v>
      </c>
      <c r="AA144" s="282">
        <v>97</v>
      </c>
      <c r="AB144" s="282">
        <v>294</v>
      </c>
      <c r="AC144" s="282">
        <v>343</v>
      </c>
      <c r="AD144" s="282">
        <v>408</v>
      </c>
      <c r="AE144" s="283">
        <v>520</v>
      </c>
      <c r="AG144" s="282">
        <v>0</v>
      </c>
      <c r="AH144" s="282">
        <v>0</v>
      </c>
      <c r="AI144" s="282">
        <v>0</v>
      </c>
      <c r="AJ144" s="282">
        <v>0</v>
      </c>
      <c r="AK144" s="282">
        <v>0</v>
      </c>
      <c r="AL144" s="282"/>
      <c r="AM144" s="282">
        <v>0</v>
      </c>
      <c r="AN144" s="282">
        <v>0</v>
      </c>
      <c r="AO144" s="282">
        <v>0</v>
      </c>
      <c r="AP144" s="282">
        <v>0</v>
      </c>
      <c r="AQ144" s="282">
        <v>0</v>
      </c>
      <c r="AR144" s="153"/>
      <c r="AS144" s="282">
        <v>574</v>
      </c>
      <c r="AT144" s="282">
        <v>387.5</v>
      </c>
      <c r="AU144" s="282">
        <v>364.49999999999989</v>
      </c>
      <c r="AV144" s="282">
        <v>347.5</v>
      </c>
      <c r="AW144" s="283">
        <v>314.5</v>
      </c>
      <c r="AX144" s="284"/>
      <c r="AY144" s="282">
        <v>529</v>
      </c>
      <c r="AZ144" s="282">
        <v>332.5</v>
      </c>
      <c r="BA144" s="282">
        <v>283.5</v>
      </c>
      <c r="BB144" s="282">
        <v>218.5</v>
      </c>
      <c r="BC144" s="283">
        <v>106.5</v>
      </c>
      <c r="BE144" s="282">
        <v>52</v>
      </c>
      <c r="BF144" s="282">
        <v>239</v>
      </c>
      <c r="BG144" s="282">
        <v>262</v>
      </c>
      <c r="BH144" s="282">
        <v>279</v>
      </c>
      <c r="BI144" s="283">
        <v>312</v>
      </c>
      <c r="BJ144" s="150"/>
      <c r="BK144" s="282">
        <v>97</v>
      </c>
      <c r="BL144" s="282">
        <v>324</v>
      </c>
      <c r="BM144" s="282">
        <v>393</v>
      </c>
      <c r="BN144" s="282">
        <v>448</v>
      </c>
      <c r="BO144" s="283">
        <v>580</v>
      </c>
    </row>
    <row r="145" spans="2:67">
      <c r="B145" s="273" t="s">
        <v>65</v>
      </c>
      <c r="C145" s="286" t="s">
        <v>500</v>
      </c>
      <c r="D145" s="189">
        <v>343</v>
      </c>
      <c r="E145" s="115">
        <v>3.25</v>
      </c>
      <c r="F145" s="237" t="s">
        <v>190</v>
      </c>
      <c r="G145" s="314"/>
      <c r="I145" s="267">
        <v>39</v>
      </c>
      <c r="J145" s="267">
        <v>54</v>
      </c>
      <c r="K145" s="267">
        <v>328</v>
      </c>
      <c r="L145" s="267">
        <v>362</v>
      </c>
      <c r="M145" s="268">
        <v>395</v>
      </c>
      <c r="O145" s="267">
        <v>79</v>
      </c>
      <c r="P145" s="267">
        <v>124</v>
      </c>
      <c r="Q145" s="267">
        <v>440</v>
      </c>
      <c r="R145" s="267">
        <v>550</v>
      </c>
      <c r="S145" s="268">
        <v>697</v>
      </c>
      <c r="U145" s="267">
        <v>168</v>
      </c>
      <c r="V145" s="267">
        <v>188</v>
      </c>
      <c r="W145" s="267">
        <v>211</v>
      </c>
      <c r="X145" s="267">
        <v>228</v>
      </c>
      <c r="Y145" s="268">
        <v>261</v>
      </c>
      <c r="AA145" s="267">
        <v>213</v>
      </c>
      <c r="AB145" s="267">
        <v>243</v>
      </c>
      <c r="AC145" s="267">
        <v>304</v>
      </c>
      <c r="AD145" s="267">
        <v>363</v>
      </c>
      <c r="AE145" s="268">
        <v>430</v>
      </c>
      <c r="AG145" s="282">
        <v>0</v>
      </c>
      <c r="AH145" s="282">
        <v>0</v>
      </c>
      <c r="AI145" s="282">
        <v>0</v>
      </c>
      <c r="AJ145" s="282">
        <v>0</v>
      </c>
      <c r="AK145" s="282">
        <v>0</v>
      </c>
      <c r="AL145" s="282"/>
      <c r="AM145" s="282">
        <v>0</v>
      </c>
      <c r="AN145" s="282">
        <v>0</v>
      </c>
      <c r="AO145" s="282">
        <v>0</v>
      </c>
      <c r="AP145" s="282">
        <v>0</v>
      </c>
      <c r="AQ145" s="282">
        <v>0</v>
      </c>
      <c r="AR145" s="153"/>
      <c r="AS145" s="282">
        <v>175.25</v>
      </c>
      <c r="AT145" s="282">
        <v>155.25</v>
      </c>
      <c r="AU145" s="282">
        <v>132.24999999999989</v>
      </c>
      <c r="AV145" s="282">
        <v>115.25</v>
      </c>
      <c r="AW145" s="283">
        <v>82.25</v>
      </c>
      <c r="AX145" s="284"/>
      <c r="AY145" s="282">
        <v>130.25000000000006</v>
      </c>
      <c r="AZ145" s="282">
        <v>100.25</v>
      </c>
      <c r="BA145" s="282">
        <v>39.25</v>
      </c>
      <c r="BB145" s="282">
        <v>-19.75</v>
      </c>
      <c r="BC145" s="283">
        <v>-86.625</v>
      </c>
      <c r="BE145" s="267">
        <v>168</v>
      </c>
      <c r="BF145" s="267">
        <v>188</v>
      </c>
      <c r="BG145" s="267">
        <v>211</v>
      </c>
      <c r="BH145" s="267">
        <v>228</v>
      </c>
      <c r="BI145" s="268">
        <v>261</v>
      </c>
      <c r="BJ145" s="150"/>
      <c r="BK145" s="267">
        <v>213</v>
      </c>
      <c r="BL145" s="267">
        <v>243</v>
      </c>
      <c r="BM145" s="267">
        <v>304</v>
      </c>
      <c r="BN145" s="267">
        <v>363</v>
      </c>
      <c r="BO145" s="268">
        <v>430</v>
      </c>
    </row>
    <row r="146" spans="2:67">
      <c r="B146" s="280" t="s">
        <v>65</v>
      </c>
      <c r="C146" s="281" t="s">
        <v>570</v>
      </c>
      <c r="D146" s="188">
        <v>1086</v>
      </c>
      <c r="E146" s="114">
        <v>3.25</v>
      </c>
      <c r="F146" s="239" t="s">
        <v>190</v>
      </c>
      <c r="G146" s="315"/>
      <c r="I146" s="282">
        <v>39</v>
      </c>
      <c r="J146" s="282">
        <v>54</v>
      </c>
      <c r="K146" s="282">
        <v>298</v>
      </c>
      <c r="L146" s="282">
        <v>332</v>
      </c>
      <c r="M146" s="283">
        <v>365</v>
      </c>
      <c r="O146" s="282">
        <v>79</v>
      </c>
      <c r="P146" s="282">
        <v>124</v>
      </c>
      <c r="Q146" s="282">
        <v>410</v>
      </c>
      <c r="R146" s="282">
        <v>520</v>
      </c>
      <c r="S146" s="283">
        <v>667</v>
      </c>
      <c r="U146" s="282">
        <v>52</v>
      </c>
      <c r="V146" s="282">
        <v>292</v>
      </c>
      <c r="W146" s="282">
        <v>315</v>
      </c>
      <c r="X146" s="282">
        <v>332</v>
      </c>
      <c r="Y146" s="283">
        <v>365</v>
      </c>
      <c r="AA146" s="282">
        <v>97</v>
      </c>
      <c r="AB146" s="282">
        <v>347</v>
      </c>
      <c r="AC146" s="282">
        <v>396</v>
      </c>
      <c r="AD146" s="282">
        <v>461</v>
      </c>
      <c r="AE146" s="283">
        <v>573</v>
      </c>
      <c r="AG146" s="282">
        <v>0</v>
      </c>
      <c r="AH146" s="282">
        <v>0</v>
      </c>
      <c r="AI146" s="282">
        <v>0</v>
      </c>
      <c r="AJ146" s="282">
        <v>0</v>
      </c>
      <c r="AK146" s="282">
        <v>0</v>
      </c>
      <c r="AL146" s="282"/>
      <c r="AM146" s="282">
        <v>0</v>
      </c>
      <c r="AN146" s="282">
        <v>0</v>
      </c>
      <c r="AO146" s="282">
        <v>0</v>
      </c>
      <c r="AP146" s="282">
        <v>0</v>
      </c>
      <c r="AQ146" s="282">
        <v>0</v>
      </c>
      <c r="AR146" s="153"/>
      <c r="AS146" s="282">
        <v>1034</v>
      </c>
      <c r="AT146" s="282">
        <v>794.25</v>
      </c>
      <c r="AU146" s="282">
        <v>771.24999999999989</v>
      </c>
      <c r="AV146" s="282">
        <v>754.25</v>
      </c>
      <c r="AW146" s="283">
        <v>721.25</v>
      </c>
      <c r="AX146" s="284"/>
      <c r="AY146" s="282">
        <v>989</v>
      </c>
      <c r="AZ146" s="282">
        <v>739.25</v>
      </c>
      <c r="BA146" s="282">
        <v>690.25</v>
      </c>
      <c r="BB146" s="282">
        <v>625.25</v>
      </c>
      <c r="BC146" s="283">
        <v>513.25</v>
      </c>
      <c r="BE146" s="282">
        <v>52</v>
      </c>
      <c r="BF146" s="282">
        <v>292</v>
      </c>
      <c r="BG146" s="282">
        <v>315</v>
      </c>
      <c r="BH146" s="282">
        <v>332</v>
      </c>
      <c r="BI146" s="283">
        <v>365</v>
      </c>
      <c r="BJ146" s="150"/>
      <c r="BK146" s="282">
        <v>97</v>
      </c>
      <c r="BL146" s="282">
        <v>377</v>
      </c>
      <c r="BM146" s="282">
        <v>446</v>
      </c>
      <c r="BN146" s="282">
        <v>501</v>
      </c>
      <c r="BO146" s="283">
        <v>633</v>
      </c>
    </row>
    <row r="147" spans="2:67">
      <c r="B147" s="273" t="s">
        <v>65</v>
      </c>
      <c r="C147" s="286" t="s">
        <v>571</v>
      </c>
      <c r="D147" s="189">
        <v>1179</v>
      </c>
      <c r="E147" s="115">
        <v>3.25</v>
      </c>
      <c r="F147" s="237" t="s">
        <v>190</v>
      </c>
      <c r="G147" s="314"/>
      <c r="I147" s="267">
        <v>39</v>
      </c>
      <c r="J147" s="267">
        <v>54</v>
      </c>
      <c r="K147" s="267">
        <v>168</v>
      </c>
      <c r="L147" s="267">
        <v>202</v>
      </c>
      <c r="M147" s="268">
        <v>235</v>
      </c>
      <c r="O147" s="267">
        <v>79</v>
      </c>
      <c r="P147" s="267">
        <v>124</v>
      </c>
      <c r="Q147" s="267">
        <v>280</v>
      </c>
      <c r="R147" s="267">
        <v>390</v>
      </c>
      <c r="S147" s="268">
        <v>537</v>
      </c>
      <c r="U147" s="267">
        <v>52</v>
      </c>
      <c r="V147" s="267">
        <v>292</v>
      </c>
      <c r="W147" s="267">
        <v>315</v>
      </c>
      <c r="X147" s="267">
        <v>332</v>
      </c>
      <c r="Y147" s="268">
        <v>365</v>
      </c>
      <c r="AA147" s="267">
        <v>97</v>
      </c>
      <c r="AB147" s="267">
        <v>347</v>
      </c>
      <c r="AC147" s="267">
        <v>396</v>
      </c>
      <c r="AD147" s="267">
        <v>461</v>
      </c>
      <c r="AE147" s="268">
        <v>573</v>
      </c>
      <c r="AG147" s="282">
        <v>0</v>
      </c>
      <c r="AH147" s="282">
        <v>0</v>
      </c>
      <c r="AI147" s="282">
        <v>0</v>
      </c>
      <c r="AJ147" s="282">
        <v>0</v>
      </c>
      <c r="AK147" s="282">
        <v>0</v>
      </c>
      <c r="AL147" s="282"/>
      <c r="AM147" s="282">
        <v>0</v>
      </c>
      <c r="AN147" s="282">
        <v>0</v>
      </c>
      <c r="AO147" s="282">
        <v>0</v>
      </c>
      <c r="AP147" s="282">
        <v>0</v>
      </c>
      <c r="AQ147" s="282">
        <v>0</v>
      </c>
      <c r="AR147" s="153"/>
      <c r="AS147" s="282">
        <v>1127</v>
      </c>
      <c r="AT147" s="282">
        <v>887.25</v>
      </c>
      <c r="AU147" s="282">
        <v>864.25</v>
      </c>
      <c r="AV147" s="282">
        <v>847.25</v>
      </c>
      <c r="AW147" s="283">
        <v>814.25</v>
      </c>
      <c r="AX147" s="284"/>
      <c r="AY147" s="282">
        <v>1082</v>
      </c>
      <c r="AZ147" s="282">
        <v>832.25</v>
      </c>
      <c r="BA147" s="282">
        <v>783.25</v>
      </c>
      <c r="BB147" s="282">
        <v>718.25</v>
      </c>
      <c r="BC147" s="283">
        <v>606.25</v>
      </c>
      <c r="BE147" s="267">
        <v>52</v>
      </c>
      <c r="BF147" s="267">
        <v>292</v>
      </c>
      <c r="BG147" s="267">
        <v>315</v>
      </c>
      <c r="BH147" s="267">
        <v>332</v>
      </c>
      <c r="BI147" s="268">
        <v>365</v>
      </c>
      <c r="BJ147" s="150"/>
      <c r="BK147" s="267">
        <v>97</v>
      </c>
      <c r="BL147" s="267">
        <v>377</v>
      </c>
      <c r="BM147" s="267">
        <v>446</v>
      </c>
      <c r="BN147" s="267">
        <v>501</v>
      </c>
      <c r="BO147" s="268">
        <v>633</v>
      </c>
    </row>
    <row r="148" spans="2:67">
      <c r="B148" s="280" t="s">
        <v>65</v>
      </c>
      <c r="C148" s="281" t="s">
        <v>572</v>
      </c>
      <c r="D148" s="188">
        <v>1980</v>
      </c>
      <c r="E148" s="114">
        <v>3.25</v>
      </c>
      <c r="F148" s="239" t="s">
        <v>190</v>
      </c>
      <c r="G148" s="315"/>
      <c r="I148" s="282">
        <v>39</v>
      </c>
      <c r="J148" s="282">
        <v>54</v>
      </c>
      <c r="K148" s="282">
        <v>183</v>
      </c>
      <c r="L148" s="282">
        <v>217</v>
      </c>
      <c r="M148" s="283">
        <v>250</v>
      </c>
      <c r="O148" s="282">
        <v>79</v>
      </c>
      <c r="P148" s="282">
        <v>124</v>
      </c>
      <c r="Q148" s="282">
        <v>295</v>
      </c>
      <c r="R148" s="282">
        <v>405</v>
      </c>
      <c r="S148" s="283">
        <v>552</v>
      </c>
      <c r="U148" s="282">
        <v>52</v>
      </c>
      <c r="V148" s="282">
        <v>492</v>
      </c>
      <c r="W148" s="282">
        <v>515</v>
      </c>
      <c r="X148" s="282">
        <v>532</v>
      </c>
      <c r="Y148" s="283">
        <v>565</v>
      </c>
      <c r="AA148" s="282">
        <v>97</v>
      </c>
      <c r="AB148" s="282">
        <v>547</v>
      </c>
      <c r="AC148" s="282">
        <v>596</v>
      </c>
      <c r="AD148" s="282">
        <v>661</v>
      </c>
      <c r="AE148" s="283">
        <v>773</v>
      </c>
      <c r="AG148" s="282">
        <v>0</v>
      </c>
      <c r="AH148" s="282">
        <v>0</v>
      </c>
      <c r="AI148" s="282">
        <v>0</v>
      </c>
      <c r="AJ148" s="282">
        <v>0</v>
      </c>
      <c r="AK148" s="282">
        <v>0</v>
      </c>
      <c r="AL148" s="282"/>
      <c r="AM148" s="282">
        <v>0</v>
      </c>
      <c r="AN148" s="282">
        <v>0</v>
      </c>
      <c r="AO148" s="282">
        <v>0</v>
      </c>
      <c r="AP148" s="282">
        <v>0</v>
      </c>
      <c r="AQ148" s="282">
        <v>0</v>
      </c>
      <c r="AR148" s="153"/>
      <c r="AS148" s="282">
        <v>1928</v>
      </c>
      <c r="AT148" s="282">
        <v>1488.5</v>
      </c>
      <c r="AU148" s="282">
        <v>1465.5</v>
      </c>
      <c r="AV148" s="282">
        <v>1448.5</v>
      </c>
      <c r="AW148" s="283">
        <v>1415.5</v>
      </c>
      <c r="AX148" s="284"/>
      <c r="AY148" s="282">
        <v>1883</v>
      </c>
      <c r="AZ148" s="282">
        <v>1433.5</v>
      </c>
      <c r="BA148" s="282">
        <v>1384.5</v>
      </c>
      <c r="BB148" s="282">
        <v>1319.5</v>
      </c>
      <c r="BC148" s="283">
        <v>1207.5</v>
      </c>
      <c r="BE148" s="282">
        <v>52</v>
      </c>
      <c r="BF148" s="282">
        <v>492</v>
      </c>
      <c r="BG148" s="282">
        <v>515</v>
      </c>
      <c r="BH148" s="282">
        <v>532</v>
      </c>
      <c r="BI148" s="283">
        <v>565</v>
      </c>
      <c r="BJ148" s="150"/>
      <c r="BK148" s="282">
        <v>97</v>
      </c>
      <c r="BL148" s="282">
        <v>577</v>
      </c>
      <c r="BM148" s="282">
        <v>646</v>
      </c>
      <c r="BN148" s="282">
        <v>701</v>
      </c>
      <c r="BO148" s="283">
        <v>833</v>
      </c>
    </row>
    <row r="149" spans="2:67">
      <c r="B149" s="273" t="s">
        <v>65</v>
      </c>
      <c r="C149" s="286" t="s">
        <v>573</v>
      </c>
      <c r="D149" s="189">
        <v>1703</v>
      </c>
      <c r="E149" s="115">
        <v>3.25</v>
      </c>
      <c r="F149" s="237" t="s">
        <v>190</v>
      </c>
      <c r="G149" s="314"/>
      <c r="I149" s="267">
        <v>39</v>
      </c>
      <c r="J149" s="267">
        <v>54</v>
      </c>
      <c r="K149" s="267">
        <v>262</v>
      </c>
      <c r="L149" s="267">
        <v>296</v>
      </c>
      <c r="M149" s="268">
        <v>329</v>
      </c>
      <c r="O149" s="267">
        <v>79</v>
      </c>
      <c r="P149" s="267">
        <v>124</v>
      </c>
      <c r="Q149" s="267">
        <v>374</v>
      </c>
      <c r="R149" s="267">
        <v>484</v>
      </c>
      <c r="S149" s="268">
        <v>631</v>
      </c>
      <c r="U149" s="267">
        <v>52</v>
      </c>
      <c r="V149" s="267">
        <v>342</v>
      </c>
      <c r="W149" s="267">
        <v>365</v>
      </c>
      <c r="X149" s="267">
        <v>382</v>
      </c>
      <c r="Y149" s="268">
        <v>415</v>
      </c>
      <c r="AA149" s="267">
        <v>97</v>
      </c>
      <c r="AB149" s="267">
        <v>397</v>
      </c>
      <c r="AC149" s="267">
        <v>446</v>
      </c>
      <c r="AD149" s="267">
        <v>511</v>
      </c>
      <c r="AE149" s="268">
        <v>623</v>
      </c>
      <c r="AG149" s="282">
        <v>0</v>
      </c>
      <c r="AH149" s="282">
        <v>0</v>
      </c>
      <c r="AI149" s="282">
        <v>0</v>
      </c>
      <c r="AJ149" s="282">
        <v>0</v>
      </c>
      <c r="AK149" s="282">
        <v>0</v>
      </c>
      <c r="AL149" s="282"/>
      <c r="AM149" s="282">
        <v>0</v>
      </c>
      <c r="AN149" s="282">
        <v>0</v>
      </c>
      <c r="AO149" s="282">
        <v>0</v>
      </c>
      <c r="AP149" s="282">
        <v>0</v>
      </c>
      <c r="AQ149" s="282">
        <v>0</v>
      </c>
      <c r="AR149" s="153"/>
      <c r="AS149" s="282">
        <v>1651</v>
      </c>
      <c r="AT149" s="282">
        <v>1361.25</v>
      </c>
      <c r="AU149" s="282">
        <v>1338.25</v>
      </c>
      <c r="AV149" s="282">
        <v>1321.25</v>
      </c>
      <c r="AW149" s="283">
        <v>1288.25</v>
      </c>
      <c r="AX149" s="284"/>
      <c r="AY149" s="282">
        <v>1606</v>
      </c>
      <c r="AZ149" s="282">
        <v>1306.25</v>
      </c>
      <c r="BA149" s="282">
        <v>1257.25</v>
      </c>
      <c r="BB149" s="282">
        <v>1192.25</v>
      </c>
      <c r="BC149" s="283">
        <v>1080.25</v>
      </c>
      <c r="BE149" s="267">
        <v>52</v>
      </c>
      <c r="BF149" s="267">
        <v>342</v>
      </c>
      <c r="BG149" s="267">
        <v>365</v>
      </c>
      <c r="BH149" s="267">
        <v>382</v>
      </c>
      <c r="BI149" s="268">
        <v>415</v>
      </c>
      <c r="BJ149" s="150"/>
      <c r="BK149" s="267">
        <v>97</v>
      </c>
      <c r="BL149" s="267">
        <v>427</v>
      </c>
      <c r="BM149" s="267">
        <v>496</v>
      </c>
      <c r="BN149" s="267">
        <v>551</v>
      </c>
      <c r="BO149" s="268">
        <v>683</v>
      </c>
    </row>
    <row r="150" spans="2:67">
      <c r="B150" s="280" t="s">
        <v>65</v>
      </c>
      <c r="C150" s="281" t="s">
        <v>574</v>
      </c>
      <c r="D150" s="188">
        <v>1796</v>
      </c>
      <c r="E150" s="114">
        <v>3.25</v>
      </c>
      <c r="F150" s="239" t="s">
        <v>190</v>
      </c>
      <c r="G150" s="315"/>
      <c r="I150" s="282">
        <v>39</v>
      </c>
      <c r="J150" s="282">
        <v>54</v>
      </c>
      <c r="K150" s="282">
        <v>386</v>
      </c>
      <c r="L150" s="282">
        <v>420</v>
      </c>
      <c r="M150" s="283">
        <v>453</v>
      </c>
      <c r="O150" s="282">
        <v>79</v>
      </c>
      <c r="P150" s="282">
        <v>124</v>
      </c>
      <c r="Q150" s="282">
        <v>498</v>
      </c>
      <c r="R150" s="282">
        <v>608</v>
      </c>
      <c r="S150" s="283">
        <v>755</v>
      </c>
      <c r="U150" s="282">
        <v>52</v>
      </c>
      <c r="V150" s="282">
        <v>343</v>
      </c>
      <c r="W150" s="282">
        <v>366</v>
      </c>
      <c r="X150" s="282">
        <v>383</v>
      </c>
      <c r="Y150" s="283">
        <v>416</v>
      </c>
      <c r="AA150" s="282">
        <v>97</v>
      </c>
      <c r="AB150" s="282">
        <v>398</v>
      </c>
      <c r="AC150" s="282">
        <v>447</v>
      </c>
      <c r="AD150" s="282">
        <v>512</v>
      </c>
      <c r="AE150" s="283">
        <v>624</v>
      </c>
      <c r="AG150" s="282">
        <v>0</v>
      </c>
      <c r="AH150" s="282">
        <v>0</v>
      </c>
      <c r="AI150" s="282">
        <v>0</v>
      </c>
      <c r="AJ150" s="282">
        <v>0</v>
      </c>
      <c r="AK150" s="282">
        <v>0</v>
      </c>
      <c r="AL150" s="282"/>
      <c r="AM150" s="282">
        <v>0</v>
      </c>
      <c r="AN150" s="282">
        <v>0</v>
      </c>
      <c r="AO150" s="282">
        <v>0</v>
      </c>
      <c r="AP150" s="282">
        <v>0</v>
      </c>
      <c r="AQ150" s="282">
        <v>0</v>
      </c>
      <c r="AR150" s="153"/>
      <c r="AS150" s="282">
        <v>1744</v>
      </c>
      <c r="AT150" s="282">
        <v>1453.25</v>
      </c>
      <c r="AU150" s="282">
        <v>1430.25</v>
      </c>
      <c r="AV150" s="282">
        <v>1413.25</v>
      </c>
      <c r="AW150" s="283">
        <v>1380.25</v>
      </c>
      <c r="AX150" s="284"/>
      <c r="AY150" s="282">
        <v>1699</v>
      </c>
      <c r="AZ150" s="282">
        <v>1398.25</v>
      </c>
      <c r="BA150" s="282">
        <v>1349.25</v>
      </c>
      <c r="BB150" s="282">
        <v>1284.25</v>
      </c>
      <c r="BC150" s="283">
        <v>1172.25</v>
      </c>
      <c r="BE150" s="282">
        <v>52</v>
      </c>
      <c r="BF150" s="282">
        <v>343</v>
      </c>
      <c r="BG150" s="282">
        <v>366</v>
      </c>
      <c r="BH150" s="282">
        <v>383</v>
      </c>
      <c r="BI150" s="283">
        <v>416</v>
      </c>
      <c r="BJ150" s="150"/>
      <c r="BK150" s="282">
        <v>97</v>
      </c>
      <c r="BL150" s="282">
        <v>428</v>
      </c>
      <c r="BM150" s="282">
        <v>497</v>
      </c>
      <c r="BN150" s="282">
        <v>552</v>
      </c>
      <c r="BO150" s="283">
        <v>684</v>
      </c>
    </row>
    <row r="151" spans="2:67">
      <c r="B151" s="273" t="s">
        <v>65</v>
      </c>
      <c r="C151" s="286" t="s">
        <v>515</v>
      </c>
      <c r="D151" s="189">
        <v>429</v>
      </c>
      <c r="E151" s="115">
        <v>0</v>
      </c>
      <c r="F151" s="237" t="s">
        <v>195</v>
      </c>
      <c r="G151" s="314"/>
      <c r="I151" s="267">
        <v>39</v>
      </c>
      <c r="J151" s="267">
        <v>54</v>
      </c>
      <c r="K151" s="267">
        <v>222</v>
      </c>
      <c r="L151" s="267">
        <v>256</v>
      </c>
      <c r="M151" s="268">
        <v>289</v>
      </c>
      <c r="O151" s="267">
        <v>79</v>
      </c>
      <c r="P151" s="267">
        <v>124</v>
      </c>
      <c r="Q151" s="267">
        <v>334</v>
      </c>
      <c r="R151" s="267">
        <v>444</v>
      </c>
      <c r="S151" s="268">
        <v>591</v>
      </c>
      <c r="U151" s="267">
        <v>191</v>
      </c>
      <c r="V151" s="267">
        <v>211</v>
      </c>
      <c r="W151" s="267">
        <v>234</v>
      </c>
      <c r="X151" s="267">
        <v>251</v>
      </c>
      <c r="Y151" s="268">
        <v>284</v>
      </c>
      <c r="AA151" s="267">
        <v>236</v>
      </c>
      <c r="AB151" s="267">
        <v>266</v>
      </c>
      <c r="AC151" s="267">
        <v>315</v>
      </c>
      <c r="AD151" s="267">
        <v>380</v>
      </c>
      <c r="AE151" s="268">
        <v>492</v>
      </c>
      <c r="AG151" s="282">
        <v>0</v>
      </c>
      <c r="AH151" s="282">
        <v>0</v>
      </c>
      <c r="AI151" s="282">
        <v>0</v>
      </c>
      <c r="AJ151" s="282">
        <v>0</v>
      </c>
      <c r="AK151" s="282">
        <v>0</v>
      </c>
      <c r="AL151" s="282"/>
      <c r="AM151" s="282">
        <v>0</v>
      </c>
      <c r="AN151" s="282">
        <v>0</v>
      </c>
      <c r="AO151" s="282">
        <v>0</v>
      </c>
      <c r="AP151" s="282">
        <v>0</v>
      </c>
      <c r="AQ151" s="282">
        <v>0</v>
      </c>
      <c r="AR151" s="153"/>
      <c r="AS151" s="282">
        <v>238.36</v>
      </c>
      <c r="AT151" s="282">
        <v>218.36</v>
      </c>
      <c r="AU151" s="282">
        <v>195.3599999999999</v>
      </c>
      <c r="AV151" s="282">
        <v>178.36</v>
      </c>
      <c r="AW151" s="283">
        <v>145.36000000000001</v>
      </c>
      <c r="AX151" s="284"/>
      <c r="AY151" s="282">
        <v>193.36000000000007</v>
      </c>
      <c r="AZ151" s="282">
        <v>163.36000000000001</v>
      </c>
      <c r="BA151" s="282">
        <v>114.36000000000001</v>
      </c>
      <c r="BB151" s="282">
        <v>49.360000000000014</v>
      </c>
      <c r="BC151" s="283">
        <v>-62.639999999999986</v>
      </c>
      <c r="BE151" s="267">
        <v>191</v>
      </c>
      <c r="BF151" s="267">
        <v>211</v>
      </c>
      <c r="BG151" s="267">
        <v>234</v>
      </c>
      <c r="BH151" s="267">
        <v>251</v>
      </c>
      <c r="BI151" s="268">
        <v>284</v>
      </c>
      <c r="BJ151" s="150"/>
      <c r="BK151" s="267">
        <v>236</v>
      </c>
      <c r="BL151" s="267">
        <v>266</v>
      </c>
      <c r="BM151" s="267">
        <v>315</v>
      </c>
      <c r="BN151" s="267">
        <v>380</v>
      </c>
      <c r="BO151" s="268">
        <v>492</v>
      </c>
    </row>
    <row r="152" spans="2:67">
      <c r="B152" s="280" t="s">
        <v>65</v>
      </c>
      <c r="C152" s="281" t="s">
        <v>516</v>
      </c>
      <c r="D152" s="188">
        <v>537</v>
      </c>
      <c r="E152" s="114">
        <v>0</v>
      </c>
      <c r="F152" s="239" t="s">
        <v>195</v>
      </c>
      <c r="G152" s="315"/>
      <c r="I152" s="282">
        <v>42</v>
      </c>
      <c r="J152" s="282">
        <v>0</v>
      </c>
      <c r="K152" s="282">
        <v>0</v>
      </c>
      <c r="L152" s="282">
        <v>0</v>
      </c>
      <c r="M152" s="283">
        <v>0</v>
      </c>
      <c r="O152" s="282">
        <v>42</v>
      </c>
      <c r="P152" s="282">
        <v>0</v>
      </c>
      <c r="Q152" s="282">
        <v>0</v>
      </c>
      <c r="R152" s="282">
        <v>0</v>
      </c>
      <c r="S152" s="283">
        <v>0</v>
      </c>
      <c r="U152" s="282">
        <v>52</v>
      </c>
      <c r="V152" s="282">
        <v>72</v>
      </c>
      <c r="W152" s="282">
        <v>192</v>
      </c>
      <c r="X152" s="282">
        <v>209</v>
      </c>
      <c r="Y152" s="283">
        <v>242</v>
      </c>
      <c r="AA152" s="282">
        <v>97</v>
      </c>
      <c r="AB152" s="282">
        <v>127</v>
      </c>
      <c r="AC152" s="282">
        <v>273</v>
      </c>
      <c r="AD152" s="282">
        <v>338</v>
      </c>
      <c r="AE152" s="283">
        <v>450</v>
      </c>
      <c r="AG152" s="282">
        <v>0</v>
      </c>
      <c r="AH152" s="282">
        <v>0</v>
      </c>
      <c r="AI152" s="282">
        <v>0</v>
      </c>
      <c r="AJ152" s="282">
        <v>0</v>
      </c>
      <c r="AK152" s="282">
        <v>0</v>
      </c>
      <c r="AL152" s="282"/>
      <c r="AM152" s="282">
        <v>0</v>
      </c>
      <c r="AN152" s="282">
        <v>0</v>
      </c>
      <c r="AO152" s="282">
        <v>0</v>
      </c>
      <c r="AP152" s="282">
        <v>0</v>
      </c>
      <c r="AQ152" s="282">
        <v>0</v>
      </c>
      <c r="AR152" s="153"/>
      <c r="AS152" s="282">
        <v>485</v>
      </c>
      <c r="AT152" s="282">
        <v>465</v>
      </c>
      <c r="AU152" s="282">
        <v>344.7999999999999</v>
      </c>
      <c r="AV152" s="282">
        <v>327.8</v>
      </c>
      <c r="AW152" s="283">
        <v>294.8</v>
      </c>
      <c r="AX152" s="284"/>
      <c r="AY152" s="282">
        <v>440.00000000000006</v>
      </c>
      <c r="AZ152" s="282">
        <v>410</v>
      </c>
      <c r="BA152" s="282">
        <v>263.8</v>
      </c>
      <c r="BB152" s="282">
        <v>198.8</v>
      </c>
      <c r="BC152" s="283">
        <v>86.800000000000011</v>
      </c>
      <c r="BE152" s="282">
        <v>52</v>
      </c>
      <c r="BF152" s="282">
        <v>72</v>
      </c>
      <c r="BG152" s="282">
        <v>192</v>
      </c>
      <c r="BH152" s="282">
        <v>209</v>
      </c>
      <c r="BI152" s="283">
        <v>242</v>
      </c>
      <c r="BJ152" s="150"/>
      <c r="BK152" s="282">
        <v>97</v>
      </c>
      <c r="BL152" s="282">
        <v>157</v>
      </c>
      <c r="BM152" s="282">
        <v>323</v>
      </c>
      <c r="BN152" s="282">
        <v>378</v>
      </c>
      <c r="BO152" s="283">
        <v>510</v>
      </c>
    </row>
    <row r="153" spans="2:67">
      <c r="B153" s="273" t="s">
        <v>65</v>
      </c>
      <c r="C153" s="286" t="s">
        <v>517</v>
      </c>
      <c r="D153" s="189">
        <v>702</v>
      </c>
      <c r="E153" s="115">
        <v>0</v>
      </c>
      <c r="F153" s="237" t="s">
        <v>195</v>
      </c>
      <c r="G153" s="314"/>
      <c r="I153" s="267">
        <v>39</v>
      </c>
      <c r="J153" s="267">
        <v>54</v>
      </c>
      <c r="K153" s="267">
        <v>78</v>
      </c>
      <c r="L153" s="267">
        <v>112</v>
      </c>
      <c r="M153" s="268">
        <v>145</v>
      </c>
      <c r="O153" s="267">
        <v>79</v>
      </c>
      <c r="P153" s="267">
        <v>124</v>
      </c>
      <c r="Q153" s="267">
        <v>190</v>
      </c>
      <c r="R153" s="267">
        <v>287</v>
      </c>
      <c r="S153" s="268">
        <v>293</v>
      </c>
      <c r="U153" s="267">
        <v>52</v>
      </c>
      <c r="V153" s="267">
        <v>72</v>
      </c>
      <c r="W153" s="267">
        <v>292</v>
      </c>
      <c r="X153" s="267">
        <v>309</v>
      </c>
      <c r="Y153" s="268">
        <v>342</v>
      </c>
      <c r="AA153" s="267">
        <v>97</v>
      </c>
      <c r="AB153" s="267">
        <v>127</v>
      </c>
      <c r="AC153" s="267">
        <v>373</v>
      </c>
      <c r="AD153" s="267">
        <v>438</v>
      </c>
      <c r="AE153" s="268">
        <v>550</v>
      </c>
      <c r="AG153" s="282">
        <v>0</v>
      </c>
      <c r="AH153" s="282">
        <v>0</v>
      </c>
      <c r="AI153" s="282">
        <v>-20</v>
      </c>
      <c r="AJ153" s="282">
        <v>-20</v>
      </c>
      <c r="AK153" s="282">
        <v>-20</v>
      </c>
      <c r="AL153" s="282"/>
      <c r="AM153" s="282">
        <v>0</v>
      </c>
      <c r="AN153" s="282">
        <v>0</v>
      </c>
      <c r="AO153" s="282">
        <v>-20</v>
      </c>
      <c r="AP153" s="282">
        <v>-20</v>
      </c>
      <c r="AQ153" s="282">
        <v>-20</v>
      </c>
      <c r="AR153" s="153"/>
      <c r="AS153" s="282">
        <v>650</v>
      </c>
      <c r="AT153" s="282">
        <v>630</v>
      </c>
      <c r="AU153" s="282">
        <v>409.7999999999999</v>
      </c>
      <c r="AV153" s="282">
        <v>392.8</v>
      </c>
      <c r="AW153" s="283">
        <v>359.8</v>
      </c>
      <c r="AX153" s="284"/>
      <c r="AY153" s="282">
        <v>605</v>
      </c>
      <c r="AZ153" s="282">
        <v>575</v>
      </c>
      <c r="BA153" s="282">
        <v>328.8</v>
      </c>
      <c r="BB153" s="282">
        <v>263.8</v>
      </c>
      <c r="BC153" s="283">
        <v>151.80000000000001</v>
      </c>
      <c r="BE153" s="267">
        <v>52</v>
      </c>
      <c r="BF153" s="267">
        <v>72</v>
      </c>
      <c r="BG153" s="267">
        <v>292</v>
      </c>
      <c r="BH153" s="267">
        <v>309</v>
      </c>
      <c r="BI153" s="268">
        <v>342</v>
      </c>
      <c r="BJ153" s="150"/>
      <c r="BK153" s="267">
        <v>97</v>
      </c>
      <c r="BL153" s="267">
        <v>157</v>
      </c>
      <c r="BM153" s="267">
        <v>423</v>
      </c>
      <c r="BN153" s="267">
        <v>478</v>
      </c>
      <c r="BO153" s="268">
        <v>610</v>
      </c>
    </row>
    <row r="154" spans="2:67">
      <c r="B154" s="280" t="s">
        <v>65</v>
      </c>
      <c r="C154" s="281" t="s">
        <v>417</v>
      </c>
      <c r="D154" s="188">
        <v>2727</v>
      </c>
      <c r="E154" s="114">
        <v>0</v>
      </c>
      <c r="F154" s="239" t="s">
        <v>195</v>
      </c>
      <c r="G154" s="315"/>
      <c r="I154" s="282">
        <v>144</v>
      </c>
      <c r="J154" s="282">
        <v>159</v>
      </c>
      <c r="K154" s="282">
        <v>183</v>
      </c>
      <c r="L154" s="282">
        <v>217</v>
      </c>
      <c r="M154" s="283">
        <v>250</v>
      </c>
      <c r="O154" s="282">
        <v>184</v>
      </c>
      <c r="P154" s="282">
        <v>229</v>
      </c>
      <c r="Q154" s="282">
        <v>295</v>
      </c>
      <c r="R154" s="282">
        <v>405</v>
      </c>
      <c r="S154" s="283">
        <v>509</v>
      </c>
      <c r="U154" s="282">
        <v>52</v>
      </c>
      <c r="V154" s="282">
        <v>72</v>
      </c>
      <c r="W154" s="282">
        <v>923</v>
      </c>
      <c r="X154" s="282">
        <v>940</v>
      </c>
      <c r="Y154" s="283">
        <v>973</v>
      </c>
      <c r="AA154" s="282">
        <v>97</v>
      </c>
      <c r="AB154" s="282">
        <v>127</v>
      </c>
      <c r="AC154" s="282">
        <v>1004</v>
      </c>
      <c r="AD154" s="282">
        <v>1069</v>
      </c>
      <c r="AE154" s="283">
        <v>1181</v>
      </c>
      <c r="AG154" s="282">
        <v>0</v>
      </c>
      <c r="AH154" s="282">
        <v>0</v>
      </c>
      <c r="AI154" s="282">
        <v>0</v>
      </c>
      <c r="AJ154" s="282">
        <v>0</v>
      </c>
      <c r="AK154" s="282">
        <v>0</v>
      </c>
      <c r="AL154" s="282"/>
      <c r="AM154" s="282">
        <v>0</v>
      </c>
      <c r="AN154" s="282">
        <v>0</v>
      </c>
      <c r="AO154" s="282">
        <v>0</v>
      </c>
      <c r="AP154" s="282">
        <v>0</v>
      </c>
      <c r="AQ154" s="282">
        <v>0</v>
      </c>
      <c r="AR154" s="153"/>
      <c r="AS154" s="282">
        <v>2675</v>
      </c>
      <c r="AT154" s="282">
        <v>2655</v>
      </c>
      <c r="AU154" s="282">
        <v>1803.8</v>
      </c>
      <c r="AV154" s="282">
        <v>1786.8</v>
      </c>
      <c r="AW154" s="283">
        <v>1753.8</v>
      </c>
      <c r="AX154" s="284"/>
      <c r="AY154" s="282">
        <v>2630</v>
      </c>
      <c r="AZ154" s="282">
        <v>2600</v>
      </c>
      <c r="BA154" s="282">
        <v>1722.8</v>
      </c>
      <c r="BB154" s="282">
        <v>1657.8</v>
      </c>
      <c r="BC154" s="283">
        <v>1545.8</v>
      </c>
      <c r="BE154" s="282">
        <v>52</v>
      </c>
      <c r="BF154" s="282">
        <v>72</v>
      </c>
      <c r="BG154" s="282">
        <v>923</v>
      </c>
      <c r="BH154" s="282">
        <v>940</v>
      </c>
      <c r="BI154" s="283">
        <v>973</v>
      </c>
      <c r="BJ154" s="150"/>
      <c r="BK154" s="282">
        <v>97</v>
      </c>
      <c r="BL154" s="282">
        <v>157</v>
      </c>
      <c r="BM154" s="282">
        <v>1054</v>
      </c>
      <c r="BN154" s="282">
        <v>1109</v>
      </c>
      <c r="BO154" s="283">
        <v>1241</v>
      </c>
    </row>
    <row r="155" spans="2:67">
      <c r="B155" s="273" t="s">
        <v>65</v>
      </c>
      <c r="C155" s="286" t="s">
        <v>518</v>
      </c>
      <c r="D155" s="189">
        <v>1012</v>
      </c>
      <c r="E155" s="115">
        <v>0</v>
      </c>
      <c r="F155" s="237" t="s">
        <v>195</v>
      </c>
      <c r="G155" s="314"/>
      <c r="I155" s="267">
        <v>59</v>
      </c>
      <c r="J155" s="267">
        <v>74</v>
      </c>
      <c r="K155" s="267">
        <v>98</v>
      </c>
      <c r="L155" s="267">
        <v>132</v>
      </c>
      <c r="M155" s="268">
        <v>165</v>
      </c>
      <c r="O155" s="267">
        <v>99</v>
      </c>
      <c r="P155" s="267">
        <v>144</v>
      </c>
      <c r="Q155" s="267">
        <v>210</v>
      </c>
      <c r="R155" s="267">
        <v>320</v>
      </c>
      <c r="S155" s="268">
        <v>336</v>
      </c>
      <c r="U155" s="267">
        <v>52</v>
      </c>
      <c r="V155" s="267">
        <v>72</v>
      </c>
      <c r="W155" s="267">
        <v>359</v>
      </c>
      <c r="X155" s="267">
        <v>376</v>
      </c>
      <c r="Y155" s="268">
        <v>409</v>
      </c>
      <c r="AA155" s="267">
        <v>97</v>
      </c>
      <c r="AB155" s="267">
        <v>127</v>
      </c>
      <c r="AC155" s="267">
        <v>440</v>
      </c>
      <c r="AD155" s="267">
        <v>505</v>
      </c>
      <c r="AE155" s="268">
        <v>617</v>
      </c>
      <c r="AG155" s="282">
        <v>0</v>
      </c>
      <c r="AH155" s="282">
        <v>0</v>
      </c>
      <c r="AI155" s="282">
        <v>0</v>
      </c>
      <c r="AJ155" s="282">
        <v>0</v>
      </c>
      <c r="AK155" s="282">
        <v>0</v>
      </c>
      <c r="AL155" s="282"/>
      <c r="AM155" s="282">
        <v>0</v>
      </c>
      <c r="AN155" s="282">
        <v>0</v>
      </c>
      <c r="AO155" s="282">
        <v>0</v>
      </c>
      <c r="AP155" s="282">
        <v>0</v>
      </c>
      <c r="AQ155" s="282">
        <v>0</v>
      </c>
      <c r="AR155" s="153"/>
      <c r="AS155" s="282">
        <v>960</v>
      </c>
      <c r="AT155" s="282">
        <v>940</v>
      </c>
      <c r="AU155" s="282">
        <v>652.84999999999991</v>
      </c>
      <c r="AV155" s="282">
        <v>635.85</v>
      </c>
      <c r="AW155" s="283">
        <v>602.85</v>
      </c>
      <c r="AX155" s="284"/>
      <c r="AY155" s="282">
        <v>915</v>
      </c>
      <c r="AZ155" s="282">
        <v>885</v>
      </c>
      <c r="BA155" s="282">
        <v>571.85</v>
      </c>
      <c r="BB155" s="282">
        <v>506.85</v>
      </c>
      <c r="BC155" s="283">
        <v>394.85</v>
      </c>
      <c r="BE155" s="267">
        <v>52</v>
      </c>
      <c r="BF155" s="267">
        <v>72</v>
      </c>
      <c r="BG155" s="267">
        <v>359</v>
      </c>
      <c r="BH155" s="267">
        <v>376</v>
      </c>
      <c r="BI155" s="268">
        <v>409</v>
      </c>
      <c r="BJ155" s="150"/>
      <c r="BK155" s="267">
        <v>97</v>
      </c>
      <c r="BL155" s="267">
        <v>157</v>
      </c>
      <c r="BM155" s="267">
        <v>490</v>
      </c>
      <c r="BN155" s="267">
        <v>545</v>
      </c>
      <c r="BO155" s="268">
        <v>677</v>
      </c>
    </row>
    <row r="156" spans="2:67">
      <c r="B156" s="280" t="s">
        <v>180</v>
      </c>
      <c r="C156" s="281" t="s">
        <v>384</v>
      </c>
      <c r="D156" s="188">
        <v>162</v>
      </c>
      <c r="E156" s="114">
        <v>3.25</v>
      </c>
      <c r="F156" s="239" t="s">
        <v>190</v>
      </c>
      <c r="G156" s="315"/>
      <c r="I156" s="282">
        <v>39</v>
      </c>
      <c r="J156" s="282">
        <v>54</v>
      </c>
      <c r="K156" s="282">
        <v>78</v>
      </c>
      <c r="L156" s="282">
        <v>112</v>
      </c>
      <c r="M156" s="283">
        <v>145</v>
      </c>
      <c r="O156" s="282">
        <v>79</v>
      </c>
      <c r="P156" s="282">
        <v>124</v>
      </c>
      <c r="Q156" s="282">
        <v>190</v>
      </c>
      <c r="R156" s="282">
        <v>257</v>
      </c>
      <c r="S156" s="283">
        <v>263</v>
      </c>
      <c r="U156" s="282">
        <v>99</v>
      </c>
      <c r="V156" s="282">
        <v>119</v>
      </c>
      <c r="W156" s="282">
        <v>142</v>
      </c>
      <c r="X156" s="282">
        <v>159</v>
      </c>
      <c r="Y156" s="283">
        <v>192</v>
      </c>
      <c r="AA156" s="282">
        <v>144</v>
      </c>
      <c r="AB156" s="282">
        <v>174</v>
      </c>
      <c r="AC156" s="282">
        <v>223</v>
      </c>
      <c r="AD156" s="282">
        <v>221</v>
      </c>
      <c r="AE156" s="283">
        <v>221</v>
      </c>
      <c r="AG156" s="282">
        <v>0</v>
      </c>
      <c r="AH156" s="282">
        <v>0</v>
      </c>
      <c r="AI156" s="282">
        <v>0</v>
      </c>
      <c r="AJ156" s="282">
        <v>0</v>
      </c>
      <c r="AK156" s="282">
        <v>0</v>
      </c>
      <c r="AL156" s="282"/>
      <c r="AM156" s="282">
        <v>0</v>
      </c>
      <c r="AN156" s="282">
        <v>0</v>
      </c>
      <c r="AO156" s="282">
        <v>0</v>
      </c>
      <c r="AP156" s="282">
        <v>0</v>
      </c>
      <c r="AQ156" s="282">
        <v>0</v>
      </c>
      <c r="AR156" s="153"/>
      <c r="AS156" s="282">
        <v>63.25</v>
      </c>
      <c r="AT156" s="282">
        <v>43.25</v>
      </c>
      <c r="AU156" s="282">
        <v>20.249999999999886</v>
      </c>
      <c r="AV156" s="282">
        <v>3.25</v>
      </c>
      <c r="AW156" s="283">
        <v>-29.75</v>
      </c>
      <c r="AX156" s="284"/>
      <c r="AY156" s="282">
        <v>18.250000000000057</v>
      </c>
      <c r="AZ156" s="282">
        <v>-11.75</v>
      </c>
      <c r="BA156" s="282">
        <v>-60.75</v>
      </c>
      <c r="BB156" s="282">
        <v>-58.625</v>
      </c>
      <c r="BC156" s="283">
        <v>-58.625</v>
      </c>
      <c r="BE156" s="282">
        <v>99</v>
      </c>
      <c r="BF156" s="282">
        <v>119</v>
      </c>
      <c r="BG156" s="282">
        <v>142</v>
      </c>
      <c r="BH156" s="282">
        <v>159</v>
      </c>
      <c r="BI156" s="283">
        <v>192</v>
      </c>
      <c r="BJ156" s="150"/>
      <c r="BK156" s="282">
        <v>144</v>
      </c>
      <c r="BL156" s="282">
        <v>174</v>
      </c>
      <c r="BM156" s="282">
        <v>223</v>
      </c>
      <c r="BN156" s="282">
        <v>221</v>
      </c>
      <c r="BO156" s="283">
        <v>221</v>
      </c>
    </row>
    <row r="157" spans="2:67">
      <c r="B157" s="273" t="s">
        <v>180</v>
      </c>
      <c r="C157" s="286" t="s">
        <v>519</v>
      </c>
      <c r="D157" s="189">
        <v>161</v>
      </c>
      <c r="E157" s="115">
        <v>3.25</v>
      </c>
      <c r="F157" s="237" t="s">
        <v>190</v>
      </c>
      <c r="G157" s="314"/>
      <c r="I157" s="267">
        <v>39</v>
      </c>
      <c r="J157" s="267">
        <v>54</v>
      </c>
      <c r="K157" s="267">
        <v>78</v>
      </c>
      <c r="L157" s="267">
        <v>112</v>
      </c>
      <c r="M157" s="268">
        <v>145</v>
      </c>
      <c r="O157" s="267">
        <v>79</v>
      </c>
      <c r="P157" s="267">
        <v>124</v>
      </c>
      <c r="Q157" s="267">
        <v>190</v>
      </c>
      <c r="R157" s="267">
        <v>279</v>
      </c>
      <c r="S157" s="268">
        <v>275</v>
      </c>
      <c r="U157" s="267">
        <v>67</v>
      </c>
      <c r="V157" s="267">
        <v>87</v>
      </c>
      <c r="W157" s="267">
        <v>110</v>
      </c>
      <c r="X157" s="267">
        <v>127</v>
      </c>
      <c r="Y157" s="268">
        <v>160</v>
      </c>
      <c r="AA157" s="267">
        <v>112</v>
      </c>
      <c r="AB157" s="267">
        <v>142</v>
      </c>
      <c r="AC157" s="267">
        <v>191</v>
      </c>
      <c r="AD157" s="267">
        <v>235</v>
      </c>
      <c r="AE157" s="268">
        <v>235</v>
      </c>
      <c r="AG157" s="282">
        <v>0</v>
      </c>
      <c r="AH157" s="282">
        <v>0</v>
      </c>
      <c r="AI157" s="282">
        <v>0</v>
      </c>
      <c r="AJ157" s="282">
        <v>0</v>
      </c>
      <c r="AK157" s="282">
        <v>0</v>
      </c>
      <c r="AL157" s="282"/>
      <c r="AM157" s="282">
        <v>0</v>
      </c>
      <c r="AN157" s="282">
        <v>0</v>
      </c>
      <c r="AO157" s="282">
        <v>0</v>
      </c>
      <c r="AP157" s="282">
        <v>0</v>
      </c>
      <c r="AQ157" s="282">
        <v>0</v>
      </c>
      <c r="AR157" s="153"/>
      <c r="AS157" s="282">
        <v>94.25</v>
      </c>
      <c r="AT157" s="282">
        <v>74.25</v>
      </c>
      <c r="AU157" s="282">
        <v>51.249999999999886</v>
      </c>
      <c r="AV157" s="282">
        <v>34.25</v>
      </c>
      <c r="AW157" s="283">
        <v>1.25</v>
      </c>
      <c r="AX157" s="284"/>
      <c r="AY157" s="282">
        <v>49.250000000000057</v>
      </c>
      <c r="AZ157" s="282">
        <v>19.25</v>
      </c>
      <c r="BA157" s="282">
        <v>-29.75</v>
      </c>
      <c r="BB157" s="282">
        <v>-74.125</v>
      </c>
      <c r="BC157" s="283">
        <v>-74.125</v>
      </c>
      <c r="BE157" s="267">
        <v>67</v>
      </c>
      <c r="BF157" s="267">
        <v>87</v>
      </c>
      <c r="BG157" s="267">
        <v>110</v>
      </c>
      <c r="BH157" s="267">
        <v>127</v>
      </c>
      <c r="BI157" s="268">
        <v>160</v>
      </c>
      <c r="BJ157" s="150"/>
      <c r="BK157" s="267">
        <v>112</v>
      </c>
      <c r="BL157" s="267">
        <v>142</v>
      </c>
      <c r="BM157" s="267">
        <v>191</v>
      </c>
      <c r="BN157" s="267">
        <v>235</v>
      </c>
      <c r="BO157" s="268">
        <v>235</v>
      </c>
    </row>
    <row r="158" spans="2:67">
      <c r="B158" s="280" t="s">
        <v>180</v>
      </c>
      <c r="C158" s="281" t="s">
        <v>558</v>
      </c>
      <c r="D158" s="188">
        <v>201</v>
      </c>
      <c r="E158" s="114">
        <v>3.25</v>
      </c>
      <c r="F158" s="239" t="s">
        <v>190</v>
      </c>
      <c r="G158" s="315"/>
      <c r="I158" s="282">
        <v>39</v>
      </c>
      <c r="J158" s="282">
        <v>54</v>
      </c>
      <c r="K158" s="282">
        <v>78</v>
      </c>
      <c r="L158" s="282">
        <v>112</v>
      </c>
      <c r="M158" s="283">
        <v>145</v>
      </c>
      <c r="O158" s="282">
        <v>79</v>
      </c>
      <c r="P158" s="282">
        <v>124</v>
      </c>
      <c r="Q158" s="282">
        <v>190</v>
      </c>
      <c r="R158" s="282">
        <v>300</v>
      </c>
      <c r="S158" s="283">
        <v>447</v>
      </c>
      <c r="U158" s="282">
        <v>66</v>
      </c>
      <c r="V158" s="282">
        <v>86</v>
      </c>
      <c r="W158" s="282">
        <v>109</v>
      </c>
      <c r="X158" s="282">
        <v>126</v>
      </c>
      <c r="Y158" s="283">
        <v>159</v>
      </c>
      <c r="AA158" s="282">
        <v>111</v>
      </c>
      <c r="AB158" s="282">
        <v>141</v>
      </c>
      <c r="AC158" s="282">
        <v>190</v>
      </c>
      <c r="AD158" s="282">
        <v>255</v>
      </c>
      <c r="AE158" s="283">
        <v>268</v>
      </c>
      <c r="AG158" s="282">
        <v>0</v>
      </c>
      <c r="AH158" s="282">
        <v>0</v>
      </c>
      <c r="AI158" s="282">
        <v>0</v>
      </c>
      <c r="AJ158" s="282">
        <v>0</v>
      </c>
      <c r="AK158" s="282">
        <v>0</v>
      </c>
      <c r="AL158" s="282"/>
      <c r="AM158" s="282">
        <v>0</v>
      </c>
      <c r="AN158" s="282">
        <v>0</v>
      </c>
      <c r="AO158" s="282">
        <v>0</v>
      </c>
      <c r="AP158" s="282">
        <v>0</v>
      </c>
      <c r="AQ158" s="282">
        <v>0</v>
      </c>
      <c r="AR158" s="153"/>
      <c r="AS158" s="282">
        <v>135.25</v>
      </c>
      <c r="AT158" s="282">
        <v>115.25</v>
      </c>
      <c r="AU158" s="282">
        <v>92.249999999999886</v>
      </c>
      <c r="AV158" s="282">
        <v>75.25</v>
      </c>
      <c r="AW158" s="283">
        <v>42.25</v>
      </c>
      <c r="AX158" s="284"/>
      <c r="AY158" s="282">
        <v>90.250000000000057</v>
      </c>
      <c r="AZ158" s="282">
        <v>60.25</v>
      </c>
      <c r="BA158" s="282">
        <v>11.25</v>
      </c>
      <c r="BB158" s="282">
        <v>-53.75</v>
      </c>
      <c r="BC158" s="283">
        <v>-66.625</v>
      </c>
      <c r="BE158" s="282">
        <v>66</v>
      </c>
      <c r="BF158" s="282">
        <v>86</v>
      </c>
      <c r="BG158" s="282">
        <v>109</v>
      </c>
      <c r="BH158" s="282">
        <v>126</v>
      </c>
      <c r="BI158" s="283">
        <v>159</v>
      </c>
      <c r="BJ158" s="150"/>
      <c r="BK158" s="282">
        <v>111</v>
      </c>
      <c r="BL158" s="282">
        <v>141</v>
      </c>
      <c r="BM158" s="282">
        <v>190</v>
      </c>
      <c r="BN158" s="282">
        <v>255</v>
      </c>
      <c r="BO158" s="283">
        <v>268</v>
      </c>
    </row>
    <row r="159" spans="2:67">
      <c r="B159" s="273" t="s">
        <v>180</v>
      </c>
      <c r="C159" s="286" t="s">
        <v>520</v>
      </c>
      <c r="D159" s="189">
        <v>159</v>
      </c>
      <c r="E159" s="115">
        <v>0</v>
      </c>
      <c r="F159" s="237" t="s">
        <v>195</v>
      </c>
      <c r="G159" s="314"/>
      <c r="I159" s="267">
        <v>73</v>
      </c>
      <c r="J159" s="267">
        <v>88</v>
      </c>
      <c r="K159" s="267">
        <v>112</v>
      </c>
      <c r="L159" s="267">
        <v>146</v>
      </c>
      <c r="M159" s="268">
        <v>179</v>
      </c>
      <c r="O159" s="267">
        <v>113</v>
      </c>
      <c r="P159" s="267">
        <v>158</v>
      </c>
      <c r="Q159" s="267">
        <v>224</v>
      </c>
      <c r="R159" s="267">
        <v>334</v>
      </c>
      <c r="S159" s="268">
        <v>359</v>
      </c>
      <c r="U159" s="267">
        <v>52</v>
      </c>
      <c r="V159" s="267">
        <v>72</v>
      </c>
      <c r="W159" s="267">
        <v>95</v>
      </c>
      <c r="X159" s="267">
        <v>112</v>
      </c>
      <c r="Y159" s="268">
        <v>145</v>
      </c>
      <c r="AA159" s="267">
        <v>97</v>
      </c>
      <c r="AB159" s="267">
        <v>127</v>
      </c>
      <c r="AC159" s="267">
        <v>176</v>
      </c>
      <c r="AD159" s="267">
        <v>241</v>
      </c>
      <c r="AE159" s="268">
        <v>241</v>
      </c>
      <c r="AG159" s="282">
        <v>0</v>
      </c>
      <c r="AH159" s="282">
        <v>0</v>
      </c>
      <c r="AI159" s="282">
        <v>0</v>
      </c>
      <c r="AJ159" s="282">
        <v>0</v>
      </c>
      <c r="AK159" s="282">
        <v>0</v>
      </c>
      <c r="AL159" s="282"/>
      <c r="AM159" s="282">
        <v>0</v>
      </c>
      <c r="AN159" s="282">
        <v>0</v>
      </c>
      <c r="AO159" s="282">
        <v>0</v>
      </c>
      <c r="AP159" s="282">
        <v>0</v>
      </c>
      <c r="AQ159" s="282">
        <v>0</v>
      </c>
      <c r="AR159" s="153"/>
      <c r="AS159" s="282">
        <v>107</v>
      </c>
      <c r="AT159" s="282">
        <v>87</v>
      </c>
      <c r="AU159" s="282">
        <v>63.999999999999886</v>
      </c>
      <c r="AV159" s="282">
        <v>47</v>
      </c>
      <c r="AW159" s="283">
        <v>14</v>
      </c>
      <c r="AX159" s="284"/>
      <c r="AY159" s="282">
        <v>62.000000000000057</v>
      </c>
      <c r="AZ159" s="282">
        <v>32</v>
      </c>
      <c r="BA159" s="282">
        <v>-17</v>
      </c>
      <c r="BB159" s="282">
        <v>-82</v>
      </c>
      <c r="BC159" s="283">
        <v>-82</v>
      </c>
      <c r="BE159" s="267">
        <v>52</v>
      </c>
      <c r="BF159" s="267">
        <v>72</v>
      </c>
      <c r="BG159" s="267">
        <v>95</v>
      </c>
      <c r="BH159" s="267">
        <v>112</v>
      </c>
      <c r="BI159" s="268">
        <v>145</v>
      </c>
      <c r="BJ159" s="150"/>
      <c r="BK159" s="267">
        <v>97</v>
      </c>
      <c r="BL159" s="267">
        <v>127</v>
      </c>
      <c r="BM159" s="267">
        <v>176</v>
      </c>
      <c r="BN159" s="267">
        <v>241</v>
      </c>
      <c r="BO159" s="268">
        <v>241</v>
      </c>
    </row>
    <row r="160" spans="2:67">
      <c r="B160" s="280" t="s">
        <v>180</v>
      </c>
      <c r="C160" s="281" t="s">
        <v>428</v>
      </c>
      <c r="D160" s="188">
        <v>49</v>
      </c>
      <c r="E160" s="114">
        <v>1.1000000000000001</v>
      </c>
      <c r="F160" s="239" t="s">
        <v>4</v>
      </c>
      <c r="G160" s="315"/>
      <c r="I160" s="282">
        <v>39</v>
      </c>
      <c r="J160" s="282">
        <v>54</v>
      </c>
      <c r="K160" s="282">
        <v>154</v>
      </c>
      <c r="L160" s="282">
        <v>188</v>
      </c>
      <c r="M160" s="283">
        <v>221</v>
      </c>
      <c r="O160" s="282">
        <v>79</v>
      </c>
      <c r="P160" s="282">
        <v>124</v>
      </c>
      <c r="Q160" s="282">
        <v>266</v>
      </c>
      <c r="R160" s="282">
        <v>376</v>
      </c>
      <c r="S160" s="283">
        <v>523</v>
      </c>
      <c r="U160" s="282">
        <v>49</v>
      </c>
      <c r="V160" s="282">
        <v>49</v>
      </c>
      <c r="W160" s="282">
        <v>0</v>
      </c>
      <c r="X160" s="282">
        <v>0</v>
      </c>
      <c r="Y160" s="283">
        <v>0</v>
      </c>
      <c r="AA160" s="282">
        <v>49</v>
      </c>
      <c r="AB160" s="282">
        <v>49</v>
      </c>
      <c r="AC160" s="282">
        <v>0</v>
      </c>
      <c r="AD160" s="282">
        <v>0</v>
      </c>
      <c r="AE160" s="283">
        <v>0</v>
      </c>
      <c r="AG160" s="282">
        <v>0</v>
      </c>
      <c r="AH160" s="282">
        <v>0</v>
      </c>
      <c r="AI160" s="282">
        <v>0</v>
      </c>
      <c r="AJ160" s="282">
        <v>0</v>
      </c>
      <c r="AK160" s="282">
        <v>0</v>
      </c>
      <c r="AL160" s="282"/>
      <c r="AM160" s="282">
        <v>0</v>
      </c>
      <c r="AN160" s="282">
        <v>0</v>
      </c>
      <c r="AO160" s="282">
        <v>0</v>
      </c>
      <c r="AP160" s="282">
        <v>0</v>
      </c>
      <c r="AQ160" s="282">
        <v>0</v>
      </c>
      <c r="AR160" s="153"/>
      <c r="AS160" s="282">
        <v>0</v>
      </c>
      <c r="AT160" s="282">
        <v>0</v>
      </c>
      <c r="AU160" s="282" t="s">
        <v>15</v>
      </c>
      <c r="AV160" s="282" t="s">
        <v>15</v>
      </c>
      <c r="AW160" s="283" t="s">
        <v>15</v>
      </c>
      <c r="AX160" s="284"/>
      <c r="AY160" s="282">
        <v>0</v>
      </c>
      <c r="AZ160" s="282">
        <v>0</v>
      </c>
      <c r="BA160" s="282" t="s">
        <v>15</v>
      </c>
      <c r="BB160" s="282" t="s">
        <v>15</v>
      </c>
      <c r="BC160" s="283" t="s">
        <v>15</v>
      </c>
      <c r="BE160" s="282">
        <v>49</v>
      </c>
      <c r="BF160" s="282">
        <v>49</v>
      </c>
      <c r="BG160" s="282">
        <v>0</v>
      </c>
      <c r="BH160" s="282">
        <v>0</v>
      </c>
      <c r="BI160" s="283">
        <v>0</v>
      </c>
      <c r="BJ160" s="150"/>
      <c r="BK160" s="282">
        <v>49</v>
      </c>
      <c r="BL160" s="282">
        <v>49</v>
      </c>
      <c r="BM160" s="282">
        <v>0</v>
      </c>
      <c r="BN160" s="282">
        <v>0</v>
      </c>
      <c r="BO160" s="283">
        <v>0</v>
      </c>
    </row>
    <row r="161" spans="2:67">
      <c r="B161" s="273" t="s">
        <v>180</v>
      </c>
      <c r="C161" s="286" t="s">
        <v>467</v>
      </c>
      <c r="D161" s="189">
        <v>60</v>
      </c>
      <c r="E161" s="115">
        <v>1.1000000000000001</v>
      </c>
      <c r="F161" s="237" t="s">
        <v>4</v>
      </c>
      <c r="G161" s="314"/>
      <c r="I161" s="267">
        <v>63</v>
      </c>
      <c r="J161" s="267">
        <v>78</v>
      </c>
      <c r="K161" s="267">
        <v>102</v>
      </c>
      <c r="L161" s="267">
        <v>136</v>
      </c>
      <c r="M161" s="268">
        <v>169</v>
      </c>
      <c r="O161" s="267">
        <v>104</v>
      </c>
      <c r="P161" s="267">
        <v>148</v>
      </c>
      <c r="Q161" s="267">
        <v>215</v>
      </c>
      <c r="R161" s="267">
        <v>324</v>
      </c>
      <c r="S161" s="268">
        <v>331</v>
      </c>
      <c r="U161" s="267">
        <v>60</v>
      </c>
      <c r="V161" s="267">
        <v>60</v>
      </c>
      <c r="W161" s="267">
        <v>0</v>
      </c>
      <c r="X161" s="267">
        <v>0</v>
      </c>
      <c r="Y161" s="268">
        <v>0</v>
      </c>
      <c r="AA161" s="267">
        <v>60</v>
      </c>
      <c r="AB161" s="267">
        <v>60</v>
      </c>
      <c r="AC161" s="267">
        <v>0</v>
      </c>
      <c r="AD161" s="267">
        <v>0</v>
      </c>
      <c r="AE161" s="268">
        <v>0</v>
      </c>
      <c r="AG161" s="282">
        <v>0</v>
      </c>
      <c r="AH161" s="282">
        <v>0</v>
      </c>
      <c r="AI161" s="282">
        <v>0</v>
      </c>
      <c r="AJ161" s="282">
        <v>0</v>
      </c>
      <c r="AK161" s="282">
        <v>0</v>
      </c>
      <c r="AL161" s="282"/>
      <c r="AM161" s="282">
        <v>0</v>
      </c>
      <c r="AN161" s="282">
        <v>0</v>
      </c>
      <c r="AO161" s="282">
        <v>0</v>
      </c>
      <c r="AP161" s="282">
        <v>0</v>
      </c>
      <c r="AQ161" s="282">
        <v>0</v>
      </c>
      <c r="AR161" s="153"/>
      <c r="AS161" s="282">
        <v>0</v>
      </c>
      <c r="AT161" s="282">
        <v>0</v>
      </c>
      <c r="AU161" s="282" t="s">
        <v>15</v>
      </c>
      <c r="AV161" s="282" t="s">
        <v>15</v>
      </c>
      <c r="AW161" s="283" t="s">
        <v>15</v>
      </c>
      <c r="AX161" s="284"/>
      <c r="AY161" s="282">
        <v>0</v>
      </c>
      <c r="AZ161" s="282">
        <v>0</v>
      </c>
      <c r="BA161" s="282" t="s">
        <v>15</v>
      </c>
      <c r="BB161" s="282" t="s">
        <v>15</v>
      </c>
      <c r="BC161" s="283" t="s">
        <v>15</v>
      </c>
      <c r="BE161" s="267">
        <v>60</v>
      </c>
      <c r="BF161" s="267">
        <v>60</v>
      </c>
      <c r="BG161" s="267">
        <v>0</v>
      </c>
      <c r="BH161" s="267">
        <v>0</v>
      </c>
      <c r="BI161" s="268">
        <v>0</v>
      </c>
      <c r="BJ161" s="150"/>
      <c r="BK161" s="267">
        <v>60</v>
      </c>
      <c r="BL161" s="267">
        <v>60</v>
      </c>
      <c r="BM161" s="267">
        <v>0</v>
      </c>
      <c r="BN161" s="267">
        <v>0</v>
      </c>
      <c r="BO161" s="268">
        <v>0</v>
      </c>
    </row>
    <row r="162" spans="2:67">
      <c r="B162" s="280" t="s">
        <v>180</v>
      </c>
      <c r="C162" s="281" t="s">
        <v>429</v>
      </c>
      <c r="D162" s="188">
        <v>132</v>
      </c>
      <c r="E162" s="114">
        <v>3.75</v>
      </c>
      <c r="F162" s="239" t="s">
        <v>191</v>
      </c>
      <c r="G162" s="315"/>
      <c r="I162" s="282">
        <v>95</v>
      </c>
      <c r="J162" s="282">
        <v>110</v>
      </c>
      <c r="K162" s="282">
        <v>134</v>
      </c>
      <c r="L162" s="282">
        <v>168</v>
      </c>
      <c r="M162" s="283">
        <v>201</v>
      </c>
      <c r="O162" s="282">
        <v>135</v>
      </c>
      <c r="P162" s="282">
        <v>179</v>
      </c>
      <c r="Q162" s="282">
        <v>246</v>
      </c>
      <c r="R162" s="282">
        <v>356</v>
      </c>
      <c r="S162" s="283">
        <v>478</v>
      </c>
      <c r="U162" s="282">
        <v>52</v>
      </c>
      <c r="V162" s="282">
        <v>72</v>
      </c>
      <c r="W162" s="282">
        <v>95</v>
      </c>
      <c r="X162" s="282">
        <v>112</v>
      </c>
      <c r="Y162" s="283">
        <v>145</v>
      </c>
      <c r="AA162" s="282">
        <v>97</v>
      </c>
      <c r="AB162" s="282">
        <v>127</v>
      </c>
      <c r="AC162" s="282">
        <v>176</v>
      </c>
      <c r="AD162" s="282">
        <v>185</v>
      </c>
      <c r="AE162" s="283">
        <v>185</v>
      </c>
      <c r="AG162" s="282">
        <v>0</v>
      </c>
      <c r="AH162" s="282">
        <v>0</v>
      </c>
      <c r="AI162" s="282">
        <v>0</v>
      </c>
      <c r="AJ162" s="282">
        <v>0</v>
      </c>
      <c r="AK162" s="282">
        <v>0</v>
      </c>
      <c r="AL162" s="282"/>
      <c r="AM162" s="282">
        <v>0</v>
      </c>
      <c r="AN162" s="282">
        <v>0</v>
      </c>
      <c r="AO162" s="282">
        <v>0</v>
      </c>
      <c r="AP162" s="282">
        <v>0</v>
      </c>
      <c r="AQ162" s="282">
        <v>0</v>
      </c>
      <c r="AR162" s="153"/>
      <c r="AS162" s="282">
        <v>80</v>
      </c>
      <c r="AT162" s="282">
        <v>60</v>
      </c>
      <c r="AU162" s="282">
        <v>36.999999999999886</v>
      </c>
      <c r="AV162" s="282">
        <v>20</v>
      </c>
      <c r="AW162" s="283">
        <v>-13</v>
      </c>
      <c r="AX162" s="284"/>
      <c r="AY162" s="282">
        <v>35.000000000000057</v>
      </c>
      <c r="AZ162" s="282">
        <v>5</v>
      </c>
      <c r="BA162" s="282">
        <v>-44</v>
      </c>
      <c r="BB162" s="282">
        <v>-53.125</v>
      </c>
      <c r="BC162" s="283">
        <v>-53.125</v>
      </c>
      <c r="BE162" s="282">
        <v>52</v>
      </c>
      <c r="BF162" s="282">
        <v>72</v>
      </c>
      <c r="BG162" s="282">
        <v>95</v>
      </c>
      <c r="BH162" s="282">
        <v>112</v>
      </c>
      <c r="BI162" s="283">
        <v>145</v>
      </c>
      <c r="BJ162" s="150"/>
      <c r="BK162" s="282">
        <v>97</v>
      </c>
      <c r="BL162" s="282">
        <v>127</v>
      </c>
      <c r="BM162" s="282">
        <v>176</v>
      </c>
      <c r="BN162" s="282">
        <v>185</v>
      </c>
      <c r="BO162" s="283">
        <v>185</v>
      </c>
    </row>
    <row r="163" spans="2:67">
      <c r="B163" s="273" t="s">
        <v>181</v>
      </c>
      <c r="C163" s="286" t="s">
        <v>484</v>
      </c>
      <c r="D163" s="189">
        <v>1072</v>
      </c>
      <c r="E163" s="115">
        <v>3.25</v>
      </c>
      <c r="F163" s="237" t="s">
        <v>190</v>
      </c>
      <c r="G163" s="314"/>
      <c r="I163" s="267">
        <v>85</v>
      </c>
      <c r="J163" s="267">
        <v>127</v>
      </c>
      <c r="K163" s="267">
        <v>0</v>
      </c>
      <c r="L163" s="267">
        <v>0</v>
      </c>
      <c r="M163" s="268">
        <v>0</v>
      </c>
      <c r="O163" s="267">
        <v>85</v>
      </c>
      <c r="P163" s="267">
        <v>127</v>
      </c>
      <c r="Q163" s="267">
        <v>0</v>
      </c>
      <c r="R163" s="267">
        <v>0</v>
      </c>
      <c r="S163" s="268">
        <v>0</v>
      </c>
      <c r="U163" s="267">
        <v>52</v>
      </c>
      <c r="V163" s="267">
        <v>522</v>
      </c>
      <c r="W163" s="267">
        <v>545</v>
      </c>
      <c r="X163" s="267">
        <v>562</v>
      </c>
      <c r="Y163" s="268">
        <v>595</v>
      </c>
      <c r="AA163" s="267">
        <v>97</v>
      </c>
      <c r="AB163" s="267">
        <v>577</v>
      </c>
      <c r="AC163" s="267">
        <v>626</v>
      </c>
      <c r="AD163" s="267">
        <v>691</v>
      </c>
      <c r="AE163" s="268">
        <v>803</v>
      </c>
      <c r="AG163" s="282">
        <v>0</v>
      </c>
      <c r="AH163" s="282">
        <v>0</v>
      </c>
      <c r="AI163" s="282">
        <v>0</v>
      </c>
      <c r="AJ163" s="282">
        <v>0</v>
      </c>
      <c r="AK163" s="282">
        <v>0</v>
      </c>
      <c r="AL163" s="282"/>
      <c r="AM163" s="282">
        <v>0</v>
      </c>
      <c r="AN163" s="282">
        <v>0</v>
      </c>
      <c r="AO163" s="282">
        <v>0</v>
      </c>
      <c r="AP163" s="282">
        <v>0</v>
      </c>
      <c r="AQ163" s="282">
        <v>0</v>
      </c>
      <c r="AR163" s="153"/>
      <c r="AS163" s="282">
        <v>1020</v>
      </c>
      <c r="AT163" s="282">
        <v>549.51</v>
      </c>
      <c r="AU163" s="282">
        <v>526.50999999999988</v>
      </c>
      <c r="AV163" s="282">
        <v>509.51</v>
      </c>
      <c r="AW163" s="283">
        <v>476.51</v>
      </c>
      <c r="AX163" s="284"/>
      <c r="AY163" s="282">
        <v>975</v>
      </c>
      <c r="AZ163" s="282">
        <v>494.51</v>
      </c>
      <c r="BA163" s="282">
        <v>445.51</v>
      </c>
      <c r="BB163" s="282">
        <v>380.51</v>
      </c>
      <c r="BC163" s="283">
        <v>268.51</v>
      </c>
      <c r="BE163" s="267">
        <v>52</v>
      </c>
      <c r="BF163" s="267">
        <v>522</v>
      </c>
      <c r="BG163" s="267">
        <v>545</v>
      </c>
      <c r="BH163" s="267">
        <v>562</v>
      </c>
      <c r="BI163" s="268">
        <v>595</v>
      </c>
      <c r="BJ163" s="150"/>
      <c r="BK163" s="267">
        <v>97</v>
      </c>
      <c r="BL163" s="267">
        <v>607</v>
      </c>
      <c r="BM163" s="267">
        <v>676</v>
      </c>
      <c r="BN163" s="267">
        <v>731</v>
      </c>
      <c r="BO163" s="268">
        <v>863</v>
      </c>
    </row>
    <row r="164" spans="2:67">
      <c r="B164" s="280" t="s">
        <v>181</v>
      </c>
      <c r="C164" s="281" t="s">
        <v>501</v>
      </c>
      <c r="D164" s="188">
        <v>1402</v>
      </c>
      <c r="E164" s="114">
        <v>3.25</v>
      </c>
      <c r="F164" s="239" t="s">
        <v>190</v>
      </c>
      <c r="G164" s="315"/>
      <c r="I164" s="282">
        <v>62</v>
      </c>
      <c r="J164" s="282">
        <v>112</v>
      </c>
      <c r="K164" s="282">
        <v>0</v>
      </c>
      <c r="L164" s="282">
        <v>0</v>
      </c>
      <c r="M164" s="283">
        <v>0</v>
      </c>
      <c r="O164" s="282">
        <v>62</v>
      </c>
      <c r="P164" s="282">
        <v>112</v>
      </c>
      <c r="Q164" s="282">
        <v>0</v>
      </c>
      <c r="R164" s="282">
        <v>0</v>
      </c>
      <c r="S164" s="283">
        <v>0</v>
      </c>
      <c r="U164" s="282">
        <v>52</v>
      </c>
      <c r="V164" s="282">
        <v>592</v>
      </c>
      <c r="W164" s="282">
        <v>615</v>
      </c>
      <c r="X164" s="282">
        <v>632</v>
      </c>
      <c r="Y164" s="283">
        <v>665</v>
      </c>
      <c r="AA164" s="282">
        <v>97</v>
      </c>
      <c r="AB164" s="282">
        <v>647</v>
      </c>
      <c r="AC164" s="282">
        <v>696</v>
      </c>
      <c r="AD164" s="282">
        <v>761</v>
      </c>
      <c r="AE164" s="283">
        <v>873</v>
      </c>
      <c r="AG164" s="282">
        <v>0</v>
      </c>
      <c r="AH164" s="282">
        <v>0</v>
      </c>
      <c r="AI164" s="282">
        <v>0</v>
      </c>
      <c r="AJ164" s="282">
        <v>0</v>
      </c>
      <c r="AK164" s="282">
        <v>0</v>
      </c>
      <c r="AL164" s="282"/>
      <c r="AM164" s="282">
        <v>0</v>
      </c>
      <c r="AN164" s="282">
        <v>0</v>
      </c>
      <c r="AO164" s="282">
        <v>0</v>
      </c>
      <c r="AP164" s="282">
        <v>0</v>
      </c>
      <c r="AQ164" s="282">
        <v>0</v>
      </c>
      <c r="AR164" s="153"/>
      <c r="AS164" s="282">
        <v>1350</v>
      </c>
      <c r="AT164" s="282">
        <v>810.08999999999992</v>
      </c>
      <c r="AU164" s="282">
        <v>787.08999999999992</v>
      </c>
      <c r="AV164" s="282">
        <v>770.08999999999992</v>
      </c>
      <c r="AW164" s="283">
        <v>737.08999999999992</v>
      </c>
      <c r="AX164" s="284"/>
      <c r="AY164" s="282">
        <v>1305</v>
      </c>
      <c r="AZ164" s="282">
        <v>755.08999999999992</v>
      </c>
      <c r="BA164" s="282">
        <v>706.08999999999992</v>
      </c>
      <c r="BB164" s="282">
        <v>641.08999999999992</v>
      </c>
      <c r="BC164" s="283">
        <v>529.08999999999992</v>
      </c>
      <c r="BE164" s="282">
        <v>52</v>
      </c>
      <c r="BF164" s="282">
        <v>592</v>
      </c>
      <c r="BG164" s="282">
        <v>615</v>
      </c>
      <c r="BH164" s="282">
        <v>632</v>
      </c>
      <c r="BI164" s="283">
        <v>665</v>
      </c>
      <c r="BJ164" s="150"/>
      <c r="BK164" s="282">
        <v>97</v>
      </c>
      <c r="BL164" s="282">
        <v>677</v>
      </c>
      <c r="BM164" s="282">
        <v>746</v>
      </c>
      <c r="BN164" s="282">
        <v>801</v>
      </c>
      <c r="BO164" s="283">
        <v>933</v>
      </c>
    </row>
    <row r="165" spans="2:67">
      <c r="B165" s="273" t="s">
        <v>181</v>
      </c>
      <c r="C165" s="286" t="s">
        <v>603</v>
      </c>
      <c r="D165" s="189">
        <v>174</v>
      </c>
      <c r="E165" s="115">
        <v>3.25</v>
      </c>
      <c r="F165" s="237" t="s">
        <v>190</v>
      </c>
      <c r="G165" s="314"/>
      <c r="I165" s="267">
        <v>39</v>
      </c>
      <c r="J165" s="267">
        <v>54</v>
      </c>
      <c r="K165" s="267">
        <v>209</v>
      </c>
      <c r="L165" s="267">
        <v>243</v>
      </c>
      <c r="M165" s="268">
        <v>276</v>
      </c>
      <c r="O165" s="267">
        <v>79</v>
      </c>
      <c r="P165" s="267">
        <v>124</v>
      </c>
      <c r="Q165" s="267">
        <v>321</v>
      </c>
      <c r="R165" s="267">
        <v>431</v>
      </c>
      <c r="S165" s="268">
        <v>578</v>
      </c>
      <c r="U165" s="267">
        <v>116</v>
      </c>
      <c r="V165" s="267">
        <v>136</v>
      </c>
      <c r="W165" s="267">
        <v>159</v>
      </c>
      <c r="X165" s="267">
        <v>176</v>
      </c>
      <c r="Y165" s="268">
        <v>209</v>
      </c>
      <c r="AA165" s="267">
        <v>161</v>
      </c>
      <c r="AB165" s="267">
        <v>191</v>
      </c>
      <c r="AC165" s="267">
        <v>240</v>
      </c>
      <c r="AD165" s="267">
        <v>230</v>
      </c>
      <c r="AE165" s="268">
        <v>230</v>
      </c>
      <c r="AG165" s="282">
        <v>0</v>
      </c>
      <c r="AH165" s="282">
        <v>0</v>
      </c>
      <c r="AI165" s="282">
        <v>0</v>
      </c>
      <c r="AJ165" s="282">
        <v>0</v>
      </c>
      <c r="AK165" s="282">
        <v>0</v>
      </c>
      <c r="AL165" s="282"/>
      <c r="AM165" s="282">
        <v>0</v>
      </c>
      <c r="AN165" s="282">
        <v>0</v>
      </c>
      <c r="AO165" s="282">
        <v>0</v>
      </c>
      <c r="AP165" s="282">
        <v>0</v>
      </c>
      <c r="AQ165" s="282">
        <v>0</v>
      </c>
      <c r="AR165" s="153"/>
      <c r="AS165" s="282">
        <v>57.680000000000007</v>
      </c>
      <c r="AT165" s="282">
        <v>37.680000000000007</v>
      </c>
      <c r="AU165" s="282">
        <v>14.679999999999893</v>
      </c>
      <c r="AV165" s="282">
        <v>-2.3199999999999932</v>
      </c>
      <c r="AW165" s="283">
        <v>-35.319999999999993</v>
      </c>
      <c r="AX165" s="284"/>
      <c r="AY165" s="282">
        <v>12.680000000000064</v>
      </c>
      <c r="AZ165" s="282">
        <v>-17.319999999999993</v>
      </c>
      <c r="BA165" s="282">
        <v>-66.319999999999993</v>
      </c>
      <c r="BB165" s="282">
        <v>-55.84</v>
      </c>
      <c r="BC165" s="283">
        <v>-55.84</v>
      </c>
      <c r="BE165" s="267">
        <v>116</v>
      </c>
      <c r="BF165" s="267">
        <v>136</v>
      </c>
      <c r="BG165" s="267">
        <v>159</v>
      </c>
      <c r="BH165" s="267">
        <v>176</v>
      </c>
      <c r="BI165" s="268">
        <v>209</v>
      </c>
      <c r="BJ165" s="150"/>
      <c r="BK165" s="267">
        <v>161</v>
      </c>
      <c r="BL165" s="267">
        <v>191</v>
      </c>
      <c r="BM165" s="267">
        <v>240</v>
      </c>
      <c r="BN165" s="267">
        <v>230</v>
      </c>
      <c r="BO165" s="268">
        <v>230</v>
      </c>
    </row>
    <row r="166" spans="2:67">
      <c r="B166" s="280" t="s">
        <v>181</v>
      </c>
      <c r="C166" s="281" t="s">
        <v>604</v>
      </c>
      <c r="D166" s="188">
        <v>638</v>
      </c>
      <c r="E166" s="114">
        <v>3.25</v>
      </c>
      <c r="F166" s="239" t="s">
        <v>190</v>
      </c>
      <c r="G166" s="315"/>
      <c r="I166" s="282">
        <v>39</v>
      </c>
      <c r="J166" s="282">
        <v>54</v>
      </c>
      <c r="K166" s="282">
        <v>274</v>
      </c>
      <c r="L166" s="282">
        <v>308</v>
      </c>
      <c r="M166" s="283">
        <v>341</v>
      </c>
      <c r="O166" s="282">
        <v>79</v>
      </c>
      <c r="P166" s="282">
        <v>124</v>
      </c>
      <c r="Q166" s="282">
        <v>386</v>
      </c>
      <c r="R166" s="282">
        <v>496</v>
      </c>
      <c r="S166" s="283">
        <v>643</v>
      </c>
      <c r="U166" s="282">
        <v>52</v>
      </c>
      <c r="V166" s="282">
        <v>268</v>
      </c>
      <c r="W166" s="282">
        <v>291</v>
      </c>
      <c r="X166" s="282">
        <v>308</v>
      </c>
      <c r="Y166" s="283">
        <v>341</v>
      </c>
      <c r="AA166" s="282">
        <v>97</v>
      </c>
      <c r="AB166" s="282">
        <v>323</v>
      </c>
      <c r="AC166" s="282">
        <v>372</v>
      </c>
      <c r="AD166" s="282">
        <v>437</v>
      </c>
      <c r="AE166" s="283">
        <v>549</v>
      </c>
      <c r="AG166" s="282">
        <v>0</v>
      </c>
      <c r="AH166" s="282">
        <v>0</v>
      </c>
      <c r="AI166" s="282">
        <v>0</v>
      </c>
      <c r="AJ166" s="282">
        <v>0</v>
      </c>
      <c r="AK166" s="282">
        <v>0</v>
      </c>
      <c r="AL166" s="282"/>
      <c r="AM166" s="282">
        <v>0</v>
      </c>
      <c r="AN166" s="282">
        <v>0</v>
      </c>
      <c r="AO166" s="282">
        <v>0</v>
      </c>
      <c r="AP166" s="282">
        <v>0</v>
      </c>
      <c r="AQ166" s="282">
        <v>0</v>
      </c>
      <c r="AR166" s="153"/>
      <c r="AS166" s="282">
        <v>586</v>
      </c>
      <c r="AT166" s="282">
        <v>369.57000000000005</v>
      </c>
      <c r="AU166" s="282">
        <v>346.56999999999994</v>
      </c>
      <c r="AV166" s="282">
        <v>329.57000000000005</v>
      </c>
      <c r="AW166" s="283">
        <v>296.57000000000005</v>
      </c>
      <c r="AX166" s="284"/>
      <c r="AY166" s="282">
        <v>541</v>
      </c>
      <c r="AZ166" s="282">
        <v>314.57000000000005</v>
      </c>
      <c r="BA166" s="282">
        <v>265.57000000000005</v>
      </c>
      <c r="BB166" s="282">
        <v>200.57000000000005</v>
      </c>
      <c r="BC166" s="283">
        <v>88.57000000000005</v>
      </c>
      <c r="BE166" s="282">
        <v>52</v>
      </c>
      <c r="BF166" s="282">
        <v>268</v>
      </c>
      <c r="BG166" s="282">
        <v>291</v>
      </c>
      <c r="BH166" s="282">
        <v>308</v>
      </c>
      <c r="BI166" s="283">
        <v>341</v>
      </c>
      <c r="BJ166" s="150"/>
      <c r="BK166" s="282">
        <v>97</v>
      </c>
      <c r="BL166" s="282">
        <v>353</v>
      </c>
      <c r="BM166" s="282">
        <v>422</v>
      </c>
      <c r="BN166" s="282">
        <v>477</v>
      </c>
      <c r="BO166" s="283">
        <v>609</v>
      </c>
    </row>
    <row r="167" spans="2:67">
      <c r="B167" s="273" t="s">
        <v>181</v>
      </c>
      <c r="C167" s="286" t="s">
        <v>605</v>
      </c>
      <c r="D167" s="189">
        <v>801</v>
      </c>
      <c r="E167" s="115">
        <v>3.25</v>
      </c>
      <c r="F167" s="237" t="s">
        <v>190</v>
      </c>
      <c r="G167" s="314"/>
      <c r="I167" s="267">
        <v>39</v>
      </c>
      <c r="J167" s="267">
        <v>54</v>
      </c>
      <c r="K167" s="267">
        <v>305</v>
      </c>
      <c r="L167" s="267">
        <v>339</v>
      </c>
      <c r="M167" s="268">
        <v>372</v>
      </c>
      <c r="O167" s="267">
        <v>79</v>
      </c>
      <c r="P167" s="267">
        <v>124</v>
      </c>
      <c r="Q167" s="267">
        <v>417</v>
      </c>
      <c r="R167" s="267">
        <v>527</v>
      </c>
      <c r="S167" s="268">
        <v>674</v>
      </c>
      <c r="U167" s="267">
        <v>52</v>
      </c>
      <c r="V167" s="267">
        <v>324</v>
      </c>
      <c r="W167" s="267">
        <v>347</v>
      </c>
      <c r="X167" s="267">
        <v>364</v>
      </c>
      <c r="Y167" s="268">
        <v>397</v>
      </c>
      <c r="AA167" s="267">
        <v>97</v>
      </c>
      <c r="AB167" s="267">
        <v>379</v>
      </c>
      <c r="AC167" s="267">
        <v>428</v>
      </c>
      <c r="AD167" s="267">
        <v>493</v>
      </c>
      <c r="AE167" s="268">
        <v>605</v>
      </c>
      <c r="AG167" s="282">
        <v>0</v>
      </c>
      <c r="AH167" s="282">
        <v>0</v>
      </c>
      <c r="AI167" s="282">
        <v>0</v>
      </c>
      <c r="AJ167" s="282">
        <v>0</v>
      </c>
      <c r="AK167" s="282">
        <v>0</v>
      </c>
      <c r="AL167" s="282"/>
      <c r="AM167" s="282">
        <v>0</v>
      </c>
      <c r="AN167" s="282">
        <v>0</v>
      </c>
      <c r="AO167" s="282">
        <v>0</v>
      </c>
      <c r="AP167" s="282">
        <v>0</v>
      </c>
      <c r="AQ167" s="282">
        <v>0</v>
      </c>
      <c r="AR167" s="153"/>
      <c r="AS167" s="282">
        <v>749</v>
      </c>
      <c r="AT167" s="282">
        <v>476.67999999999995</v>
      </c>
      <c r="AU167" s="282">
        <v>453.67999999999984</v>
      </c>
      <c r="AV167" s="282">
        <v>436.67999999999995</v>
      </c>
      <c r="AW167" s="283">
        <v>403.67999999999995</v>
      </c>
      <c r="AX167" s="284"/>
      <c r="AY167" s="282">
        <v>704</v>
      </c>
      <c r="AZ167" s="282">
        <v>421.67999999999995</v>
      </c>
      <c r="BA167" s="282">
        <v>372.67999999999995</v>
      </c>
      <c r="BB167" s="282">
        <v>307.67999999999995</v>
      </c>
      <c r="BC167" s="283">
        <v>195.67999999999995</v>
      </c>
      <c r="BE167" s="267">
        <v>52</v>
      </c>
      <c r="BF167" s="267">
        <v>324</v>
      </c>
      <c r="BG167" s="267">
        <v>347</v>
      </c>
      <c r="BH167" s="267">
        <v>364</v>
      </c>
      <c r="BI167" s="268">
        <v>397</v>
      </c>
      <c r="BJ167" s="150"/>
      <c r="BK167" s="267">
        <v>97</v>
      </c>
      <c r="BL167" s="267">
        <v>409</v>
      </c>
      <c r="BM167" s="267">
        <v>478</v>
      </c>
      <c r="BN167" s="267">
        <v>533</v>
      </c>
      <c r="BO167" s="268">
        <v>665</v>
      </c>
    </row>
    <row r="168" spans="2:67">
      <c r="B168" s="280" t="s">
        <v>181</v>
      </c>
      <c r="C168" s="281" t="s">
        <v>606</v>
      </c>
      <c r="D168" s="188">
        <v>895</v>
      </c>
      <c r="E168" s="114">
        <v>3.25</v>
      </c>
      <c r="F168" s="239" t="s">
        <v>190</v>
      </c>
      <c r="G168" s="315"/>
      <c r="I168" s="282">
        <v>39</v>
      </c>
      <c r="J168" s="282">
        <v>54</v>
      </c>
      <c r="K168" s="282">
        <v>133</v>
      </c>
      <c r="L168" s="282">
        <v>167</v>
      </c>
      <c r="M168" s="283">
        <v>200</v>
      </c>
      <c r="O168" s="282">
        <v>79</v>
      </c>
      <c r="P168" s="282">
        <v>124</v>
      </c>
      <c r="Q168" s="282">
        <v>245</v>
      </c>
      <c r="R168" s="282">
        <v>355</v>
      </c>
      <c r="S168" s="283">
        <v>501</v>
      </c>
      <c r="U168" s="282">
        <v>52</v>
      </c>
      <c r="V168" s="282">
        <v>412</v>
      </c>
      <c r="W168" s="282">
        <v>435</v>
      </c>
      <c r="X168" s="282">
        <v>452</v>
      </c>
      <c r="Y168" s="283">
        <v>485</v>
      </c>
      <c r="AA168" s="282">
        <v>97</v>
      </c>
      <c r="AB168" s="282">
        <v>467</v>
      </c>
      <c r="AC168" s="282">
        <v>516</v>
      </c>
      <c r="AD168" s="282">
        <v>581</v>
      </c>
      <c r="AE168" s="283">
        <v>693</v>
      </c>
      <c r="AG168" s="282">
        <v>0</v>
      </c>
      <c r="AH168" s="282">
        <v>0</v>
      </c>
      <c r="AI168" s="282">
        <v>0</v>
      </c>
      <c r="AJ168" s="282">
        <v>0</v>
      </c>
      <c r="AK168" s="282">
        <v>0</v>
      </c>
      <c r="AL168" s="282"/>
      <c r="AM168" s="282">
        <v>0</v>
      </c>
      <c r="AN168" s="282">
        <v>0</v>
      </c>
      <c r="AO168" s="282">
        <v>0</v>
      </c>
      <c r="AP168" s="282">
        <v>0</v>
      </c>
      <c r="AQ168" s="282">
        <v>0</v>
      </c>
      <c r="AR168" s="153"/>
      <c r="AS168" s="282">
        <v>843</v>
      </c>
      <c r="AT168" s="282">
        <v>483.08000000000004</v>
      </c>
      <c r="AU168" s="282">
        <v>460.07999999999993</v>
      </c>
      <c r="AV168" s="282">
        <v>443.08000000000004</v>
      </c>
      <c r="AW168" s="283">
        <v>410.08000000000004</v>
      </c>
      <c r="AX168" s="284"/>
      <c r="AY168" s="282">
        <v>798</v>
      </c>
      <c r="AZ168" s="282">
        <v>428.08000000000004</v>
      </c>
      <c r="BA168" s="282">
        <v>379.08000000000004</v>
      </c>
      <c r="BB168" s="282">
        <v>314.08000000000004</v>
      </c>
      <c r="BC168" s="283">
        <v>202.08000000000004</v>
      </c>
      <c r="BE168" s="282">
        <v>52</v>
      </c>
      <c r="BF168" s="282">
        <v>412</v>
      </c>
      <c r="BG168" s="282">
        <v>435</v>
      </c>
      <c r="BH168" s="282">
        <v>452</v>
      </c>
      <c r="BI168" s="283">
        <v>485</v>
      </c>
      <c r="BJ168" s="150"/>
      <c r="BK168" s="282">
        <v>97</v>
      </c>
      <c r="BL168" s="282">
        <v>497</v>
      </c>
      <c r="BM168" s="282">
        <v>566</v>
      </c>
      <c r="BN168" s="282">
        <v>621</v>
      </c>
      <c r="BO168" s="283">
        <v>753</v>
      </c>
    </row>
    <row r="169" spans="2:67">
      <c r="B169" s="273" t="s">
        <v>181</v>
      </c>
      <c r="C169" s="286" t="s">
        <v>521</v>
      </c>
      <c r="D169" s="189">
        <v>298</v>
      </c>
      <c r="E169" s="115">
        <v>0</v>
      </c>
      <c r="F169" s="237" t="s">
        <v>195</v>
      </c>
      <c r="G169" s="314"/>
      <c r="I169" s="267">
        <v>39</v>
      </c>
      <c r="J169" s="267">
        <v>54</v>
      </c>
      <c r="K169" s="267">
        <v>284</v>
      </c>
      <c r="L169" s="267">
        <v>318</v>
      </c>
      <c r="M169" s="268">
        <v>351</v>
      </c>
      <c r="O169" s="267">
        <v>79</v>
      </c>
      <c r="P169" s="267">
        <v>124</v>
      </c>
      <c r="Q169" s="267">
        <v>396</v>
      </c>
      <c r="R169" s="267">
        <v>506</v>
      </c>
      <c r="S169" s="268">
        <v>653</v>
      </c>
      <c r="U169" s="267">
        <v>103</v>
      </c>
      <c r="V169" s="267">
        <v>123</v>
      </c>
      <c r="W169" s="267">
        <v>146</v>
      </c>
      <c r="X169" s="267">
        <v>163</v>
      </c>
      <c r="Y169" s="268">
        <v>196</v>
      </c>
      <c r="AA169" s="267">
        <v>148</v>
      </c>
      <c r="AB169" s="267">
        <v>178</v>
      </c>
      <c r="AC169" s="267">
        <v>227</v>
      </c>
      <c r="AD169" s="267">
        <v>292</v>
      </c>
      <c r="AE169" s="268">
        <v>395</v>
      </c>
      <c r="AG169" s="282">
        <v>0</v>
      </c>
      <c r="AH169" s="282">
        <v>0</v>
      </c>
      <c r="AI169" s="282">
        <v>0</v>
      </c>
      <c r="AJ169" s="282">
        <v>0</v>
      </c>
      <c r="AK169" s="282">
        <v>0</v>
      </c>
      <c r="AL169" s="282"/>
      <c r="AM169" s="282">
        <v>0</v>
      </c>
      <c r="AN169" s="282">
        <v>0</v>
      </c>
      <c r="AO169" s="282">
        <v>0</v>
      </c>
      <c r="AP169" s="282">
        <v>0</v>
      </c>
      <c r="AQ169" s="282">
        <v>0</v>
      </c>
      <c r="AR169" s="153"/>
      <c r="AS169" s="282">
        <v>195.4</v>
      </c>
      <c r="AT169" s="282">
        <v>175.4</v>
      </c>
      <c r="AU169" s="282">
        <v>152.39999999999989</v>
      </c>
      <c r="AV169" s="282">
        <v>135.4</v>
      </c>
      <c r="AW169" s="283">
        <v>102.4</v>
      </c>
      <c r="AX169" s="284"/>
      <c r="AY169" s="282">
        <v>150.40000000000006</v>
      </c>
      <c r="AZ169" s="282">
        <v>120.4</v>
      </c>
      <c r="BA169" s="282">
        <v>71.400000000000006</v>
      </c>
      <c r="BB169" s="282">
        <v>6.4000000000000057</v>
      </c>
      <c r="BC169" s="283">
        <v>-96.700000000000045</v>
      </c>
      <c r="BE169" s="267">
        <v>103</v>
      </c>
      <c r="BF169" s="267">
        <v>123</v>
      </c>
      <c r="BG169" s="267">
        <v>146</v>
      </c>
      <c r="BH169" s="267">
        <v>163</v>
      </c>
      <c r="BI169" s="268">
        <v>196</v>
      </c>
      <c r="BJ169" s="150"/>
      <c r="BK169" s="267">
        <v>148</v>
      </c>
      <c r="BL169" s="267">
        <v>178</v>
      </c>
      <c r="BM169" s="267">
        <v>227</v>
      </c>
      <c r="BN169" s="267">
        <v>292</v>
      </c>
      <c r="BO169" s="268">
        <v>395</v>
      </c>
    </row>
    <row r="170" spans="2:67">
      <c r="B170" s="280" t="s">
        <v>181</v>
      </c>
      <c r="C170" s="281" t="s">
        <v>530</v>
      </c>
      <c r="D170" s="188">
        <v>445</v>
      </c>
      <c r="E170" s="114">
        <v>0</v>
      </c>
      <c r="F170" s="239" t="s">
        <v>195</v>
      </c>
      <c r="G170" s="315"/>
      <c r="I170" s="282">
        <v>39</v>
      </c>
      <c r="J170" s="282">
        <v>54</v>
      </c>
      <c r="K170" s="282">
        <v>267</v>
      </c>
      <c r="L170" s="282">
        <v>301</v>
      </c>
      <c r="M170" s="283">
        <v>334</v>
      </c>
      <c r="O170" s="282">
        <v>79</v>
      </c>
      <c r="P170" s="282">
        <v>124</v>
      </c>
      <c r="Q170" s="282">
        <v>379</v>
      </c>
      <c r="R170" s="282">
        <v>489</v>
      </c>
      <c r="S170" s="283">
        <v>636</v>
      </c>
      <c r="U170" s="282">
        <v>98</v>
      </c>
      <c r="V170" s="282">
        <v>118</v>
      </c>
      <c r="W170" s="282">
        <v>141</v>
      </c>
      <c r="X170" s="282">
        <v>158</v>
      </c>
      <c r="Y170" s="283">
        <v>191</v>
      </c>
      <c r="AA170" s="282">
        <v>143</v>
      </c>
      <c r="AB170" s="282">
        <v>173</v>
      </c>
      <c r="AC170" s="282">
        <v>222</v>
      </c>
      <c r="AD170" s="282">
        <v>287</v>
      </c>
      <c r="AE170" s="283">
        <v>399</v>
      </c>
      <c r="AG170" s="282">
        <v>0</v>
      </c>
      <c r="AH170" s="282">
        <v>0</v>
      </c>
      <c r="AI170" s="282">
        <v>0</v>
      </c>
      <c r="AJ170" s="282">
        <v>0</v>
      </c>
      <c r="AK170" s="282">
        <v>0</v>
      </c>
      <c r="AL170" s="282"/>
      <c r="AM170" s="282">
        <v>0</v>
      </c>
      <c r="AN170" s="282">
        <v>0</v>
      </c>
      <c r="AO170" s="282">
        <v>0</v>
      </c>
      <c r="AP170" s="282">
        <v>0</v>
      </c>
      <c r="AQ170" s="282">
        <v>0</v>
      </c>
      <c r="AR170" s="153"/>
      <c r="AS170" s="282">
        <v>346.77000000000004</v>
      </c>
      <c r="AT170" s="282">
        <v>326.77000000000004</v>
      </c>
      <c r="AU170" s="282">
        <v>303.76999999999992</v>
      </c>
      <c r="AV170" s="282">
        <v>286.77000000000004</v>
      </c>
      <c r="AW170" s="283">
        <v>253.77000000000004</v>
      </c>
      <c r="AX170" s="284"/>
      <c r="AY170" s="282">
        <v>301.7700000000001</v>
      </c>
      <c r="AZ170" s="282">
        <v>271.77000000000004</v>
      </c>
      <c r="BA170" s="282">
        <v>222.77000000000004</v>
      </c>
      <c r="BB170" s="282">
        <v>157.77000000000004</v>
      </c>
      <c r="BC170" s="283">
        <v>45.770000000000039</v>
      </c>
      <c r="BE170" s="282">
        <v>98</v>
      </c>
      <c r="BF170" s="282">
        <v>118</v>
      </c>
      <c r="BG170" s="282">
        <v>141</v>
      </c>
      <c r="BH170" s="282">
        <v>158</v>
      </c>
      <c r="BI170" s="283">
        <v>191</v>
      </c>
      <c r="BJ170" s="150"/>
      <c r="BK170" s="282">
        <v>143</v>
      </c>
      <c r="BL170" s="282">
        <v>203</v>
      </c>
      <c r="BM170" s="282">
        <v>272</v>
      </c>
      <c r="BN170" s="282">
        <v>327</v>
      </c>
      <c r="BO170" s="283">
        <v>459</v>
      </c>
    </row>
    <row r="171" spans="2:67">
      <c r="B171" s="273" t="s">
        <v>181</v>
      </c>
      <c r="C171" s="286" t="s">
        <v>522</v>
      </c>
      <c r="D171" s="189">
        <v>577</v>
      </c>
      <c r="E171" s="115">
        <v>0</v>
      </c>
      <c r="F171" s="237" t="s">
        <v>195</v>
      </c>
      <c r="G171" s="314"/>
      <c r="I171" s="267">
        <v>39</v>
      </c>
      <c r="J171" s="267">
        <v>54</v>
      </c>
      <c r="K171" s="267">
        <v>184</v>
      </c>
      <c r="L171" s="267">
        <v>218</v>
      </c>
      <c r="M171" s="268">
        <v>251</v>
      </c>
      <c r="O171" s="267">
        <v>79</v>
      </c>
      <c r="P171" s="267">
        <v>124</v>
      </c>
      <c r="Q171" s="267">
        <v>296</v>
      </c>
      <c r="R171" s="267">
        <v>406</v>
      </c>
      <c r="S171" s="268">
        <v>553</v>
      </c>
      <c r="U171" s="267">
        <v>52</v>
      </c>
      <c r="V171" s="267">
        <v>72</v>
      </c>
      <c r="W171" s="267">
        <v>212</v>
      </c>
      <c r="X171" s="267">
        <v>229</v>
      </c>
      <c r="Y171" s="268">
        <v>262</v>
      </c>
      <c r="AA171" s="267">
        <v>97</v>
      </c>
      <c r="AB171" s="267">
        <v>127</v>
      </c>
      <c r="AC171" s="267">
        <v>293</v>
      </c>
      <c r="AD171" s="267">
        <v>358</v>
      </c>
      <c r="AE171" s="268">
        <v>470</v>
      </c>
      <c r="AG171" s="282">
        <v>0</v>
      </c>
      <c r="AH171" s="282">
        <v>0</v>
      </c>
      <c r="AI171" s="282">
        <v>0</v>
      </c>
      <c r="AJ171" s="282">
        <v>0</v>
      </c>
      <c r="AK171" s="282">
        <v>0</v>
      </c>
      <c r="AL171" s="282"/>
      <c r="AM171" s="282">
        <v>0</v>
      </c>
      <c r="AN171" s="282">
        <v>0</v>
      </c>
      <c r="AO171" s="282">
        <v>0</v>
      </c>
      <c r="AP171" s="282">
        <v>0</v>
      </c>
      <c r="AQ171" s="282">
        <v>0</v>
      </c>
      <c r="AR171" s="153"/>
      <c r="AS171" s="282">
        <v>525</v>
      </c>
      <c r="AT171" s="282">
        <v>505</v>
      </c>
      <c r="AU171" s="282">
        <v>365.33999999999992</v>
      </c>
      <c r="AV171" s="282">
        <v>348.34000000000003</v>
      </c>
      <c r="AW171" s="283">
        <v>315.34000000000003</v>
      </c>
      <c r="AX171" s="284"/>
      <c r="AY171" s="282">
        <v>480.00000000000006</v>
      </c>
      <c r="AZ171" s="282">
        <v>450</v>
      </c>
      <c r="BA171" s="282">
        <v>284.34000000000003</v>
      </c>
      <c r="BB171" s="282">
        <v>219.34000000000003</v>
      </c>
      <c r="BC171" s="283">
        <v>107.34000000000003</v>
      </c>
      <c r="BE171" s="267">
        <v>52</v>
      </c>
      <c r="BF171" s="267">
        <v>72</v>
      </c>
      <c r="BG171" s="267">
        <v>212</v>
      </c>
      <c r="BH171" s="267">
        <v>229</v>
      </c>
      <c r="BI171" s="268">
        <v>262</v>
      </c>
      <c r="BJ171" s="150"/>
      <c r="BK171" s="267">
        <v>97</v>
      </c>
      <c r="BL171" s="267">
        <v>157</v>
      </c>
      <c r="BM171" s="267">
        <v>343</v>
      </c>
      <c r="BN171" s="267">
        <v>398</v>
      </c>
      <c r="BO171" s="268">
        <v>530</v>
      </c>
    </row>
    <row r="172" spans="2:67">
      <c r="B172" s="280" t="s">
        <v>181</v>
      </c>
      <c r="C172" s="281" t="s">
        <v>451</v>
      </c>
      <c r="D172" s="188">
        <v>459</v>
      </c>
      <c r="E172" s="114">
        <v>0</v>
      </c>
      <c r="F172" s="239" t="s">
        <v>464</v>
      </c>
      <c r="G172" s="315"/>
      <c r="I172" s="282">
        <v>39</v>
      </c>
      <c r="J172" s="282">
        <v>54</v>
      </c>
      <c r="K172" s="282">
        <v>352</v>
      </c>
      <c r="L172" s="282">
        <v>386</v>
      </c>
      <c r="M172" s="283">
        <v>419</v>
      </c>
      <c r="O172" s="282">
        <v>79</v>
      </c>
      <c r="P172" s="282">
        <v>124</v>
      </c>
      <c r="Q172" s="282">
        <v>464</v>
      </c>
      <c r="R172" s="282">
        <v>574</v>
      </c>
      <c r="S172" s="283">
        <v>721</v>
      </c>
      <c r="U172" s="282">
        <v>243</v>
      </c>
      <c r="V172" s="282">
        <v>263</v>
      </c>
      <c r="W172" s="282">
        <v>286</v>
      </c>
      <c r="X172" s="282">
        <v>303</v>
      </c>
      <c r="Y172" s="283">
        <v>336</v>
      </c>
      <c r="AA172" s="282">
        <v>288</v>
      </c>
      <c r="AB172" s="282">
        <v>318</v>
      </c>
      <c r="AC172" s="282">
        <v>367</v>
      </c>
      <c r="AD172" s="282">
        <v>432</v>
      </c>
      <c r="AE172" s="283">
        <v>544</v>
      </c>
      <c r="AG172" s="282">
        <v>0</v>
      </c>
      <c r="AH172" s="282">
        <v>0</v>
      </c>
      <c r="AI172" s="282">
        <v>0</v>
      </c>
      <c r="AJ172" s="282">
        <v>0</v>
      </c>
      <c r="AK172" s="282">
        <v>0</v>
      </c>
      <c r="AL172" s="282"/>
      <c r="AM172" s="282">
        <v>0</v>
      </c>
      <c r="AN172" s="282">
        <v>0</v>
      </c>
      <c r="AO172" s="282">
        <v>0</v>
      </c>
      <c r="AP172" s="282">
        <v>0</v>
      </c>
      <c r="AQ172" s="282">
        <v>0</v>
      </c>
      <c r="AR172" s="153"/>
      <c r="AS172" s="282">
        <v>216.11</v>
      </c>
      <c r="AT172" s="282">
        <v>196.11</v>
      </c>
      <c r="AU172" s="282">
        <v>173.1099999999999</v>
      </c>
      <c r="AV172" s="282">
        <v>156.11000000000001</v>
      </c>
      <c r="AW172" s="283">
        <v>123.11000000000001</v>
      </c>
      <c r="AX172" s="284"/>
      <c r="AY172" s="282">
        <v>171.11000000000007</v>
      </c>
      <c r="AZ172" s="282">
        <v>141.11000000000001</v>
      </c>
      <c r="BA172" s="282">
        <v>92.110000000000014</v>
      </c>
      <c r="BB172" s="282">
        <v>27.110000000000014</v>
      </c>
      <c r="BC172" s="283">
        <v>-84.889999999999986</v>
      </c>
      <c r="BE172" s="282">
        <v>243</v>
      </c>
      <c r="BF172" s="282">
        <v>263</v>
      </c>
      <c r="BG172" s="282">
        <v>286</v>
      </c>
      <c r="BH172" s="282">
        <v>303</v>
      </c>
      <c r="BI172" s="283">
        <v>336</v>
      </c>
      <c r="BJ172" s="150"/>
      <c r="BK172" s="282">
        <v>288</v>
      </c>
      <c r="BL172" s="282">
        <v>318</v>
      </c>
      <c r="BM172" s="282">
        <v>449</v>
      </c>
      <c r="BN172" s="282">
        <v>432</v>
      </c>
      <c r="BO172" s="283">
        <v>544</v>
      </c>
    </row>
    <row r="173" spans="2:67">
      <c r="B173" s="273" t="s">
        <v>181</v>
      </c>
      <c r="C173" s="286" t="s">
        <v>559</v>
      </c>
      <c r="D173" s="189">
        <v>516</v>
      </c>
      <c r="E173" s="115">
        <v>0</v>
      </c>
      <c r="F173" s="237" t="s">
        <v>464</v>
      </c>
      <c r="G173" s="314"/>
      <c r="I173" s="267">
        <v>39</v>
      </c>
      <c r="J173" s="267">
        <v>54</v>
      </c>
      <c r="K173" s="267">
        <v>205</v>
      </c>
      <c r="L173" s="267">
        <v>239</v>
      </c>
      <c r="M173" s="268">
        <v>272</v>
      </c>
      <c r="O173" s="267">
        <v>79</v>
      </c>
      <c r="P173" s="267">
        <v>124</v>
      </c>
      <c r="Q173" s="267">
        <v>317</v>
      </c>
      <c r="R173" s="267">
        <v>427</v>
      </c>
      <c r="S173" s="268">
        <v>574</v>
      </c>
      <c r="U173" s="267">
        <v>218</v>
      </c>
      <c r="V173" s="267">
        <v>238</v>
      </c>
      <c r="W173" s="267">
        <v>261</v>
      </c>
      <c r="X173" s="267">
        <v>278</v>
      </c>
      <c r="Y173" s="268">
        <v>311</v>
      </c>
      <c r="AA173" s="267">
        <v>263</v>
      </c>
      <c r="AB173" s="267">
        <v>293</v>
      </c>
      <c r="AC173" s="267">
        <v>342</v>
      </c>
      <c r="AD173" s="267">
        <v>407</v>
      </c>
      <c r="AE173" s="268">
        <v>519</v>
      </c>
      <c r="AG173" s="282">
        <v>0</v>
      </c>
      <c r="AH173" s="282">
        <v>0</v>
      </c>
      <c r="AI173" s="282">
        <v>0</v>
      </c>
      <c r="AJ173" s="282">
        <v>0</v>
      </c>
      <c r="AK173" s="282">
        <v>0</v>
      </c>
      <c r="AL173" s="282"/>
      <c r="AM173" s="282">
        <v>0</v>
      </c>
      <c r="AN173" s="282">
        <v>0</v>
      </c>
      <c r="AO173" s="282">
        <v>0</v>
      </c>
      <c r="AP173" s="282">
        <v>0</v>
      </c>
      <c r="AQ173" s="282">
        <v>0</v>
      </c>
      <c r="AR173" s="153"/>
      <c r="AS173" s="282">
        <v>297.89999999999998</v>
      </c>
      <c r="AT173" s="282">
        <v>277.89999999999998</v>
      </c>
      <c r="AU173" s="282">
        <v>254.89999999999986</v>
      </c>
      <c r="AV173" s="282">
        <v>237.89999999999998</v>
      </c>
      <c r="AW173" s="283">
        <v>204.89999999999998</v>
      </c>
      <c r="AX173" s="284"/>
      <c r="AY173" s="282">
        <v>252.90000000000003</v>
      </c>
      <c r="AZ173" s="282">
        <v>222.89999999999998</v>
      </c>
      <c r="BA173" s="282">
        <v>173.89999999999998</v>
      </c>
      <c r="BB173" s="282">
        <v>108.89999999999998</v>
      </c>
      <c r="BC173" s="283">
        <v>-3.1000000000000227</v>
      </c>
      <c r="BE173" s="267">
        <v>218</v>
      </c>
      <c r="BF173" s="267">
        <v>238</v>
      </c>
      <c r="BG173" s="267">
        <v>261</v>
      </c>
      <c r="BH173" s="267">
        <v>278</v>
      </c>
      <c r="BI173" s="268">
        <v>311</v>
      </c>
      <c r="BJ173" s="150"/>
      <c r="BK173" s="267">
        <v>263</v>
      </c>
      <c r="BL173" s="267">
        <v>323</v>
      </c>
      <c r="BM173" s="267">
        <v>392</v>
      </c>
      <c r="BN173" s="267">
        <v>447</v>
      </c>
      <c r="BO173" s="268">
        <v>579</v>
      </c>
    </row>
    <row r="174" spans="2:67">
      <c r="B174" s="280" t="s">
        <v>181</v>
      </c>
      <c r="C174" s="281" t="s">
        <v>541</v>
      </c>
      <c r="D174" s="188">
        <v>647</v>
      </c>
      <c r="E174" s="114">
        <v>3.75</v>
      </c>
      <c r="F174" s="239" t="s">
        <v>191</v>
      </c>
      <c r="G174" s="315"/>
      <c r="I174" s="282">
        <v>83</v>
      </c>
      <c r="J174" s="282">
        <v>98</v>
      </c>
      <c r="K174" s="282">
        <v>122</v>
      </c>
      <c r="L174" s="282">
        <v>156</v>
      </c>
      <c r="M174" s="283">
        <v>189</v>
      </c>
      <c r="O174" s="282">
        <v>124</v>
      </c>
      <c r="P174" s="282">
        <v>168</v>
      </c>
      <c r="Q174" s="282">
        <v>235</v>
      </c>
      <c r="R174" s="282">
        <v>345</v>
      </c>
      <c r="S174" s="283">
        <v>352</v>
      </c>
      <c r="U174" s="282">
        <v>52</v>
      </c>
      <c r="V174" s="282">
        <v>299</v>
      </c>
      <c r="W174" s="282">
        <v>322</v>
      </c>
      <c r="X174" s="282">
        <v>339</v>
      </c>
      <c r="Y174" s="283">
        <v>372</v>
      </c>
      <c r="AA174" s="282">
        <v>97</v>
      </c>
      <c r="AB174" s="282">
        <v>354</v>
      </c>
      <c r="AC174" s="282">
        <v>403</v>
      </c>
      <c r="AD174" s="282">
        <v>468</v>
      </c>
      <c r="AE174" s="283">
        <v>580</v>
      </c>
      <c r="AG174" s="282">
        <v>0</v>
      </c>
      <c r="AH174" s="282">
        <v>0</v>
      </c>
      <c r="AI174" s="282">
        <v>0</v>
      </c>
      <c r="AJ174" s="282">
        <v>0</v>
      </c>
      <c r="AK174" s="282">
        <v>0</v>
      </c>
      <c r="AL174" s="282"/>
      <c r="AM174" s="282">
        <v>0</v>
      </c>
      <c r="AN174" s="282">
        <v>0</v>
      </c>
      <c r="AO174" s="282">
        <v>0</v>
      </c>
      <c r="AP174" s="282">
        <v>0</v>
      </c>
      <c r="AQ174" s="282">
        <v>0</v>
      </c>
      <c r="AR174" s="153"/>
      <c r="AS174" s="282">
        <v>595</v>
      </c>
      <c r="AT174" s="282">
        <v>348.11</v>
      </c>
      <c r="AU174" s="282">
        <v>325.1099999999999</v>
      </c>
      <c r="AV174" s="282">
        <v>308.11</v>
      </c>
      <c r="AW174" s="283">
        <v>275.11</v>
      </c>
      <c r="AX174" s="284"/>
      <c r="AY174" s="282">
        <v>550</v>
      </c>
      <c r="AZ174" s="282">
        <v>293.11</v>
      </c>
      <c r="BA174" s="282">
        <v>244.11</v>
      </c>
      <c r="BB174" s="282">
        <v>179.11</v>
      </c>
      <c r="BC174" s="283">
        <v>67.110000000000014</v>
      </c>
      <c r="BE174" s="282">
        <v>52</v>
      </c>
      <c r="BF174" s="282">
        <v>299</v>
      </c>
      <c r="BG174" s="282">
        <v>322</v>
      </c>
      <c r="BH174" s="282">
        <v>339</v>
      </c>
      <c r="BI174" s="283">
        <v>372</v>
      </c>
      <c r="BJ174" s="150"/>
      <c r="BK174" s="282">
        <v>97</v>
      </c>
      <c r="BL174" s="282">
        <v>384</v>
      </c>
      <c r="BM174" s="282">
        <v>453</v>
      </c>
      <c r="BN174" s="282">
        <v>508</v>
      </c>
      <c r="BO174" s="283">
        <v>640</v>
      </c>
    </row>
    <row r="175" spans="2:67">
      <c r="B175" s="273" t="s">
        <v>181</v>
      </c>
      <c r="C175" s="286" t="s">
        <v>430</v>
      </c>
      <c r="D175" s="189">
        <v>208</v>
      </c>
      <c r="E175" s="115">
        <v>3.75</v>
      </c>
      <c r="F175" s="237" t="s">
        <v>191</v>
      </c>
      <c r="G175" s="314"/>
      <c r="I175" s="267">
        <v>50</v>
      </c>
      <c r="J175" s="267">
        <v>65</v>
      </c>
      <c r="K175" s="267">
        <v>89</v>
      </c>
      <c r="L175" s="267">
        <v>123</v>
      </c>
      <c r="M175" s="268">
        <v>156</v>
      </c>
      <c r="O175" s="267">
        <v>91</v>
      </c>
      <c r="P175" s="267">
        <v>135</v>
      </c>
      <c r="Q175" s="267">
        <v>198</v>
      </c>
      <c r="R175" s="267">
        <v>248</v>
      </c>
      <c r="S175" s="268">
        <v>255</v>
      </c>
      <c r="U175" s="267">
        <v>87</v>
      </c>
      <c r="V175" s="267">
        <v>107</v>
      </c>
      <c r="W175" s="267">
        <v>130</v>
      </c>
      <c r="X175" s="267">
        <v>147</v>
      </c>
      <c r="Y175" s="268">
        <v>180</v>
      </c>
      <c r="AA175" s="267">
        <v>132</v>
      </c>
      <c r="AB175" s="267">
        <v>162</v>
      </c>
      <c r="AC175" s="267">
        <v>211</v>
      </c>
      <c r="AD175" s="267">
        <v>276</v>
      </c>
      <c r="AE175" s="268">
        <v>276</v>
      </c>
      <c r="AG175" s="282">
        <v>0</v>
      </c>
      <c r="AH175" s="282">
        <v>0</v>
      </c>
      <c r="AI175" s="282">
        <v>0</v>
      </c>
      <c r="AJ175" s="282">
        <v>0</v>
      </c>
      <c r="AK175" s="282">
        <v>0</v>
      </c>
      <c r="AL175" s="282"/>
      <c r="AM175" s="282">
        <v>0</v>
      </c>
      <c r="AN175" s="282">
        <v>0</v>
      </c>
      <c r="AO175" s="282">
        <v>0</v>
      </c>
      <c r="AP175" s="282">
        <v>0</v>
      </c>
      <c r="AQ175" s="282">
        <v>0</v>
      </c>
      <c r="AR175" s="153"/>
      <c r="AS175" s="282">
        <v>121.21000000000001</v>
      </c>
      <c r="AT175" s="282">
        <v>101.21000000000001</v>
      </c>
      <c r="AU175" s="282">
        <v>78.209999999999894</v>
      </c>
      <c r="AV175" s="282">
        <v>61.210000000000008</v>
      </c>
      <c r="AW175" s="283">
        <v>28.210000000000008</v>
      </c>
      <c r="AX175" s="284"/>
      <c r="AY175" s="282">
        <v>76.210000000000065</v>
      </c>
      <c r="AZ175" s="282">
        <v>46.210000000000008</v>
      </c>
      <c r="BA175" s="282">
        <v>-2.789999999999992</v>
      </c>
      <c r="BB175" s="282">
        <v>-67.789999999999992</v>
      </c>
      <c r="BC175" s="283">
        <v>-67.789999999999964</v>
      </c>
      <c r="BE175" s="267">
        <v>87</v>
      </c>
      <c r="BF175" s="267">
        <v>107</v>
      </c>
      <c r="BG175" s="267">
        <v>130</v>
      </c>
      <c r="BH175" s="267">
        <v>147</v>
      </c>
      <c r="BI175" s="268">
        <v>180</v>
      </c>
      <c r="BJ175" s="150"/>
      <c r="BK175" s="267">
        <v>132</v>
      </c>
      <c r="BL175" s="267">
        <v>162</v>
      </c>
      <c r="BM175" s="267">
        <v>211</v>
      </c>
      <c r="BN175" s="267">
        <v>276</v>
      </c>
      <c r="BO175" s="268">
        <v>276</v>
      </c>
    </row>
    <row r="176" spans="2:67">
      <c r="B176" s="280" t="s">
        <v>181</v>
      </c>
      <c r="C176" s="281" t="s">
        <v>452</v>
      </c>
      <c r="D176" s="188">
        <v>174</v>
      </c>
      <c r="E176" s="114">
        <v>3.25</v>
      </c>
      <c r="F176" s="239" t="s">
        <v>190</v>
      </c>
      <c r="G176" s="315"/>
      <c r="I176" s="282">
        <v>74</v>
      </c>
      <c r="J176" s="282">
        <v>89</v>
      </c>
      <c r="K176" s="282">
        <v>113</v>
      </c>
      <c r="L176" s="282">
        <v>147</v>
      </c>
      <c r="M176" s="283">
        <v>180</v>
      </c>
      <c r="O176" s="282">
        <v>114</v>
      </c>
      <c r="P176" s="282">
        <v>158</v>
      </c>
      <c r="Q176" s="282">
        <v>225</v>
      </c>
      <c r="R176" s="282">
        <v>301</v>
      </c>
      <c r="S176" s="283">
        <v>307</v>
      </c>
      <c r="U176" s="282">
        <v>113</v>
      </c>
      <c r="V176" s="282">
        <v>133</v>
      </c>
      <c r="W176" s="282">
        <v>156</v>
      </c>
      <c r="X176" s="282">
        <v>173</v>
      </c>
      <c r="Y176" s="283">
        <v>206</v>
      </c>
      <c r="AA176" s="282">
        <v>158</v>
      </c>
      <c r="AB176" s="282">
        <v>188</v>
      </c>
      <c r="AC176" s="282">
        <v>237</v>
      </c>
      <c r="AD176" s="282">
        <v>231</v>
      </c>
      <c r="AE176" s="283">
        <v>231</v>
      </c>
      <c r="AG176" s="282">
        <v>0</v>
      </c>
      <c r="AH176" s="282">
        <v>0</v>
      </c>
      <c r="AI176" s="282">
        <v>0</v>
      </c>
      <c r="AJ176" s="282">
        <v>0</v>
      </c>
      <c r="AK176" s="282">
        <v>0</v>
      </c>
      <c r="AL176" s="282"/>
      <c r="AM176" s="282">
        <v>0</v>
      </c>
      <c r="AN176" s="282">
        <v>0</v>
      </c>
      <c r="AO176" s="282">
        <v>0</v>
      </c>
      <c r="AP176" s="282">
        <v>0</v>
      </c>
      <c r="AQ176" s="282">
        <v>0</v>
      </c>
      <c r="AR176" s="153"/>
      <c r="AS176" s="282">
        <v>60.650000000000006</v>
      </c>
      <c r="AT176" s="282">
        <v>40.650000000000006</v>
      </c>
      <c r="AU176" s="282">
        <v>17.649999999999892</v>
      </c>
      <c r="AV176" s="282">
        <v>0.65000000000000568</v>
      </c>
      <c r="AW176" s="283">
        <v>-32.349999999999994</v>
      </c>
      <c r="AX176" s="284"/>
      <c r="AY176" s="282">
        <v>15.650000000000063</v>
      </c>
      <c r="AZ176" s="282">
        <v>-14.349999999999994</v>
      </c>
      <c r="BA176" s="282">
        <v>-63.349999999999994</v>
      </c>
      <c r="BB176" s="282">
        <v>-57.325000000000003</v>
      </c>
      <c r="BC176" s="283">
        <v>-57.324999999999989</v>
      </c>
      <c r="BE176" s="282">
        <v>113</v>
      </c>
      <c r="BF176" s="282">
        <v>133</v>
      </c>
      <c r="BG176" s="282">
        <v>156</v>
      </c>
      <c r="BH176" s="282">
        <v>173</v>
      </c>
      <c r="BI176" s="283">
        <v>206</v>
      </c>
      <c r="BJ176" s="150"/>
      <c r="BK176" s="282">
        <v>158</v>
      </c>
      <c r="BL176" s="282">
        <v>188</v>
      </c>
      <c r="BM176" s="282">
        <v>237</v>
      </c>
      <c r="BN176" s="282">
        <v>231</v>
      </c>
      <c r="BO176" s="283">
        <v>231</v>
      </c>
    </row>
    <row r="177" spans="2:67">
      <c r="B177" s="273" t="s">
        <v>181</v>
      </c>
      <c r="C177" s="286" t="s">
        <v>542</v>
      </c>
      <c r="D177" s="115">
        <v>205</v>
      </c>
      <c r="E177" s="115">
        <v>3.25</v>
      </c>
      <c r="F177" s="237" t="s">
        <v>190</v>
      </c>
      <c r="G177" s="314"/>
      <c r="I177" s="267">
        <v>39</v>
      </c>
      <c r="J177" s="267">
        <v>54</v>
      </c>
      <c r="K177" s="267">
        <v>78</v>
      </c>
      <c r="L177" s="267">
        <v>112</v>
      </c>
      <c r="M177" s="268">
        <v>145</v>
      </c>
      <c r="O177" s="267">
        <v>79</v>
      </c>
      <c r="P177" s="267">
        <v>124</v>
      </c>
      <c r="Q177" s="267">
        <v>190</v>
      </c>
      <c r="R177" s="267">
        <v>273</v>
      </c>
      <c r="S177" s="268">
        <v>280</v>
      </c>
      <c r="U177" s="267">
        <v>137</v>
      </c>
      <c r="V177" s="267">
        <v>157</v>
      </c>
      <c r="W177" s="267">
        <v>180</v>
      </c>
      <c r="X177" s="267">
        <v>197</v>
      </c>
      <c r="Y177" s="268">
        <v>230</v>
      </c>
      <c r="AA177" s="267">
        <v>182</v>
      </c>
      <c r="AB177" s="267">
        <v>212</v>
      </c>
      <c r="AC177" s="267">
        <v>261</v>
      </c>
      <c r="AD177" s="267">
        <v>266</v>
      </c>
      <c r="AE177" s="268">
        <v>266</v>
      </c>
      <c r="AG177" s="282">
        <v>0</v>
      </c>
      <c r="AH177" s="282">
        <v>0</v>
      </c>
      <c r="AI177" s="282">
        <v>0</v>
      </c>
      <c r="AJ177" s="282">
        <v>0</v>
      </c>
      <c r="AK177" s="282">
        <v>0</v>
      </c>
      <c r="AL177" s="282"/>
      <c r="AM177" s="282">
        <v>0</v>
      </c>
      <c r="AN177" s="282">
        <v>8</v>
      </c>
      <c r="AO177" s="282">
        <v>0</v>
      </c>
      <c r="AP177" s="282">
        <v>14</v>
      </c>
      <c r="AQ177" s="282">
        <v>14</v>
      </c>
      <c r="AR177" s="153"/>
      <c r="AS177" s="282">
        <v>68.25</v>
      </c>
      <c r="AT177" s="282">
        <v>48.25</v>
      </c>
      <c r="AU177" s="282">
        <v>25.249999999999886</v>
      </c>
      <c r="AV177" s="282">
        <v>8.25</v>
      </c>
      <c r="AW177" s="283">
        <v>-24.75</v>
      </c>
      <c r="AX177" s="284"/>
      <c r="AY177" s="282">
        <v>23.250000000000057</v>
      </c>
      <c r="AZ177" s="282">
        <v>-6.75</v>
      </c>
      <c r="BA177" s="282">
        <v>-55.75</v>
      </c>
      <c r="BB177" s="282">
        <v>-61.125</v>
      </c>
      <c r="BC177" s="283">
        <v>-61.125</v>
      </c>
      <c r="BE177" s="267">
        <v>137</v>
      </c>
      <c r="BF177" s="267">
        <v>157</v>
      </c>
      <c r="BG177" s="267">
        <v>180</v>
      </c>
      <c r="BH177" s="267">
        <v>197</v>
      </c>
      <c r="BI177" s="268">
        <v>230</v>
      </c>
      <c r="BJ177" s="150"/>
      <c r="BK177" s="267">
        <v>182</v>
      </c>
      <c r="BL177" s="267">
        <v>212</v>
      </c>
      <c r="BM177" s="267">
        <v>261</v>
      </c>
      <c r="BN177" s="267">
        <v>266</v>
      </c>
      <c r="BO177" s="268">
        <v>266</v>
      </c>
    </row>
    <row r="178" spans="2:67">
      <c r="B178" s="280" t="s">
        <v>181</v>
      </c>
      <c r="C178" s="281" t="s">
        <v>468</v>
      </c>
      <c r="D178" s="188">
        <v>326</v>
      </c>
      <c r="E178" s="114">
        <v>3.25</v>
      </c>
      <c r="F178" s="239" t="s">
        <v>190</v>
      </c>
      <c r="G178" s="315"/>
      <c r="I178" s="282">
        <v>92</v>
      </c>
      <c r="J178" s="282">
        <v>107</v>
      </c>
      <c r="K178" s="282">
        <v>131</v>
      </c>
      <c r="L178" s="282">
        <v>165</v>
      </c>
      <c r="M178" s="283">
        <v>198</v>
      </c>
      <c r="O178" s="282">
        <v>132</v>
      </c>
      <c r="P178" s="282">
        <v>176</v>
      </c>
      <c r="Q178" s="282">
        <v>243</v>
      </c>
      <c r="R178" s="282">
        <v>353</v>
      </c>
      <c r="S178" s="283">
        <v>409</v>
      </c>
      <c r="U178" s="282">
        <v>198</v>
      </c>
      <c r="V178" s="282">
        <v>218</v>
      </c>
      <c r="W178" s="282">
        <v>241</v>
      </c>
      <c r="X178" s="282">
        <v>258</v>
      </c>
      <c r="Y178" s="283">
        <v>291</v>
      </c>
      <c r="AA178" s="282">
        <v>243</v>
      </c>
      <c r="AB178" s="282">
        <v>273</v>
      </c>
      <c r="AC178" s="282">
        <v>322</v>
      </c>
      <c r="AD178" s="282">
        <v>387</v>
      </c>
      <c r="AE178" s="283">
        <v>389</v>
      </c>
      <c r="AG178" s="282">
        <v>-10</v>
      </c>
      <c r="AH178" s="282">
        <v>-10</v>
      </c>
      <c r="AI178" s="282">
        <v>-10</v>
      </c>
      <c r="AJ178" s="282">
        <v>-10</v>
      </c>
      <c r="AK178" s="282">
        <v>-10</v>
      </c>
      <c r="AL178" s="282"/>
      <c r="AM178" s="282">
        <v>-10</v>
      </c>
      <c r="AN178" s="282">
        <v>-10</v>
      </c>
      <c r="AO178" s="282">
        <v>-10</v>
      </c>
      <c r="AP178" s="282">
        <v>-10</v>
      </c>
      <c r="AQ178" s="282">
        <v>5</v>
      </c>
      <c r="AR178" s="153"/>
      <c r="AS178" s="282">
        <v>128.36000000000001</v>
      </c>
      <c r="AT178" s="282">
        <v>108.36000000000001</v>
      </c>
      <c r="AU178" s="282">
        <v>85.3599999999999</v>
      </c>
      <c r="AV178" s="282">
        <v>68.360000000000014</v>
      </c>
      <c r="AW178" s="283">
        <v>35.360000000000014</v>
      </c>
      <c r="AX178" s="284"/>
      <c r="AY178" s="282">
        <v>83.36000000000007</v>
      </c>
      <c r="AZ178" s="282">
        <v>53.360000000000014</v>
      </c>
      <c r="BA178" s="282">
        <v>4.3600000000000136</v>
      </c>
      <c r="BB178" s="282">
        <v>-60.639999999999986</v>
      </c>
      <c r="BC178" s="283">
        <v>-63.180000000000007</v>
      </c>
      <c r="BE178" s="282">
        <v>198</v>
      </c>
      <c r="BF178" s="282">
        <v>218</v>
      </c>
      <c r="BG178" s="282">
        <v>241</v>
      </c>
      <c r="BH178" s="282">
        <v>258</v>
      </c>
      <c r="BI178" s="283">
        <v>291</v>
      </c>
      <c r="BJ178" s="150"/>
      <c r="BK178" s="282">
        <v>243</v>
      </c>
      <c r="BL178" s="282">
        <v>273</v>
      </c>
      <c r="BM178" s="282">
        <v>361</v>
      </c>
      <c r="BN178" s="282">
        <v>387</v>
      </c>
      <c r="BO178" s="283">
        <v>389</v>
      </c>
    </row>
    <row r="179" spans="2:67">
      <c r="B179" s="285" t="s">
        <v>181</v>
      </c>
      <c r="C179" s="286" t="s">
        <v>469</v>
      </c>
      <c r="D179" s="189">
        <v>420</v>
      </c>
      <c r="E179" s="115">
        <v>3.25</v>
      </c>
      <c r="F179" s="237" t="s">
        <v>190</v>
      </c>
      <c r="G179" s="314"/>
      <c r="I179" s="267">
        <v>94</v>
      </c>
      <c r="J179" s="267">
        <v>109</v>
      </c>
      <c r="K179" s="267">
        <v>133</v>
      </c>
      <c r="L179" s="267">
        <v>167</v>
      </c>
      <c r="M179" s="268">
        <v>200</v>
      </c>
      <c r="O179" s="267">
        <v>134</v>
      </c>
      <c r="P179" s="267">
        <v>179</v>
      </c>
      <c r="Q179" s="267">
        <v>245</v>
      </c>
      <c r="R179" s="267">
        <v>355</v>
      </c>
      <c r="S179" s="268">
        <v>464</v>
      </c>
      <c r="U179" s="267">
        <v>209</v>
      </c>
      <c r="V179" s="267">
        <v>229</v>
      </c>
      <c r="W179" s="267">
        <v>252</v>
      </c>
      <c r="X179" s="267">
        <v>269</v>
      </c>
      <c r="Y179" s="268">
        <v>302</v>
      </c>
      <c r="AA179" s="267">
        <v>254</v>
      </c>
      <c r="AB179" s="267">
        <v>284</v>
      </c>
      <c r="AC179" s="267">
        <v>333</v>
      </c>
      <c r="AD179" s="267">
        <v>398</v>
      </c>
      <c r="AE179" s="268">
        <v>510</v>
      </c>
      <c r="AG179" s="282">
        <v>0</v>
      </c>
      <c r="AH179" s="282">
        <v>0</v>
      </c>
      <c r="AI179" s="282">
        <v>0</v>
      </c>
      <c r="AJ179" s="282">
        <v>0</v>
      </c>
      <c r="AK179" s="282">
        <v>0</v>
      </c>
      <c r="AL179" s="282"/>
      <c r="AM179" s="282">
        <v>0</v>
      </c>
      <c r="AN179" s="282">
        <v>0</v>
      </c>
      <c r="AO179" s="282">
        <v>0</v>
      </c>
      <c r="AP179" s="282">
        <v>0</v>
      </c>
      <c r="AQ179" s="282">
        <v>0</v>
      </c>
      <c r="AR179" s="153"/>
      <c r="AS179" s="282">
        <v>211</v>
      </c>
      <c r="AT179" s="282">
        <v>191</v>
      </c>
      <c r="AU179" s="282">
        <v>167.99999999999989</v>
      </c>
      <c r="AV179" s="282">
        <v>151</v>
      </c>
      <c r="AW179" s="283">
        <v>118</v>
      </c>
      <c r="AX179" s="284"/>
      <c r="AY179" s="282">
        <v>166.00000000000006</v>
      </c>
      <c r="AZ179" s="282">
        <v>136</v>
      </c>
      <c r="BA179" s="282">
        <v>87</v>
      </c>
      <c r="BB179" s="282">
        <v>22</v>
      </c>
      <c r="BC179" s="283">
        <v>-90</v>
      </c>
      <c r="BE179" s="267">
        <v>209</v>
      </c>
      <c r="BF179" s="267">
        <v>229</v>
      </c>
      <c r="BG179" s="267">
        <v>252</v>
      </c>
      <c r="BH179" s="267">
        <v>269</v>
      </c>
      <c r="BI179" s="268">
        <v>302</v>
      </c>
      <c r="BJ179" s="150"/>
      <c r="BK179" s="267">
        <v>254</v>
      </c>
      <c r="BL179" s="267">
        <v>284</v>
      </c>
      <c r="BM179" s="267">
        <v>333</v>
      </c>
      <c r="BN179" s="267">
        <v>398</v>
      </c>
      <c r="BO179" s="268">
        <v>510</v>
      </c>
    </row>
    <row r="180" spans="2:67">
      <c r="B180" s="280" t="s">
        <v>181</v>
      </c>
      <c r="C180" s="118" t="s">
        <v>637</v>
      </c>
      <c r="D180" s="188">
        <v>323</v>
      </c>
      <c r="E180" s="114">
        <v>3.25</v>
      </c>
      <c r="F180" s="239" t="s">
        <v>190</v>
      </c>
      <c r="G180" s="315"/>
      <c r="I180" s="282">
        <v>114</v>
      </c>
      <c r="J180" s="282">
        <v>129</v>
      </c>
      <c r="K180" s="282">
        <v>153</v>
      </c>
      <c r="L180" s="282">
        <v>187</v>
      </c>
      <c r="M180" s="283">
        <v>220</v>
      </c>
      <c r="O180" s="282">
        <v>155</v>
      </c>
      <c r="P180" s="282">
        <v>199</v>
      </c>
      <c r="Q180" s="282">
        <v>265</v>
      </c>
      <c r="R180" s="282">
        <v>375</v>
      </c>
      <c r="S180" s="283">
        <v>451</v>
      </c>
      <c r="U180" s="282">
        <v>163</v>
      </c>
      <c r="V180" s="282">
        <v>183</v>
      </c>
      <c r="W180" s="282">
        <v>206</v>
      </c>
      <c r="X180" s="282">
        <v>223</v>
      </c>
      <c r="Y180" s="283">
        <v>256</v>
      </c>
      <c r="AA180" s="282">
        <v>208</v>
      </c>
      <c r="AB180" s="282">
        <v>238</v>
      </c>
      <c r="AC180" s="282">
        <v>287</v>
      </c>
      <c r="AD180" s="282">
        <v>352</v>
      </c>
      <c r="AE180" s="283">
        <v>402</v>
      </c>
      <c r="AG180" s="282" t="e">
        <v>#N/A</v>
      </c>
      <c r="AH180" s="282" t="e">
        <v>#N/A</v>
      </c>
      <c r="AI180" s="282" t="e">
        <v>#N/A</v>
      </c>
      <c r="AJ180" s="282" t="e">
        <v>#N/A</v>
      </c>
      <c r="AK180" s="282" t="e">
        <v>#N/A</v>
      </c>
      <c r="AL180" s="282"/>
      <c r="AM180" s="282" t="e">
        <v>#N/A</v>
      </c>
      <c r="AN180" s="282" t="e">
        <v>#N/A</v>
      </c>
      <c r="AO180" s="282" t="e">
        <v>#N/A</v>
      </c>
      <c r="AP180" s="282" t="e">
        <v>#N/A</v>
      </c>
      <c r="AQ180" s="282" t="e">
        <v>#N/A</v>
      </c>
      <c r="AR180" s="153"/>
      <c r="AS180" s="282">
        <v>159.65</v>
      </c>
      <c r="AT180" s="282">
        <v>139.65</v>
      </c>
      <c r="AU180" s="282">
        <v>116.64999999999989</v>
      </c>
      <c r="AV180" s="282">
        <v>99.65</v>
      </c>
      <c r="AW180" s="283">
        <v>66.650000000000006</v>
      </c>
      <c r="AX180" s="284"/>
      <c r="AY180" s="282">
        <v>114.65000000000006</v>
      </c>
      <c r="AZ180" s="282">
        <v>84.65</v>
      </c>
      <c r="BA180" s="282">
        <v>35.650000000000006</v>
      </c>
      <c r="BB180" s="282">
        <v>-29.349999999999994</v>
      </c>
      <c r="BC180" s="283">
        <v>-78.825000000000017</v>
      </c>
      <c r="BE180" s="282">
        <v>163</v>
      </c>
      <c r="BF180" s="282">
        <v>183</v>
      </c>
      <c r="BG180" s="282">
        <v>206</v>
      </c>
      <c r="BH180" s="282">
        <v>223</v>
      </c>
      <c r="BI180" s="283">
        <v>256</v>
      </c>
      <c r="BJ180" s="150"/>
      <c r="BK180" s="282">
        <v>208</v>
      </c>
      <c r="BL180" s="282">
        <v>238</v>
      </c>
      <c r="BM180" s="282">
        <v>287</v>
      </c>
      <c r="BN180" s="282">
        <v>352</v>
      </c>
      <c r="BO180" s="283">
        <v>402</v>
      </c>
    </row>
    <row r="181" spans="2:67">
      <c r="B181" s="285" t="s">
        <v>181</v>
      </c>
      <c r="C181" s="286" t="s">
        <v>624</v>
      </c>
      <c r="D181" s="189">
        <v>415</v>
      </c>
      <c r="E181" s="115">
        <v>3.25</v>
      </c>
      <c r="F181" s="237" t="s">
        <v>190</v>
      </c>
      <c r="G181" s="314"/>
      <c r="I181" s="267">
        <v>39</v>
      </c>
      <c r="J181" s="267">
        <v>54</v>
      </c>
      <c r="K181" s="267">
        <v>78</v>
      </c>
      <c r="L181" s="267">
        <v>112</v>
      </c>
      <c r="M181" s="268">
        <v>145</v>
      </c>
      <c r="O181" s="267">
        <v>79</v>
      </c>
      <c r="P181" s="267">
        <v>124</v>
      </c>
      <c r="Q181" s="267">
        <v>190</v>
      </c>
      <c r="R181" s="267">
        <v>297</v>
      </c>
      <c r="S181" s="268">
        <v>293</v>
      </c>
      <c r="U181" s="267">
        <v>169</v>
      </c>
      <c r="V181" s="267">
        <v>189</v>
      </c>
      <c r="W181" s="267">
        <v>212</v>
      </c>
      <c r="X181" s="267">
        <v>229</v>
      </c>
      <c r="Y181" s="268">
        <v>262</v>
      </c>
      <c r="AA181" s="267">
        <v>214</v>
      </c>
      <c r="AB181" s="267">
        <v>244</v>
      </c>
      <c r="AC181" s="267">
        <v>293</v>
      </c>
      <c r="AD181" s="267">
        <v>358</v>
      </c>
      <c r="AE181" s="268">
        <v>470</v>
      </c>
      <c r="AG181" s="282">
        <v>0</v>
      </c>
      <c r="AH181" s="282">
        <v>0</v>
      </c>
      <c r="AI181" s="282">
        <v>0</v>
      </c>
      <c r="AJ181" s="282">
        <v>0</v>
      </c>
      <c r="AK181" s="282">
        <v>0</v>
      </c>
      <c r="AL181" s="282"/>
      <c r="AM181" s="282">
        <v>0</v>
      </c>
      <c r="AN181" s="282">
        <v>0</v>
      </c>
      <c r="AO181" s="282">
        <v>0</v>
      </c>
      <c r="AP181" s="282">
        <v>0</v>
      </c>
      <c r="AQ181" s="282">
        <v>0</v>
      </c>
      <c r="AR181" s="153"/>
      <c r="AS181" s="282">
        <v>246.06</v>
      </c>
      <c r="AT181" s="282">
        <v>226.06</v>
      </c>
      <c r="AU181" s="282">
        <v>203.05999999999989</v>
      </c>
      <c r="AV181" s="282">
        <v>186.06</v>
      </c>
      <c r="AW181" s="283">
        <v>153.06</v>
      </c>
      <c r="AX181" s="284"/>
      <c r="AY181" s="282">
        <v>201.06000000000006</v>
      </c>
      <c r="AZ181" s="282">
        <v>171.06</v>
      </c>
      <c r="BA181" s="282">
        <v>122.06</v>
      </c>
      <c r="BB181" s="282">
        <v>57.06</v>
      </c>
      <c r="BC181" s="283">
        <v>-54.94</v>
      </c>
      <c r="BE181" s="267">
        <v>169</v>
      </c>
      <c r="BF181" s="267">
        <v>189</v>
      </c>
      <c r="BG181" s="267">
        <v>212</v>
      </c>
      <c r="BH181" s="267">
        <v>229</v>
      </c>
      <c r="BI181" s="268">
        <v>262</v>
      </c>
      <c r="BJ181" s="150"/>
      <c r="BK181" s="267">
        <v>214</v>
      </c>
      <c r="BL181" s="267">
        <v>252</v>
      </c>
      <c r="BM181" s="267">
        <v>301</v>
      </c>
      <c r="BN181" s="267">
        <v>366</v>
      </c>
      <c r="BO181" s="268">
        <v>478</v>
      </c>
    </row>
    <row r="182" spans="2:67">
      <c r="B182" s="280" t="s">
        <v>181</v>
      </c>
      <c r="C182" s="281" t="s">
        <v>625</v>
      </c>
      <c r="D182" s="188">
        <v>516</v>
      </c>
      <c r="E182" s="114">
        <v>3.25</v>
      </c>
      <c r="F182" s="239" t="s">
        <v>190</v>
      </c>
      <c r="G182" s="315"/>
      <c r="I182" s="282">
        <v>39</v>
      </c>
      <c r="J182" s="282">
        <v>54</v>
      </c>
      <c r="K182" s="282">
        <v>78</v>
      </c>
      <c r="L182" s="282">
        <v>112</v>
      </c>
      <c r="M182" s="283">
        <v>145</v>
      </c>
      <c r="O182" s="282">
        <v>79</v>
      </c>
      <c r="P182" s="282">
        <v>124</v>
      </c>
      <c r="Q182" s="282">
        <v>190</v>
      </c>
      <c r="R182" s="282">
        <v>300</v>
      </c>
      <c r="S182" s="283">
        <v>296</v>
      </c>
      <c r="U182" s="282">
        <v>199</v>
      </c>
      <c r="V182" s="282">
        <v>219</v>
      </c>
      <c r="W182" s="282">
        <v>242</v>
      </c>
      <c r="X182" s="282">
        <v>259</v>
      </c>
      <c r="Y182" s="283">
        <v>292</v>
      </c>
      <c r="AA182" s="282">
        <v>244</v>
      </c>
      <c r="AB182" s="282">
        <v>274</v>
      </c>
      <c r="AC182" s="282">
        <v>323</v>
      </c>
      <c r="AD182" s="282">
        <v>388</v>
      </c>
      <c r="AE182" s="283">
        <v>500</v>
      </c>
      <c r="AG182" s="282">
        <v>-10</v>
      </c>
      <c r="AH182" s="282">
        <v>-10</v>
      </c>
      <c r="AI182" s="282">
        <v>-10</v>
      </c>
      <c r="AJ182" s="282">
        <v>-10</v>
      </c>
      <c r="AK182" s="282">
        <v>-10</v>
      </c>
      <c r="AL182" s="282"/>
      <c r="AM182" s="282">
        <v>-10</v>
      </c>
      <c r="AN182" s="282">
        <v>-10</v>
      </c>
      <c r="AO182" s="282">
        <v>-10</v>
      </c>
      <c r="AP182" s="282">
        <v>-10</v>
      </c>
      <c r="AQ182" s="282">
        <v>-10</v>
      </c>
      <c r="AR182" s="153"/>
      <c r="AS182" s="282">
        <v>317.45999999999998</v>
      </c>
      <c r="AT182" s="282">
        <v>297.45999999999998</v>
      </c>
      <c r="AU182" s="282">
        <v>274.45999999999987</v>
      </c>
      <c r="AV182" s="282">
        <v>257.45999999999998</v>
      </c>
      <c r="AW182" s="283">
        <v>224.45999999999998</v>
      </c>
      <c r="AX182" s="284"/>
      <c r="AY182" s="282">
        <v>272.46000000000004</v>
      </c>
      <c r="AZ182" s="282">
        <v>242.45999999999998</v>
      </c>
      <c r="BA182" s="282">
        <v>193.45999999999998</v>
      </c>
      <c r="BB182" s="282">
        <v>128.45999999999998</v>
      </c>
      <c r="BC182" s="283">
        <v>16.45999999999998</v>
      </c>
      <c r="BE182" s="282">
        <v>199</v>
      </c>
      <c r="BF182" s="282">
        <v>219</v>
      </c>
      <c r="BG182" s="282">
        <v>242</v>
      </c>
      <c r="BH182" s="282">
        <v>259</v>
      </c>
      <c r="BI182" s="283">
        <v>292</v>
      </c>
      <c r="BJ182" s="150"/>
      <c r="BK182" s="282">
        <v>244</v>
      </c>
      <c r="BL182" s="282">
        <v>304</v>
      </c>
      <c r="BM182" s="282">
        <v>373</v>
      </c>
      <c r="BN182" s="282">
        <v>428</v>
      </c>
      <c r="BO182" s="283">
        <v>560</v>
      </c>
    </row>
    <row r="183" spans="2:67">
      <c r="B183" s="285" t="s">
        <v>181</v>
      </c>
      <c r="C183" s="286" t="s">
        <v>543</v>
      </c>
      <c r="D183" s="189">
        <v>327</v>
      </c>
      <c r="E183" s="115">
        <v>3.75</v>
      </c>
      <c r="F183" s="237" t="s">
        <v>191</v>
      </c>
      <c r="G183" s="314"/>
      <c r="I183" s="267">
        <v>39</v>
      </c>
      <c r="J183" s="267">
        <v>54</v>
      </c>
      <c r="K183" s="267">
        <v>169</v>
      </c>
      <c r="L183" s="267">
        <v>203</v>
      </c>
      <c r="M183" s="268">
        <v>236</v>
      </c>
      <c r="O183" s="267">
        <v>79</v>
      </c>
      <c r="P183" s="267">
        <v>124</v>
      </c>
      <c r="Q183" s="267">
        <v>282</v>
      </c>
      <c r="R183" s="267">
        <v>392</v>
      </c>
      <c r="S183" s="268">
        <v>538</v>
      </c>
      <c r="U183" s="267">
        <v>138</v>
      </c>
      <c r="V183" s="267">
        <v>158</v>
      </c>
      <c r="W183" s="267">
        <v>181</v>
      </c>
      <c r="X183" s="267">
        <v>198</v>
      </c>
      <c r="Y183" s="268">
        <v>231</v>
      </c>
      <c r="AA183" s="267">
        <v>183</v>
      </c>
      <c r="AB183" s="267">
        <v>213</v>
      </c>
      <c r="AC183" s="267">
        <v>262</v>
      </c>
      <c r="AD183" s="267">
        <v>327</v>
      </c>
      <c r="AE183" s="268">
        <v>420</v>
      </c>
      <c r="AG183" s="282">
        <v>0</v>
      </c>
      <c r="AH183" s="282">
        <v>0</v>
      </c>
      <c r="AI183" s="282">
        <v>0</v>
      </c>
      <c r="AJ183" s="282">
        <v>0</v>
      </c>
      <c r="AK183" s="282">
        <v>0</v>
      </c>
      <c r="AL183" s="282"/>
      <c r="AM183" s="282">
        <v>0</v>
      </c>
      <c r="AN183" s="282">
        <v>0</v>
      </c>
      <c r="AO183" s="282">
        <v>0</v>
      </c>
      <c r="AP183" s="282">
        <v>0</v>
      </c>
      <c r="AQ183" s="282">
        <v>0</v>
      </c>
      <c r="AR183" s="153"/>
      <c r="AS183" s="282">
        <v>188.86</v>
      </c>
      <c r="AT183" s="282">
        <v>168.86</v>
      </c>
      <c r="AU183" s="282">
        <v>145.8599999999999</v>
      </c>
      <c r="AV183" s="282">
        <v>128.86000000000001</v>
      </c>
      <c r="AW183" s="283">
        <v>95.860000000000014</v>
      </c>
      <c r="AX183" s="284"/>
      <c r="AY183" s="282">
        <v>143.86000000000007</v>
      </c>
      <c r="AZ183" s="282">
        <v>113.86000000000001</v>
      </c>
      <c r="BA183" s="282">
        <v>64.860000000000014</v>
      </c>
      <c r="BB183" s="282">
        <v>-0.13999999999998636</v>
      </c>
      <c r="BC183" s="283">
        <v>-93.43</v>
      </c>
      <c r="BE183" s="267">
        <v>138</v>
      </c>
      <c r="BF183" s="267">
        <v>158</v>
      </c>
      <c r="BG183" s="267">
        <v>181</v>
      </c>
      <c r="BH183" s="267">
        <v>198</v>
      </c>
      <c r="BI183" s="268">
        <v>231</v>
      </c>
      <c r="BJ183" s="150"/>
      <c r="BK183" s="267">
        <v>183</v>
      </c>
      <c r="BL183" s="267">
        <v>213</v>
      </c>
      <c r="BM183" s="267">
        <v>262</v>
      </c>
      <c r="BN183" s="267">
        <v>327</v>
      </c>
      <c r="BO183" s="268">
        <v>420</v>
      </c>
    </row>
    <row r="184" spans="2:67">
      <c r="B184" s="280" t="s">
        <v>181</v>
      </c>
      <c r="C184" s="281" t="s">
        <v>560</v>
      </c>
      <c r="D184" s="188">
        <v>167</v>
      </c>
      <c r="E184" s="114">
        <v>3.75</v>
      </c>
      <c r="F184" s="239" t="s">
        <v>191</v>
      </c>
      <c r="G184" s="315"/>
      <c r="I184" s="282">
        <v>0</v>
      </c>
      <c r="J184" s="282">
        <v>0</v>
      </c>
      <c r="K184" s="282">
        <v>30</v>
      </c>
      <c r="L184" s="282">
        <v>50</v>
      </c>
      <c r="M184" s="283">
        <v>70</v>
      </c>
      <c r="O184" s="282">
        <v>20</v>
      </c>
      <c r="P184" s="282">
        <v>60</v>
      </c>
      <c r="Q184" s="282">
        <v>110</v>
      </c>
      <c r="R184" s="282">
        <v>180</v>
      </c>
      <c r="S184" s="283">
        <v>210</v>
      </c>
      <c r="U184" s="282">
        <v>87</v>
      </c>
      <c r="V184" s="282">
        <v>107</v>
      </c>
      <c r="W184" s="282">
        <v>130</v>
      </c>
      <c r="X184" s="282">
        <v>147</v>
      </c>
      <c r="Y184" s="283">
        <v>180</v>
      </c>
      <c r="AA184" s="282">
        <v>132</v>
      </c>
      <c r="AB184" s="282">
        <v>162</v>
      </c>
      <c r="AC184" s="282">
        <v>211</v>
      </c>
      <c r="AD184" s="282">
        <v>234</v>
      </c>
      <c r="AE184" s="283">
        <v>234</v>
      </c>
      <c r="AG184" s="282">
        <v>-5</v>
      </c>
      <c r="AH184" s="282">
        <v>-5</v>
      </c>
      <c r="AI184" s="282">
        <v>-5</v>
      </c>
      <c r="AJ184" s="282">
        <v>-5</v>
      </c>
      <c r="AK184" s="282">
        <v>-5</v>
      </c>
      <c r="AL184" s="282"/>
      <c r="AM184" s="282">
        <v>0</v>
      </c>
      <c r="AN184" s="282">
        <v>0</v>
      </c>
      <c r="AO184" s="282">
        <v>0</v>
      </c>
      <c r="AP184" s="282">
        <v>0</v>
      </c>
      <c r="AQ184" s="282">
        <v>0</v>
      </c>
      <c r="AR184" s="153"/>
      <c r="AS184" s="282">
        <v>79.89</v>
      </c>
      <c r="AT184" s="282">
        <v>59.89</v>
      </c>
      <c r="AU184" s="282">
        <v>36.889999999999887</v>
      </c>
      <c r="AV184" s="282">
        <v>19.89</v>
      </c>
      <c r="AW184" s="283">
        <v>-13.11</v>
      </c>
      <c r="AX184" s="284"/>
      <c r="AY184" s="282">
        <v>34.890000000000057</v>
      </c>
      <c r="AZ184" s="282">
        <v>4.8900000000000006</v>
      </c>
      <c r="BA184" s="282">
        <v>-44.11</v>
      </c>
      <c r="BB184" s="282">
        <v>-66.945000000000022</v>
      </c>
      <c r="BC184" s="283">
        <v>-66.945000000000022</v>
      </c>
      <c r="BE184" s="282">
        <v>87</v>
      </c>
      <c r="BF184" s="282">
        <v>107</v>
      </c>
      <c r="BG184" s="282">
        <v>130</v>
      </c>
      <c r="BH184" s="282">
        <v>147</v>
      </c>
      <c r="BI184" s="283">
        <v>180</v>
      </c>
      <c r="BJ184" s="150"/>
      <c r="BK184" s="282">
        <v>132</v>
      </c>
      <c r="BL184" s="282">
        <v>162</v>
      </c>
      <c r="BM184" s="282">
        <v>211</v>
      </c>
      <c r="BN184" s="282">
        <v>234</v>
      </c>
      <c r="BO184" s="283">
        <v>234</v>
      </c>
    </row>
    <row r="185" spans="2:67">
      <c r="B185" s="285" t="s">
        <v>181</v>
      </c>
      <c r="C185" s="286" t="s">
        <v>523</v>
      </c>
      <c r="D185" s="189">
        <v>165</v>
      </c>
      <c r="E185" s="115">
        <v>0</v>
      </c>
      <c r="F185" s="237" t="s">
        <v>195</v>
      </c>
      <c r="G185" s="275"/>
      <c r="I185" s="267"/>
      <c r="J185" s="267"/>
      <c r="K185" s="267"/>
      <c r="L185" s="267"/>
      <c r="M185" s="268"/>
      <c r="O185" s="267"/>
      <c r="P185" s="267"/>
      <c r="Q185" s="267"/>
      <c r="R185" s="267"/>
      <c r="S185" s="268"/>
      <c r="U185" s="267">
        <v>52</v>
      </c>
      <c r="V185" s="267">
        <v>72</v>
      </c>
      <c r="W185" s="267">
        <v>95</v>
      </c>
      <c r="X185" s="267">
        <v>112</v>
      </c>
      <c r="Y185" s="268">
        <v>145</v>
      </c>
      <c r="AA185" s="267">
        <v>97</v>
      </c>
      <c r="AB185" s="267">
        <v>127</v>
      </c>
      <c r="AC185" s="267">
        <v>176</v>
      </c>
      <c r="AD185" s="267">
        <v>241</v>
      </c>
      <c r="AE185" s="268">
        <v>241</v>
      </c>
      <c r="AG185" s="282">
        <v>0</v>
      </c>
      <c r="AH185" s="282">
        <v>0</v>
      </c>
      <c r="AI185" s="282">
        <v>0</v>
      </c>
      <c r="AJ185" s="282">
        <v>0</v>
      </c>
      <c r="AK185" s="282">
        <v>0</v>
      </c>
      <c r="AL185" s="282"/>
      <c r="AM185" s="282">
        <v>0</v>
      </c>
      <c r="AN185" s="282">
        <v>0</v>
      </c>
      <c r="AO185" s="282">
        <v>0</v>
      </c>
      <c r="AP185" s="282">
        <v>0</v>
      </c>
      <c r="AQ185" s="282">
        <v>0</v>
      </c>
      <c r="AR185" s="153"/>
      <c r="AS185" s="282">
        <v>113</v>
      </c>
      <c r="AT185" s="282">
        <v>93</v>
      </c>
      <c r="AU185" s="282">
        <v>69.999999999999886</v>
      </c>
      <c r="AV185" s="282">
        <v>53</v>
      </c>
      <c r="AW185" s="283">
        <v>20</v>
      </c>
      <c r="AX185" s="284"/>
      <c r="AY185" s="282">
        <v>68.000000000000057</v>
      </c>
      <c r="AZ185" s="282">
        <v>38</v>
      </c>
      <c r="BA185" s="282">
        <v>-11</v>
      </c>
      <c r="BB185" s="282">
        <v>-75.550000000000011</v>
      </c>
      <c r="BC185" s="283">
        <v>-75.550000000000011</v>
      </c>
      <c r="BE185" s="267">
        <v>52</v>
      </c>
      <c r="BF185" s="267">
        <v>72</v>
      </c>
      <c r="BG185" s="267">
        <v>95</v>
      </c>
      <c r="BH185" s="267">
        <v>112</v>
      </c>
      <c r="BI185" s="268">
        <v>145</v>
      </c>
      <c r="BJ185" s="150"/>
      <c r="BK185" s="267">
        <v>97</v>
      </c>
      <c r="BL185" s="267">
        <v>127</v>
      </c>
      <c r="BM185" s="267">
        <v>176</v>
      </c>
      <c r="BN185" s="267">
        <v>241</v>
      </c>
      <c r="BO185" s="268">
        <v>241</v>
      </c>
    </row>
    <row r="186" spans="2:67">
      <c r="B186" s="280" t="s">
        <v>298</v>
      </c>
      <c r="C186" s="281" t="s">
        <v>583</v>
      </c>
      <c r="D186" s="188">
        <v>148</v>
      </c>
      <c r="E186" s="114">
        <v>3.25</v>
      </c>
      <c r="F186" s="239" t="s">
        <v>190</v>
      </c>
      <c r="G186" s="272"/>
      <c r="I186" s="282"/>
      <c r="J186" s="282"/>
      <c r="K186" s="282"/>
      <c r="L186" s="282"/>
      <c r="M186" s="283"/>
      <c r="O186" s="282"/>
      <c r="P186" s="282"/>
      <c r="Q186" s="282"/>
      <c r="R186" s="282"/>
      <c r="S186" s="283"/>
      <c r="U186" s="282">
        <v>82</v>
      </c>
      <c r="V186" s="282">
        <v>102</v>
      </c>
      <c r="W186" s="282">
        <v>125</v>
      </c>
      <c r="X186" s="282">
        <v>142</v>
      </c>
      <c r="Y186" s="283">
        <v>175</v>
      </c>
      <c r="AA186" s="282">
        <v>127</v>
      </c>
      <c r="AB186" s="282">
        <v>157</v>
      </c>
      <c r="AC186" s="282">
        <v>206</v>
      </c>
      <c r="AD186" s="282">
        <v>208</v>
      </c>
      <c r="AE186" s="283">
        <v>208</v>
      </c>
      <c r="AG186" s="282">
        <v>0</v>
      </c>
      <c r="AH186" s="282">
        <v>0</v>
      </c>
      <c r="AI186" s="282">
        <v>0</v>
      </c>
      <c r="AJ186" s="282">
        <v>0</v>
      </c>
      <c r="AK186" s="282">
        <v>0</v>
      </c>
      <c r="AL186" s="282"/>
      <c r="AM186" s="282">
        <v>0</v>
      </c>
      <c r="AN186" s="282">
        <v>0</v>
      </c>
      <c r="AO186" s="282">
        <v>0</v>
      </c>
      <c r="AP186" s="282">
        <v>0</v>
      </c>
      <c r="AQ186" s="282">
        <v>0</v>
      </c>
      <c r="AR186" s="153"/>
      <c r="AS186" s="282">
        <v>66.25</v>
      </c>
      <c r="AT186" s="282">
        <v>46.25</v>
      </c>
      <c r="AU186" s="282">
        <v>23.249999999999886</v>
      </c>
      <c r="AV186" s="282">
        <v>6.25</v>
      </c>
      <c r="AW186" s="283">
        <v>-26.75</v>
      </c>
      <c r="AX186" s="284"/>
      <c r="AY186" s="282">
        <v>21.250000000000057</v>
      </c>
      <c r="AZ186" s="282">
        <v>-8.75</v>
      </c>
      <c r="BA186" s="282">
        <v>-57.75</v>
      </c>
      <c r="BB186" s="282">
        <v>-60.125</v>
      </c>
      <c r="BC186" s="283">
        <v>-60.125</v>
      </c>
      <c r="BE186" s="282">
        <v>82</v>
      </c>
      <c r="BF186" s="282">
        <v>102</v>
      </c>
      <c r="BG186" s="282">
        <v>125</v>
      </c>
      <c r="BH186" s="282">
        <v>142</v>
      </c>
      <c r="BI186" s="283">
        <v>175</v>
      </c>
      <c r="BJ186" s="150"/>
      <c r="BK186" s="282">
        <v>127</v>
      </c>
      <c r="BL186" s="282">
        <v>157</v>
      </c>
      <c r="BM186" s="282">
        <v>206</v>
      </c>
      <c r="BN186" s="282">
        <v>208</v>
      </c>
      <c r="BO186" s="283">
        <v>208</v>
      </c>
    </row>
    <row r="187" spans="2:67" ht="13" thickBot="1">
      <c r="B187" s="285" t="s">
        <v>286</v>
      </c>
      <c r="C187" s="286" t="s">
        <v>561</v>
      </c>
      <c r="D187" s="189">
        <v>0</v>
      </c>
      <c r="E187" s="115">
        <v>0</v>
      </c>
      <c r="F187" s="237" t="s">
        <v>15</v>
      </c>
      <c r="G187" s="275"/>
      <c r="I187" s="267"/>
      <c r="J187" s="267"/>
      <c r="K187" s="267"/>
      <c r="L187" s="267"/>
      <c r="M187" s="268"/>
      <c r="O187" s="267"/>
      <c r="P187" s="267"/>
      <c r="Q187" s="267"/>
      <c r="R187" s="267"/>
      <c r="S187" s="268"/>
      <c r="U187" s="267">
        <v>0</v>
      </c>
      <c r="V187" s="267">
        <v>30</v>
      </c>
      <c r="W187" s="267">
        <v>50</v>
      </c>
      <c r="X187" s="267">
        <v>70</v>
      </c>
      <c r="Y187" s="268">
        <v>80</v>
      </c>
      <c r="AA187" s="267">
        <v>20</v>
      </c>
      <c r="AB187" s="267">
        <v>60</v>
      </c>
      <c r="AC187" s="267">
        <v>95</v>
      </c>
      <c r="AD187" s="267">
        <v>120</v>
      </c>
      <c r="AE187" s="268">
        <v>170</v>
      </c>
      <c r="AG187" s="282">
        <v>0</v>
      </c>
      <c r="AH187" s="282">
        <v>0</v>
      </c>
      <c r="AI187" s="282">
        <v>0</v>
      </c>
      <c r="AJ187" s="282">
        <v>0</v>
      </c>
      <c r="AK187" s="282">
        <v>0</v>
      </c>
      <c r="AL187" s="282"/>
      <c r="AM187" s="282">
        <v>0</v>
      </c>
      <c r="AN187" s="282">
        <v>0</v>
      </c>
      <c r="AO187" s="282">
        <v>0</v>
      </c>
      <c r="AP187" s="282">
        <v>0</v>
      </c>
      <c r="AQ187" s="282">
        <v>0</v>
      </c>
      <c r="AR187" s="153"/>
      <c r="AS187" s="282">
        <v>0</v>
      </c>
      <c r="AT187" s="282">
        <v>0</v>
      </c>
      <c r="AU187" s="282">
        <v>-50</v>
      </c>
      <c r="AV187" s="282">
        <v>-70</v>
      </c>
      <c r="AW187" s="283">
        <v>-80</v>
      </c>
      <c r="AX187" s="284"/>
      <c r="AY187" s="282">
        <v>-20</v>
      </c>
      <c r="AZ187" s="282">
        <v>-60</v>
      </c>
      <c r="BA187" s="282">
        <v>-95</v>
      </c>
      <c r="BB187" s="282">
        <v>-120</v>
      </c>
      <c r="BC187" s="283">
        <v>-170</v>
      </c>
      <c r="BE187" s="267">
        <v>0</v>
      </c>
      <c r="BF187" s="267">
        <v>30</v>
      </c>
      <c r="BG187" s="267">
        <v>50</v>
      </c>
      <c r="BH187" s="267">
        <v>70</v>
      </c>
      <c r="BI187" s="268">
        <v>80</v>
      </c>
      <c r="BJ187" s="150"/>
      <c r="BK187" s="267">
        <v>20</v>
      </c>
      <c r="BL187" s="267">
        <v>60</v>
      </c>
      <c r="BM187" s="267">
        <v>125</v>
      </c>
      <c r="BN187" s="267">
        <v>160</v>
      </c>
      <c r="BO187" s="268">
        <v>220</v>
      </c>
    </row>
    <row r="188" spans="2:67">
      <c r="B188" s="521"/>
      <c r="C188" s="521"/>
      <c r="D188" s="521"/>
      <c r="E188" s="521"/>
      <c r="F188" s="521"/>
      <c r="G188" s="521"/>
      <c r="I188" s="282"/>
      <c r="J188" s="282"/>
      <c r="K188" s="282"/>
      <c r="L188" s="282"/>
      <c r="M188" s="283"/>
      <c r="O188" s="282"/>
      <c r="P188" s="282"/>
      <c r="Q188" s="282"/>
      <c r="R188" s="282"/>
      <c r="S188" s="283"/>
      <c r="U188" s="521"/>
      <c r="V188" s="521"/>
      <c r="W188" s="521"/>
      <c r="X188" s="521"/>
      <c r="Y188" s="521"/>
      <c r="AA188" s="521"/>
      <c r="AB188" s="521"/>
      <c r="AC188" s="521"/>
      <c r="AD188" s="521"/>
      <c r="AE188" s="521"/>
      <c r="AG188" s="521"/>
      <c r="AH188" s="521"/>
      <c r="AI188" s="521"/>
      <c r="AJ188" s="521"/>
      <c r="AK188" s="521"/>
      <c r="AL188" s="150"/>
      <c r="AM188" s="521"/>
      <c r="AN188" s="521"/>
      <c r="AO188" s="521"/>
      <c r="AP188" s="521"/>
      <c r="AQ188" s="521"/>
      <c r="AS188" s="521"/>
      <c r="AT188" s="521"/>
      <c r="AU188" s="521"/>
      <c r="AV188" s="521"/>
      <c r="AW188" s="521"/>
      <c r="AX188" s="150"/>
      <c r="AY188" s="521"/>
      <c r="AZ188" s="521"/>
      <c r="BA188" s="521"/>
      <c r="BB188" s="521"/>
      <c r="BC188" s="521"/>
      <c r="BD188" s="109"/>
      <c r="BE188" s="521"/>
      <c r="BF188" s="521"/>
      <c r="BG188" s="521"/>
      <c r="BH188" s="521"/>
      <c r="BI188" s="521"/>
      <c r="BJ188" s="150"/>
      <c r="BK188" s="521"/>
      <c r="BL188" s="521"/>
      <c r="BM188" s="521"/>
      <c r="BN188" s="521"/>
      <c r="BO188" s="521"/>
    </row>
    <row r="189" spans="2:67">
      <c r="I189" s="267"/>
      <c r="J189" s="267"/>
      <c r="K189" s="267"/>
      <c r="L189" s="267"/>
      <c r="M189" s="268"/>
      <c r="O189" s="267"/>
      <c r="P189" s="267"/>
      <c r="Q189" s="267"/>
      <c r="R189" s="267"/>
      <c r="S189" s="268"/>
      <c r="AL189" s="150"/>
      <c r="AX189" s="150"/>
      <c r="BJ189" s="150"/>
    </row>
    <row r="190" spans="2:67">
      <c r="I190" s="282"/>
      <c r="J190" s="282"/>
      <c r="K190" s="282"/>
      <c r="L190" s="282"/>
      <c r="M190" s="283"/>
      <c r="O190" s="282"/>
      <c r="P190" s="282"/>
      <c r="Q190" s="282"/>
      <c r="R190" s="282"/>
      <c r="S190" s="283"/>
      <c r="AL190" s="150"/>
      <c r="AX190" s="150"/>
      <c r="BJ190" s="150"/>
    </row>
    <row r="191" spans="2:67">
      <c r="H191" s="113"/>
      <c r="N191" s="113"/>
      <c r="AL191" s="150"/>
      <c r="AX191" s="150"/>
      <c r="BJ191" s="150"/>
    </row>
    <row r="192" spans="2:67">
      <c r="H192" s="113"/>
      <c r="N192" s="113"/>
      <c r="AL192" s="150"/>
      <c r="AX192" s="150"/>
      <c r="BJ192" s="150"/>
    </row>
    <row r="193" spans="8:62">
      <c r="H193" s="113"/>
      <c r="N193" s="113"/>
      <c r="AL193" s="150"/>
      <c r="AX193" s="150"/>
      <c r="BJ193" s="150"/>
    </row>
    <row r="194" spans="8:62">
      <c r="H194" s="113"/>
      <c r="N194" s="113"/>
      <c r="AL194" s="150"/>
      <c r="AX194" s="150"/>
      <c r="BJ194" s="150"/>
    </row>
    <row r="195" spans="8:62">
      <c r="H195" s="113"/>
      <c r="N195" s="113"/>
      <c r="AL195" s="150"/>
      <c r="AX195" s="150"/>
    </row>
    <row r="196" spans="8:62">
      <c r="H196" s="113"/>
      <c r="N196" s="113"/>
      <c r="AL196" s="150"/>
      <c r="AX196" s="150"/>
    </row>
    <row r="197" spans="8:62">
      <c r="H197" s="113"/>
      <c r="N197" s="113"/>
      <c r="AL197" s="150"/>
      <c r="AX197" s="150"/>
    </row>
    <row r="198" spans="8:62">
      <c r="H198" s="113"/>
      <c r="N198" s="113"/>
      <c r="AL198" s="150"/>
      <c r="AX198" s="150"/>
    </row>
    <row r="199" spans="8:62">
      <c r="H199" s="113"/>
      <c r="N199" s="113"/>
      <c r="AL199" s="150"/>
      <c r="AX199" s="150"/>
    </row>
    <row r="200" spans="8:62">
      <c r="H200" s="113"/>
      <c r="N200" s="113"/>
      <c r="AL200" s="150"/>
      <c r="AX200" s="150"/>
    </row>
    <row r="201" spans="8:62">
      <c r="H201" s="113"/>
      <c r="N201" s="113"/>
      <c r="AL201" s="150"/>
      <c r="AX201" s="150"/>
    </row>
    <row r="202" spans="8:62">
      <c r="H202" s="113"/>
      <c r="N202" s="113"/>
      <c r="AL202" s="150"/>
      <c r="AX202" s="150"/>
    </row>
    <row r="203" spans="8:62" ht="17.25" customHeight="1">
      <c r="H203" s="113"/>
      <c r="N203" s="113"/>
      <c r="AL203" s="150"/>
      <c r="AX203" s="150"/>
    </row>
    <row r="204" spans="8:62" ht="17.25" customHeight="1">
      <c r="H204" s="113"/>
      <c r="N204" s="113"/>
      <c r="AL204" s="150"/>
      <c r="AX204" s="150"/>
    </row>
    <row r="205" spans="8:62" ht="17.25" customHeight="1">
      <c r="I205" s="267"/>
      <c r="J205" s="267"/>
      <c r="K205" s="267"/>
      <c r="L205" s="267"/>
      <c r="M205" s="268"/>
      <c r="O205" s="267"/>
      <c r="P205" s="267"/>
      <c r="Q205" s="267"/>
      <c r="R205" s="267"/>
      <c r="S205" s="268"/>
      <c r="AL205" s="150"/>
      <c r="AX205" s="150"/>
    </row>
    <row r="206" spans="8:62" ht="17.25" customHeight="1">
      <c r="I206" s="267"/>
      <c r="J206" s="267"/>
      <c r="K206" s="267"/>
      <c r="L206" s="267"/>
      <c r="M206" s="268"/>
      <c r="O206" s="267"/>
      <c r="P206" s="267"/>
      <c r="Q206" s="267"/>
      <c r="R206" s="267"/>
      <c r="S206" s="268"/>
      <c r="AL206" s="150"/>
      <c r="AX206" s="150"/>
      <c r="BJ206" s="150"/>
    </row>
    <row r="207" spans="8:62" ht="17.25" customHeight="1">
      <c r="I207" s="267"/>
      <c r="J207" s="267"/>
      <c r="K207" s="267"/>
      <c r="L207" s="267"/>
      <c r="M207" s="268"/>
      <c r="O207" s="267"/>
      <c r="P207" s="267"/>
      <c r="Q207" s="267"/>
      <c r="R207" s="267"/>
      <c r="S207" s="268"/>
      <c r="AL207" s="150"/>
      <c r="AX207" s="150"/>
      <c r="BJ207" s="150"/>
    </row>
    <row r="208" spans="8:62" ht="17.25" customHeight="1">
      <c r="I208" s="267"/>
      <c r="J208" s="267"/>
      <c r="K208" s="267"/>
      <c r="L208" s="267"/>
      <c r="M208" s="268"/>
      <c r="O208" s="267"/>
      <c r="P208" s="267"/>
      <c r="Q208" s="267"/>
      <c r="R208" s="267"/>
      <c r="S208" s="268"/>
      <c r="AL208" s="150"/>
      <c r="AX208" s="150"/>
      <c r="BJ208" s="150"/>
    </row>
    <row r="209" spans="9:62" ht="17.25" customHeight="1">
      <c r="I209" s="267"/>
      <c r="J209" s="267"/>
      <c r="K209" s="267"/>
      <c r="L209" s="267"/>
      <c r="M209" s="268"/>
      <c r="O209" s="267"/>
      <c r="P209" s="267"/>
      <c r="Q209" s="267"/>
      <c r="R209" s="267"/>
      <c r="S209" s="268"/>
      <c r="AL209" s="150"/>
      <c r="AX209" s="150"/>
      <c r="BJ209" s="150"/>
    </row>
    <row r="210" spans="9:62" ht="17.25" customHeight="1">
      <c r="I210" s="267"/>
      <c r="J210" s="267"/>
      <c r="K210" s="267"/>
      <c r="L210" s="267"/>
      <c r="M210" s="268"/>
      <c r="O210" s="267"/>
      <c r="P210" s="267"/>
      <c r="Q210" s="267"/>
      <c r="R210" s="267"/>
      <c r="S210" s="268"/>
      <c r="AL210" s="150"/>
      <c r="AX210" s="150"/>
      <c r="BJ210" s="150"/>
    </row>
    <row r="211" spans="9:62" ht="17.25" customHeight="1">
      <c r="I211" s="267"/>
      <c r="J211" s="267"/>
      <c r="K211" s="267"/>
      <c r="L211" s="267"/>
      <c r="M211" s="268"/>
      <c r="O211" s="267"/>
      <c r="P211" s="267"/>
      <c r="Q211" s="267"/>
      <c r="R211" s="267"/>
      <c r="S211" s="268"/>
      <c r="AL211" s="150"/>
      <c r="AX211" s="150"/>
      <c r="BJ211" s="150"/>
    </row>
    <row r="212" spans="9:62" ht="17.25" customHeight="1">
      <c r="I212" s="267"/>
      <c r="J212" s="267"/>
      <c r="K212" s="267"/>
      <c r="L212" s="267"/>
      <c r="M212" s="268"/>
      <c r="O212" s="267"/>
      <c r="P212" s="267"/>
      <c r="Q212" s="267"/>
      <c r="R212" s="267"/>
      <c r="S212" s="268"/>
      <c r="AL212" s="150"/>
      <c r="AX212" s="150"/>
      <c r="BJ212" s="150"/>
    </row>
    <row r="213" spans="9:62" ht="17.25" customHeight="1">
      <c r="I213" s="267"/>
      <c r="J213" s="267"/>
      <c r="K213" s="267"/>
      <c r="L213" s="267"/>
      <c r="M213" s="268"/>
      <c r="O213" s="267"/>
      <c r="P213" s="267"/>
      <c r="Q213" s="267"/>
      <c r="R213" s="267"/>
      <c r="S213" s="268"/>
      <c r="AL213" s="150"/>
      <c r="AX213" s="150"/>
      <c r="BJ213" s="150"/>
    </row>
    <row r="214" spans="9:62" ht="17.25" customHeight="1">
      <c r="I214" s="267"/>
      <c r="J214" s="267"/>
      <c r="K214" s="267"/>
      <c r="L214" s="267"/>
      <c r="M214" s="268"/>
      <c r="O214" s="267"/>
      <c r="P214" s="267"/>
      <c r="Q214" s="267"/>
      <c r="R214" s="267"/>
      <c r="S214" s="268"/>
      <c r="AL214" s="150"/>
      <c r="AX214" s="150"/>
      <c r="BJ214" s="150"/>
    </row>
    <row r="215" spans="9:62" ht="17.25" customHeight="1">
      <c r="I215" s="267"/>
      <c r="J215" s="267"/>
      <c r="K215" s="267"/>
      <c r="L215" s="267"/>
      <c r="M215" s="268"/>
      <c r="O215" s="267"/>
      <c r="P215" s="267"/>
      <c r="Q215" s="267"/>
      <c r="R215" s="267"/>
      <c r="S215" s="268"/>
      <c r="AL215" s="150"/>
      <c r="AX215" s="150"/>
      <c r="BJ215" s="150"/>
    </row>
    <row r="216" spans="9:62" ht="17.25" customHeight="1">
      <c r="I216" s="267"/>
      <c r="J216" s="267"/>
      <c r="K216" s="267"/>
      <c r="L216" s="267"/>
      <c r="M216" s="268"/>
      <c r="O216" s="267"/>
      <c r="P216" s="267"/>
      <c r="Q216" s="267"/>
      <c r="R216" s="267"/>
      <c r="S216" s="268"/>
      <c r="AL216" s="150"/>
      <c r="AX216" s="150"/>
      <c r="BJ216" s="150"/>
    </row>
    <row r="217" spans="9:62" ht="17.25" customHeight="1">
      <c r="I217" s="267"/>
      <c r="J217" s="267"/>
      <c r="K217" s="267"/>
      <c r="L217" s="267"/>
      <c r="M217" s="268"/>
      <c r="O217" s="267"/>
      <c r="P217" s="267"/>
      <c r="Q217" s="267"/>
      <c r="R217" s="267"/>
      <c r="S217" s="268"/>
      <c r="AL217" s="150"/>
      <c r="AX217" s="150"/>
      <c r="BJ217" s="150"/>
    </row>
    <row r="218" spans="9:62" ht="17.25" customHeight="1">
      <c r="I218" s="267"/>
      <c r="J218" s="267"/>
      <c r="K218" s="267"/>
      <c r="L218" s="267"/>
      <c r="M218" s="268"/>
      <c r="O218" s="267"/>
      <c r="P218" s="267"/>
      <c r="Q218" s="267"/>
      <c r="R218" s="267"/>
      <c r="S218" s="268"/>
      <c r="AL218" s="150"/>
      <c r="AX218" s="150"/>
      <c r="BJ218" s="150"/>
    </row>
    <row r="219" spans="9:62" ht="17.25" customHeight="1">
      <c r="I219" s="267"/>
      <c r="J219" s="267"/>
      <c r="K219" s="267"/>
      <c r="L219" s="267"/>
      <c r="M219" s="268"/>
      <c r="O219" s="267"/>
      <c r="P219" s="267"/>
      <c r="Q219" s="267"/>
      <c r="R219" s="267"/>
      <c r="S219" s="268"/>
      <c r="AL219" s="150"/>
      <c r="AX219" s="150"/>
      <c r="BJ219" s="150"/>
    </row>
    <row r="220" spans="9:62" ht="17.25" customHeight="1">
      <c r="I220" s="267"/>
      <c r="J220" s="267"/>
      <c r="K220" s="267"/>
      <c r="L220" s="267"/>
      <c r="M220" s="268"/>
      <c r="O220" s="267"/>
      <c r="P220" s="267"/>
      <c r="Q220" s="267"/>
      <c r="R220" s="267"/>
      <c r="S220" s="268"/>
      <c r="AL220" s="150"/>
      <c r="AX220" s="150"/>
    </row>
    <row r="221" spans="9:62" ht="17.25" customHeight="1">
      <c r="I221" s="267"/>
      <c r="J221" s="267"/>
      <c r="K221" s="267"/>
      <c r="L221" s="267"/>
      <c r="M221" s="268"/>
      <c r="O221" s="267"/>
      <c r="P221" s="267"/>
      <c r="Q221" s="267"/>
      <c r="R221" s="267"/>
      <c r="S221" s="268"/>
      <c r="AL221" s="150"/>
      <c r="AX221" s="150"/>
    </row>
    <row r="222" spans="9:62" ht="17.25" customHeight="1">
      <c r="I222" s="267"/>
      <c r="J222" s="267"/>
      <c r="K222" s="267"/>
      <c r="L222" s="267"/>
      <c r="M222" s="268"/>
      <c r="O222" s="267"/>
      <c r="P222" s="267"/>
      <c r="Q222" s="267"/>
      <c r="R222" s="267"/>
      <c r="S222" s="268"/>
      <c r="AL222" s="150"/>
      <c r="AX222" s="150"/>
    </row>
    <row r="223" spans="9:62" ht="17.25" customHeight="1">
      <c r="I223" s="267"/>
      <c r="J223" s="267"/>
      <c r="K223" s="267"/>
      <c r="L223" s="267"/>
      <c r="M223" s="268"/>
      <c r="O223" s="267"/>
      <c r="P223" s="267"/>
      <c r="Q223" s="267"/>
      <c r="R223" s="267"/>
      <c r="S223" s="268"/>
      <c r="AL223" s="150"/>
      <c r="AX223" s="150"/>
    </row>
    <row r="224" spans="9:62" ht="17.25" customHeight="1">
      <c r="I224" s="267"/>
      <c r="J224" s="267"/>
      <c r="K224" s="267"/>
      <c r="L224" s="267"/>
      <c r="M224" s="268"/>
      <c r="O224" s="267"/>
      <c r="P224" s="267"/>
      <c r="Q224" s="267"/>
      <c r="R224" s="267"/>
      <c r="S224" s="268"/>
      <c r="AL224" s="150"/>
      <c r="AX224" s="150"/>
    </row>
    <row r="225" spans="9:50" ht="17.25" customHeight="1">
      <c r="I225" s="267"/>
      <c r="J225" s="267"/>
      <c r="K225" s="267"/>
      <c r="L225" s="267"/>
      <c r="M225" s="268"/>
      <c r="O225" s="267"/>
      <c r="P225" s="267"/>
      <c r="Q225" s="267"/>
      <c r="R225" s="267"/>
      <c r="S225" s="268"/>
      <c r="AL225" s="150"/>
      <c r="AX225" s="150"/>
    </row>
    <row r="226" spans="9:50" ht="17.25" customHeight="1">
      <c r="I226" s="267"/>
      <c r="J226" s="267"/>
      <c r="K226" s="267"/>
      <c r="L226" s="267"/>
      <c r="M226" s="268"/>
      <c r="O226" s="267"/>
      <c r="P226" s="267"/>
      <c r="Q226" s="267"/>
      <c r="R226" s="267"/>
      <c r="S226" s="268"/>
      <c r="AL226" s="150"/>
      <c r="AX226" s="150"/>
    </row>
    <row r="227" spans="9:50" ht="17.25" customHeight="1">
      <c r="I227" s="267"/>
      <c r="J227" s="267"/>
      <c r="K227" s="267"/>
      <c r="L227" s="267"/>
      <c r="M227" s="268"/>
      <c r="O227" s="267"/>
      <c r="P227" s="267"/>
      <c r="Q227" s="267"/>
      <c r="R227" s="267"/>
      <c r="S227" s="268"/>
      <c r="AL227" s="150"/>
      <c r="AX227" s="150"/>
    </row>
    <row r="228" spans="9:50" ht="17.25" customHeight="1">
      <c r="I228" s="267"/>
      <c r="J228" s="267"/>
      <c r="K228" s="267"/>
      <c r="L228" s="267"/>
      <c r="M228" s="268"/>
      <c r="O228" s="267"/>
      <c r="P228" s="267"/>
      <c r="Q228" s="267"/>
      <c r="R228" s="267"/>
      <c r="S228" s="268"/>
      <c r="AL228" s="150"/>
      <c r="AX228" s="150"/>
    </row>
    <row r="229" spans="9:50" ht="17.25" customHeight="1">
      <c r="I229" s="267"/>
      <c r="J229" s="267"/>
      <c r="K229" s="267"/>
      <c r="L229" s="267"/>
      <c r="M229" s="268"/>
      <c r="O229" s="267"/>
      <c r="P229" s="267"/>
      <c r="Q229" s="267"/>
      <c r="R229" s="267"/>
      <c r="S229" s="268"/>
      <c r="AL229" s="150"/>
      <c r="AX229" s="150"/>
    </row>
    <row r="230" spans="9:50" ht="17.25" customHeight="1">
      <c r="I230" s="267"/>
      <c r="J230" s="267"/>
      <c r="K230" s="267"/>
      <c r="L230" s="267"/>
      <c r="M230" s="268"/>
      <c r="O230" s="267"/>
      <c r="P230" s="267"/>
      <c r="Q230" s="267"/>
      <c r="R230" s="267"/>
      <c r="S230" s="268"/>
      <c r="AL230" s="150"/>
      <c r="AX230" s="150"/>
    </row>
    <row r="231" spans="9:50" ht="17.25" customHeight="1">
      <c r="I231" s="267"/>
      <c r="J231" s="267"/>
      <c r="K231" s="267"/>
      <c r="L231" s="267"/>
      <c r="M231" s="268"/>
      <c r="O231" s="267"/>
      <c r="P231" s="267"/>
      <c r="Q231" s="267"/>
      <c r="R231" s="267"/>
      <c r="S231" s="268"/>
      <c r="AL231" s="150"/>
      <c r="AX231" s="150"/>
    </row>
    <row r="232" spans="9:50" ht="17.25" customHeight="1">
      <c r="I232" s="267"/>
      <c r="J232" s="267"/>
      <c r="K232" s="267"/>
      <c r="L232" s="267"/>
      <c r="M232" s="268"/>
      <c r="O232" s="267"/>
      <c r="P232" s="267"/>
      <c r="Q232" s="267"/>
      <c r="R232" s="267"/>
      <c r="S232" s="268"/>
      <c r="AL232" s="150"/>
      <c r="AX232" s="150"/>
    </row>
    <row r="233" spans="9:50" ht="17.25" customHeight="1">
      <c r="I233" s="267"/>
      <c r="J233" s="267"/>
      <c r="K233" s="267"/>
      <c r="L233" s="267"/>
      <c r="M233" s="268"/>
      <c r="O233" s="267"/>
      <c r="P233" s="267"/>
      <c r="Q233" s="267"/>
      <c r="R233" s="267"/>
      <c r="S233" s="268"/>
      <c r="AL233" s="150"/>
      <c r="AX233" s="150"/>
    </row>
    <row r="234" spans="9:50" ht="17.25" customHeight="1">
      <c r="I234" s="267"/>
      <c r="J234" s="267"/>
      <c r="K234" s="267"/>
      <c r="L234" s="267"/>
      <c r="M234" s="268"/>
      <c r="O234" s="267"/>
      <c r="P234" s="267"/>
      <c r="Q234" s="267"/>
      <c r="R234" s="267"/>
      <c r="S234" s="268"/>
      <c r="AL234" s="150"/>
      <c r="AX234" s="150"/>
    </row>
    <row r="235" spans="9:50" ht="17.25" customHeight="1">
      <c r="I235" s="267"/>
      <c r="J235" s="267"/>
      <c r="K235" s="267"/>
      <c r="L235" s="267"/>
      <c r="M235" s="268"/>
      <c r="O235" s="267"/>
      <c r="P235" s="267"/>
      <c r="Q235" s="267"/>
      <c r="R235" s="267"/>
      <c r="S235" s="268"/>
      <c r="AL235" s="150"/>
      <c r="AX235" s="150"/>
    </row>
    <row r="236" spans="9:50" ht="17.25" customHeight="1">
      <c r="I236" s="267"/>
      <c r="J236" s="267"/>
      <c r="K236" s="267"/>
      <c r="L236" s="267"/>
      <c r="M236" s="268"/>
      <c r="O236" s="267"/>
      <c r="P236" s="267"/>
      <c r="Q236" s="267"/>
      <c r="R236" s="267"/>
      <c r="S236" s="268"/>
      <c r="AL236" s="150"/>
      <c r="AX236" s="150"/>
    </row>
    <row r="237" spans="9:50" ht="17.25" customHeight="1">
      <c r="I237" s="267"/>
      <c r="J237" s="267"/>
      <c r="K237" s="267"/>
      <c r="L237" s="267"/>
      <c r="M237" s="268"/>
      <c r="O237" s="267"/>
      <c r="P237" s="267"/>
      <c r="Q237" s="267"/>
      <c r="R237" s="267"/>
      <c r="S237" s="268"/>
      <c r="AL237" s="150"/>
      <c r="AX237" s="150"/>
    </row>
    <row r="238" spans="9:50" ht="17.25" customHeight="1">
      <c r="I238" s="267"/>
      <c r="J238" s="267"/>
      <c r="K238" s="267"/>
      <c r="L238" s="267"/>
      <c r="M238" s="268"/>
      <c r="O238" s="267"/>
      <c r="P238" s="267"/>
      <c r="Q238" s="267"/>
      <c r="R238" s="267"/>
      <c r="S238" s="268"/>
      <c r="AL238" s="150"/>
      <c r="AX238" s="150"/>
    </row>
    <row r="239" spans="9:50" ht="17.25" customHeight="1">
      <c r="I239" s="267"/>
      <c r="J239" s="267"/>
      <c r="K239" s="267"/>
      <c r="L239" s="267"/>
      <c r="M239" s="268"/>
      <c r="O239" s="267"/>
      <c r="P239" s="267"/>
      <c r="Q239" s="267"/>
      <c r="R239" s="267"/>
      <c r="S239" s="268"/>
      <c r="AL239" s="150"/>
      <c r="AX239" s="150"/>
    </row>
    <row r="240" spans="9:50" ht="17.25" customHeight="1">
      <c r="I240" s="267"/>
      <c r="J240" s="267"/>
      <c r="K240" s="267"/>
      <c r="L240" s="267"/>
      <c r="M240" s="268"/>
      <c r="O240" s="267"/>
      <c r="P240" s="267"/>
      <c r="Q240" s="267"/>
      <c r="R240" s="267"/>
      <c r="S240" s="268"/>
      <c r="AL240" s="150"/>
      <c r="AX240" s="150"/>
    </row>
    <row r="241" spans="2:50" ht="17.25" customHeight="1">
      <c r="I241" s="267"/>
      <c r="J241" s="267"/>
      <c r="K241" s="267"/>
      <c r="L241" s="267"/>
      <c r="M241" s="268"/>
      <c r="O241" s="267"/>
      <c r="P241" s="267"/>
      <c r="Q241" s="267"/>
      <c r="R241" s="267"/>
      <c r="S241" s="268"/>
      <c r="AL241" s="150"/>
      <c r="AX241" s="150"/>
    </row>
    <row r="242" spans="2:50" ht="17.25" customHeight="1">
      <c r="I242" s="267"/>
      <c r="J242" s="267"/>
      <c r="K242" s="267"/>
      <c r="L242" s="267"/>
      <c r="M242" s="268"/>
      <c r="O242" s="267"/>
      <c r="P242" s="267"/>
      <c r="Q242" s="267"/>
      <c r="R242" s="267"/>
      <c r="S242" s="268"/>
      <c r="AL242" s="150"/>
      <c r="AX242" s="150"/>
    </row>
    <row r="243" spans="2:50" ht="17.25" customHeight="1">
      <c r="I243" s="267"/>
      <c r="J243" s="267"/>
      <c r="K243" s="267"/>
      <c r="L243" s="267"/>
      <c r="M243" s="268"/>
      <c r="O243" s="267"/>
      <c r="P243" s="267"/>
      <c r="Q243" s="267"/>
      <c r="R243" s="267"/>
      <c r="S243" s="268"/>
      <c r="AL243" s="150"/>
      <c r="AX243" s="150"/>
    </row>
    <row r="244" spans="2:50" ht="17.25" customHeight="1">
      <c r="I244" s="267"/>
      <c r="J244" s="267"/>
      <c r="K244" s="267"/>
      <c r="L244" s="267"/>
      <c r="M244" s="268"/>
      <c r="O244" s="267"/>
      <c r="P244" s="267"/>
      <c r="Q244" s="267"/>
      <c r="R244" s="267"/>
      <c r="S244" s="268"/>
      <c r="AL244" s="150"/>
      <c r="AX244" s="150"/>
    </row>
    <row r="245" spans="2:50" ht="17.25" customHeight="1">
      <c r="I245" s="267"/>
      <c r="J245" s="267"/>
      <c r="K245" s="267"/>
      <c r="L245" s="267"/>
      <c r="M245" s="268"/>
      <c r="O245" s="267"/>
      <c r="P245" s="267"/>
      <c r="Q245" s="267"/>
      <c r="R245" s="267"/>
      <c r="S245" s="268"/>
      <c r="AL245" s="150"/>
      <c r="AX245" s="150"/>
    </row>
    <row r="246" spans="2:50" ht="17.25" customHeight="1">
      <c r="I246" s="267"/>
      <c r="J246" s="267"/>
      <c r="K246" s="267"/>
      <c r="L246" s="267"/>
      <c r="M246" s="268"/>
      <c r="O246" s="267"/>
      <c r="P246" s="267"/>
      <c r="Q246" s="267"/>
      <c r="R246" s="267"/>
      <c r="S246" s="268"/>
      <c r="AL246" s="150"/>
      <c r="AX246" s="150"/>
    </row>
    <row r="247" spans="2:50" ht="17.25" customHeight="1">
      <c r="I247" s="267"/>
      <c r="J247" s="267"/>
      <c r="K247" s="267"/>
      <c r="L247" s="267"/>
      <c r="M247" s="268"/>
      <c r="O247" s="267"/>
      <c r="P247" s="267"/>
      <c r="Q247" s="267"/>
      <c r="R247" s="267"/>
      <c r="S247" s="268"/>
      <c r="AL247" s="150"/>
      <c r="AX247" s="150"/>
    </row>
    <row r="248" spans="2:50" ht="17.25" customHeight="1">
      <c r="I248" s="267"/>
      <c r="J248" s="267"/>
      <c r="K248" s="267"/>
      <c r="L248" s="267"/>
      <c r="M248" s="268"/>
      <c r="O248" s="267"/>
      <c r="P248" s="267"/>
      <c r="Q248" s="267"/>
      <c r="R248" s="267"/>
      <c r="S248" s="268"/>
      <c r="AL248" s="150"/>
      <c r="AX248" s="150"/>
    </row>
    <row r="249" spans="2:50" ht="17.25" customHeight="1">
      <c r="I249" s="267"/>
      <c r="J249" s="267"/>
      <c r="K249" s="267"/>
      <c r="L249" s="267"/>
      <c r="M249" s="268"/>
      <c r="O249" s="267"/>
      <c r="P249" s="267"/>
      <c r="Q249" s="267"/>
      <c r="R249" s="267"/>
      <c r="S249" s="268"/>
      <c r="AL249" s="150"/>
      <c r="AX249" s="150"/>
    </row>
    <row r="250" spans="2:50" ht="17.25" customHeight="1">
      <c r="I250" s="267"/>
      <c r="J250" s="267"/>
      <c r="K250" s="267"/>
      <c r="L250" s="267"/>
      <c r="M250" s="268"/>
      <c r="O250" s="267"/>
      <c r="P250" s="267"/>
      <c r="Q250" s="267"/>
      <c r="R250" s="267"/>
      <c r="S250" s="268"/>
      <c r="AL250" s="150"/>
      <c r="AX250" s="150"/>
    </row>
    <row r="251" spans="2:50" ht="17.25" customHeight="1">
      <c r="I251" s="267"/>
      <c r="J251" s="267"/>
      <c r="K251" s="267"/>
      <c r="L251" s="267"/>
      <c r="M251" s="268"/>
      <c r="O251" s="267"/>
      <c r="P251" s="267"/>
      <c r="Q251" s="267"/>
      <c r="R251" s="267"/>
      <c r="S251" s="268"/>
      <c r="AL251" s="150"/>
      <c r="AX251" s="150"/>
    </row>
    <row r="252" spans="2:50" ht="17.25" customHeight="1">
      <c r="I252" s="267"/>
      <c r="J252" s="267"/>
      <c r="K252" s="267"/>
      <c r="L252" s="267"/>
      <c r="M252" s="268"/>
      <c r="O252" s="267"/>
      <c r="P252" s="267"/>
      <c r="Q252" s="267"/>
      <c r="R252" s="267"/>
      <c r="S252" s="268"/>
      <c r="AL252" s="150"/>
      <c r="AX252" s="150"/>
    </row>
    <row r="253" spans="2:50" ht="17.25" customHeight="1">
      <c r="I253" s="267"/>
      <c r="J253" s="267"/>
      <c r="K253" s="267"/>
      <c r="L253" s="267"/>
      <c r="M253" s="268"/>
      <c r="O253" s="267"/>
      <c r="P253" s="267"/>
      <c r="Q253" s="267"/>
      <c r="R253" s="267"/>
      <c r="S253" s="268"/>
      <c r="AL253" s="150"/>
      <c r="AX253" s="150"/>
    </row>
    <row r="254" spans="2:50" ht="17.25" customHeight="1">
      <c r="I254" s="267"/>
      <c r="J254" s="267"/>
      <c r="K254" s="267"/>
      <c r="L254" s="267"/>
      <c r="M254" s="268"/>
      <c r="O254" s="267"/>
      <c r="P254" s="267"/>
      <c r="Q254" s="267"/>
      <c r="R254" s="267"/>
      <c r="S254" s="268"/>
      <c r="AL254" s="150"/>
      <c r="AX254" s="150"/>
    </row>
    <row r="255" spans="2:50" ht="17.25" customHeight="1">
      <c r="I255" s="267"/>
      <c r="J255" s="267"/>
      <c r="K255" s="267"/>
      <c r="L255" s="267"/>
      <c r="M255" s="268"/>
      <c r="O255" s="267"/>
      <c r="P255" s="267"/>
      <c r="Q255" s="267"/>
      <c r="R255" s="267"/>
      <c r="S255" s="268"/>
      <c r="AL255" s="150"/>
      <c r="AX255" s="150"/>
    </row>
    <row r="256" spans="2:50" ht="12.75" customHeight="1">
      <c r="B256" s="768"/>
      <c r="C256" s="768"/>
      <c r="D256" s="768"/>
      <c r="E256" s="768"/>
      <c r="F256" s="768"/>
      <c r="G256" s="768"/>
      <c r="H256" s="768"/>
      <c r="I256" s="768"/>
      <c r="J256" s="768"/>
      <c r="K256" s="768"/>
      <c r="L256" s="768"/>
      <c r="M256" s="768"/>
      <c r="N256" s="768"/>
      <c r="O256" s="768"/>
      <c r="P256" s="768"/>
      <c r="Q256" s="768"/>
      <c r="R256" s="768"/>
      <c r="S256" s="768"/>
      <c r="Z256" s="113"/>
    </row>
    <row r="257" spans="2:19">
      <c r="B257" s="768"/>
      <c r="C257" s="768"/>
      <c r="D257" s="768"/>
      <c r="E257" s="768"/>
      <c r="F257" s="768"/>
      <c r="G257" s="768"/>
      <c r="H257" s="768"/>
      <c r="I257" s="768"/>
      <c r="J257" s="768"/>
      <c r="K257" s="768"/>
      <c r="L257" s="768"/>
      <c r="M257" s="768"/>
      <c r="N257" s="768"/>
      <c r="O257" s="768"/>
      <c r="P257" s="768"/>
      <c r="Q257" s="768"/>
      <c r="R257" s="768"/>
      <c r="S257" s="768"/>
    </row>
    <row r="258" spans="2:19">
      <c r="B258" s="768"/>
      <c r="C258" s="768"/>
      <c r="D258" s="768"/>
      <c r="E258" s="768"/>
      <c r="F258" s="768"/>
      <c r="G258" s="768"/>
      <c r="H258" s="768"/>
      <c r="I258" s="768"/>
      <c r="J258" s="768"/>
      <c r="K258" s="768"/>
      <c r="L258" s="768"/>
      <c r="M258" s="768"/>
      <c r="N258" s="768"/>
      <c r="O258" s="768"/>
      <c r="P258" s="768"/>
      <c r="Q258" s="768"/>
      <c r="R258" s="768"/>
      <c r="S258" s="768"/>
    </row>
    <row r="259" spans="2:19">
      <c r="B259" s="768"/>
      <c r="C259" s="768"/>
      <c r="D259" s="768"/>
      <c r="E259" s="768"/>
      <c r="F259" s="768"/>
      <c r="G259" s="768"/>
      <c r="H259" s="768"/>
      <c r="I259" s="768"/>
      <c r="J259" s="768"/>
      <c r="K259" s="768"/>
      <c r="L259" s="768"/>
      <c r="M259" s="768"/>
      <c r="N259" s="768"/>
      <c r="O259" s="768"/>
      <c r="P259" s="768"/>
      <c r="Q259" s="768"/>
      <c r="R259" s="768"/>
      <c r="S259" s="768"/>
    </row>
    <row r="260" spans="2:19">
      <c r="B260" s="768"/>
      <c r="C260" s="768"/>
      <c r="D260" s="768"/>
      <c r="E260" s="768"/>
      <c r="F260" s="768"/>
      <c r="G260" s="768"/>
      <c r="H260" s="768"/>
      <c r="I260" s="768"/>
      <c r="J260" s="768"/>
      <c r="K260" s="768"/>
      <c r="L260" s="768"/>
      <c r="M260" s="768"/>
      <c r="N260" s="768"/>
      <c r="O260" s="768"/>
      <c r="P260" s="768"/>
      <c r="Q260" s="768"/>
      <c r="R260" s="768"/>
      <c r="S260" s="768"/>
    </row>
    <row r="261" spans="2:19">
      <c r="B261" s="768"/>
      <c r="C261" s="768"/>
      <c r="D261" s="768"/>
      <c r="E261" s="768"/>
      <c r="F261" s="768"/>
      <c r="G261" s="768"/>
      <c r="H261" s="768"/>
      <c r="I261" s="768"/>
      <c r="J261" s="768"/>
      <c r="K261" s="768"/>
      <c r="L261" s="768"/>
      <c r="M261" s="768"/>
      <c r="N261" s="768"/>
      <c r="O261" s="768"/>
      <c r="P261" s="768"/>
      <c r="Q261" s="768"/>
      <c r="R261" s="768"/>
      <c r="S261" s="768"/>
    </row>
    <row r="262" spans="2:19">
      <c r="B262" s="768"/>
      <c r="C262" s="768"/>
      <c r="D262" s="768"/>
      <c r="E262" s="768"/>
      <c r="F262" s="768"/>
      <c r="G262" s="768"/>
      <c r="H262" s="768"/>
      <c r="I262" s="768"/>
      <c r="J262" s="768"/>
      <c r="K262" s="768"/>
      <c r="L262" s="768"/>
      <c r="M262" s="768"/>
      <c r="N262" s="768"/>
      <c r="O262" s="768"/>
      <c r="P262" s="768"/>
      <c r="Q262" s="768"/>
      <c r="R262" s="768"/>
      <c r="S262" s="768"/>
    </row>
  </sheetData>
  <sheetProtection algorithmName="SHA-512" hashValue="0f0DX5SLZSIV9sfCjRq8qMRnlibcMpHjQUaLbqXcyKMks/2JzjeXBnxuL3W1Qkw3vAPd4dFXyEJukpXFxnPIhg==" saltValue="9FklEU508zpi/30ZeIV2Iw==" spinCount="100000" sheet="1" objects="1" scenarios="1"/>
  <autoFilter ref="B25:BP192" xr:uid="{00000000-0001-0000-0500-000000000000}"/>
  <mergeCells count="58">
    <mergeCell ref="B256:S262"/>
    <mergeCell ref="U19:Y19"/>
    <mergeCell ref="AA19:AE19"/>
    <mergeCell ref="U21:Y21"/>
    <mergeCell ref="AA21:AE21"/>
    <mergeCell ref="B19:G23"/>
    <mergeCell ref="I19:M19"/>
    <mergeCell ref="O19:S19"/>
    <mergeCell ref="I21:M21"/>
    <mergeCell ref="O21:S21"/>
    <mergeCell ref="I2:M2"/>
    <mergeCell ref="B2:G2"/>
    <mergeCell ref="O2:S2"/>
    <mergeCell ref="D4:G4"/>
    <mergeCell ref="D5:G11"/>
    <mergeCell ref="I5:I11"/>
    <mergeCell ref="J5:J11"/>
    <mergeCell ref="K5:K11"/>
    <mergeCell ref="L5:L11"/>
    <mergeCell ref="R5:R11"/>
    <mergeCell ref="S5:S11"/>
    <mergeCell ref="M5:M11"/>
    <mergeCell ref="O5:O11"/>
    <mergeCell ref="P5:P11"/>
    <mergeCell ref="Q5:Q11"/>
    <mergeCell ref="U2:Y2"/>
    <mergeCell ref="AA2:AE2"/>
    <mergeCell ref="U5:U11"/>
    <mergeCell ref="V5:V11"/>
    <mergeCell ref="W5:W11"/>
    <mergeCell ref="X5:X11"/>
    <mergeCell ref="Y5:Y11"/>
    <mergeCell ref="AA5:AA11"/>
    <mergeCell ref="AB5:AB11"/>
    <mergeCell ref="AC5:AC11"/>
    <mergeCell ref="AD5:AD11"/>
    <mergeCell ref="AE5:AE11"/>
    <mergeCell ref="D13:G13"/>
    <mergeCell ref="B5:C16"/>
    <mergeCell ref="D16:G16"/>
    <mergeCell ref="D14:G14"/>
    <mergeCell ref="D15:G15"/>
    <mergeCell ref="D12:G12"/>
    <mergeCell ref="AS19:AW19"/>
    <mergeCell ref="AY19:BC19"/>
    <mergeCell ref="AS21:AW21"/>
    <mergeCell ref="AY21:BC21"/>
    <mergeCell ref="B17:F18"/>
    <mergeCell ref="AG17:AQ17"/>
    <mergeCell ref="AG19:AK19"/>
    <mergeCell ref="AM19:AQ19"/>
    <mergeCell ref="AG21:AK21"/>
    <mergeCell ref="AM21:AQ21"/>
    <mergeCell ref="BE19:BI19"/>
    <mergeCell ref="BK19:BO19"/>
    <mergeCell ref="BE21:BI21"/>
    <mergeCell ref="BK21:BO21"/>
    <mergeCell ref="BE17:BO17"/>
  </mergeCells>
  <conditionalFormatting sqref="AG26:AP186">
    <cfRule type="cellIs" dxfId="57" priority="5" stopIfTrue="1" operator="lessThan">
      <formula>0</formula>
    </cfRule>
    <cfRule type="cellIs" dxfId="56" priority="6" stopIfTrue="1" operator="greaterThan">
      <formula>0</formula>
    </cfRule>
  </conditionalFormatting>
  <conditionalFormatting sqref="AQ26:AQ187">
    <cfRule type="cellIs" dxfId="55" priority="3" stopIfTrue="1" operator="lessThan">
      <formula>0</formula>
    </cfRule>
    <cfRule type="cellIs" dxfId="54" priority="4" stopIfTrue="1" operator="greaterThan">
      <formula>0</formula>
    </cfRule>
  </conditionalFormatting>
  <conditionalFormatting sqref="AG187:AP187">
    <cfRule type="cellIs" dxfId="53" priority="1" stopIfTrue="1" operator="lessThan">
      <formula>0</formula>
    </cfRule>
    <cfRule type="cellIs" dxfId="52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Footer>&amp;C&amp;1#&amp;"Calibri"&amp;8&amp;KED7D31Orange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987F-BB21-411E-82DB-81103355A0D0}">
  <sheetPr codeName="Hoja91">
    <tabColor rgb="FFFF6600"/>
    <pageSetUpPr fitToPage="1"/>
  </sheetPr>
  <dimension ref="A1:BC213"/>
  <sheetViews>
    <sheetView showGridLines="0" topLeftCell="A163" zoomScale="60" zoomScaleNormal="60" workbookViewId="0">
      <selection activeCell="K197" sqref="K197"/>
    </sheetView>
  </sheetViews>
  <sheetFormatPr baseColWidth="10" defaultRowHeight="12.5"/>
  <cols>
    <col min="1" max="1" width="5.81640625" style="113" customWidth="1"/>
    <col min="2" max="2" width="15.81640625" style="113" customWidth="1"/>
    <col min="3" max="3" width="58.81640625" style="113" customWidth="1"/>
    <col min="4" max="4" width="8.81640625" style="113" bestFit="1" customWidth="1"/>
    <col min="5" max="5" width="8.81640625" style="113" customWidth="1"/>
    <col min="6" max="6" width="17.54296875" style="113" customWidth="1"/>
    <col min="7" max="7" width="0.1796875" style="113" customWidth="1"/>
    <col min="8" max="8" width="2.453125" style="150" customWidth="1"/>
    <col min="9" max="13" width="17.1796875" style="113" customWidth="1"/>
    <col min="14" max="14" width="1.54296875" style="150" customWidth="1"/>
    <col min="15" max="19" width="16.453125" style="113" customWidth="1"/>
    <col min="20" max="20" width="4.81640625" style="113" customWidth="1"/>
    <col min="21" max="25" width="15.54296875" style="113" customWidth="1"/>
    <col min="26" max="26" width="1.54296875" style="150" customWidth="1"/>
    <col min="27" max="31" width="15.54296875" style="113" customWidth="1"/>
    <col min="32" max="32" width="5.1796875" style="113" customWidth="1"/>
    <col min="33" max="37" width="13.81640625" style="113" customWidth="1"/>
    <col min="38" max="38" width="1.54296875" style="150" customWidth="1"/>
    <col min="39" max="43" width="13.81640625" style="113" customWidth="1"/>
    <col min="44" max="256" width="11.453125" style="113"/>
    <col min="257" max="257" width="5.81640625" style="113" customWidth="1"/>
    <col min="258" max="258" width="15.81640625" style="113" customWidth="1"/>
    <col min="259" max="259" width="58.81640625" style="113" customWidth="1"/>
    <col min="260" max="260" width="8.81640625" style="113" bestFit="1" customWidth="1"/>
    <col min="261" max="261" width="8.81640625" style="113" customWidth="1"/>
    <col min="262" max="262" width="17.54296875" style="113" customWidth="1"/>
    <col min="263" max="263" width="0.1796875" style="113" customWidth="1"/>
    <col min="264" max="264" width="2.453125" style="113" customWidth="1"/>
    <col min="265" max="269" width="17.1796875" style="113" customWidth="1"/>
    <col min="270" max="270" width="1.54296875" style="113" customWidth="1"/>
    <col min="271" max="275" width="16.453125" style="113" customWidth="1"/>
    <col min="276" max="276" width="4.81640625" style="113" customWidth="1"/>
    <col min="277" max="281" width="15.54296875" style="113" customWidth="1"/>
    <col min="282" max="282" width="1.54296875" style="113" customWidth="1"/>
    <col min="283" max="287" width="15.54296875" style="113" customWidth="1"/>
    <col min="288" max="288" width="5.1796875" style="113" customWidth="1"/>
    <col min="289" max="293" width="13.81640625" style="113" customWidth="1"/>
    <col min="294" max="294" width="1.54296875" style="113" customWidth="1"/>
    <col min="295" max="299" width="13.81640625" style="113" customWidth="1"/>
    <col min="300" max="512" width="11.453125" style="113"/>
    <col min="513" max="513" width="5.81640625" style="113" customWidth="1"/>
    <col min="514" max="514" width="15.81640625" style="113" customWidth="1"/>
    <col min="515" max="515" width="58.81640625" style="113" customWidth="1"/>
    <col min="516" max="516" width="8.81640625" style="113" bestFit="1" customWidth="1"/>
    <col min="517" max="517" width="8.81640625" style="113" customWidth="1"/>
    <col min="518" max="518" width="17.54296875" style="113" customWidth="1"/>
    <col min="519" max="519" width="0.1796875" style="113" customWidth="1"/>
    <col min="520" max="520" width="2.453125" style="113" customWidth="1"/>
    <col min="521" max="525" width="17.1796875" style="113" customWidth="1"/>
    <col min="526" max="526" width="1.54296875" style="113" customWidth="1"/>
    <col min="527" max="531" width="16.453125" style="113" customWidth="1"/>
    <col min="532" max="532" width="4.81640625" style="113" customWidth="1"/>
    <col min="533" max="537" width="15.54296875" style="113" customWidth="1"/>
    <col min="538" max="538" width="1.54296875" style="113" customWidth="1"/>
    <col min="539" max="543" width="15.54296875" style="113" customWidth="1"/>
    <col min="544" max="544" width="5.1796875" style="113" customWidth="1"/>
    <col min="545" max="549" width="13.81640625" style="113" customWidth="1"/>
    <col min="550" max="550" width="1.54296875" style="113" customWidth="1"/>
    <col min="551" max="555" width="13.81640625" style="113" customWidth="1"/>
    <col min="556" max="768" width="11.453125" style="113"/>
    <col min="769" max="769" width="5.81640625" style="113" customWidth="1"/>
    <col min="770" max="770" width="15.81640625" style="113" customWidth="1"/>
    <col min="771" max="771" width="58.81640625" style="113" customWidth="1"/>
    <col min="772" max="772" width="8.81640625" style="113" bestFit="1" customWidth="1"/>
    <col min="773" max="773" width="8.81640625" style="113" customWidth="1"/>
    <col min="774" max="774" width="17.54296875" style="113" customWidth="1"/>
    <col min="775" max="775" width="0.1796875" style="113" customWidth="1"/>
    <col min="776" max="776" width="2.453125" style="113" customWidth="1"/>
    <col min="777" max="781" width="17.1796875" style="113" customWidth="1"/>
    <col min="782" max="782" width="1.54296875" style="113" customWidth="1"/>
    <col min="783" max="787" width="16.453125" style="113" customWidth="1"/>
    <col min="788" max="788" width="4.81640625" style="113" customWidth="1"/>
    <col min="789" max="793" width="15.54296875" style="113" customWidth="1"/>
    <col min="794" max="794" width="1.54296875" style="113" customWidth="1"/>
    <col min="795" max="799" width="15.54296875" style="113" customWidth="1"/>
    <col min="800" max="800" width="5.1796875" style="113" customWidth="1"/>
    <col min="801" max="805" width="13.81640625" style="113" customWidth="1"/>
    <col min="806" max="806" width="1.54296875" style="113" customWidth="1"/>
    <col min="807" max="811" width="13.81640625" style="113" customWidth="1"/>
    <col min="812" max="1024" width="11.453125" style="113"/>
    <col min="1025" max="1025" width="5.81640625" style="113" customWidth="1"/>
    <col min="1026" max="1026" width="15.81640625" style="113" customWidth="1"/>
    <col min="1027" max="1027" width="58.81640625" style="113" customWidth="1"/>
    <col min="1028" max="1028" width="8.81640625" style="113" bestFit="1" customWidth="1"/>
    <col min="1029" max="1029" width="8.81640625" style="113" customWidth="1"/>
    <col min="1030" max="1030" width="17.54296875" style="113" customWidth="1"/>
    <col min="1031" max="1031" width="0.1796875" style="113" customWidth="1"/>
    <col min="1032" max="1032" width="2.453125" style="113" customWidth="1"/>
    <col min="1033" max="1037" width="17.1796875" style="113" customWidth="1"/>
    <col min="1038" max="1038" width="1.54296875" style="113" customWidth="1"/>
    <col min="1039" max="1043" width="16.453125" style="113" customWidth="1"/>
    <col min="1044" max="1044" width="4.81640625" style="113" customWidth="1"/>
    <col min="1045" max="1049" width="15.54296875" style="113" customWidth="1"/>
    <col min="1050" max="1050" width="1.54296875" style="113" customWidth="1"/>
    <col min="1051" max="1055" width="15.54296875" style="113" customWidth="1"/>
    <col min="1056" max="1056" width="5.1796875" style="113" customWidth="1"/>
    <col min="1057" max="1061" width="13.81640625" style="113" customWidth="1"/>
    <col min="1062" max="1062" width="1.54296875" style="113" customWidth="1"/>
    <col min="1063" max="1067" width="13.81640625" style="113" customWidth="1"/>
    <col min="1068" max="1280" width="11.453125" style="113"/>
    <col min="1281" max="1281" width="5.81640625" style="113" customWidth="1"/>
    <col min="1282" max="1282" width="15.81640625" style="113" customWidth="1"/>
    <col min="1283" max="1283" width="58.81640625" style="113" customWidth="1"/>
    <col min="1284" max="1284" width="8.81640625" style="113" bestFit="1" customWidth="1"/>
    <col min="1285" max="1285" width="8.81640625" style="113" customWidth="1"/>
    <col min="1286" max="1286" width="17.54296875" style="113" customWidth="1"/>
    <col min="1287" max="1287" width="0.1796875" style="113" customWidth="1"/>
    <col min="1288" max="1288" width="2.453125" style="113" customWidth="1"/>
    <col min="1289" max="1293" width="17.1796875" style="113" customWidth="1"/>
    <col min="1294" max="1294" width="1.54296875" style="113" customWidth="1"/>
    <col min="1295" max="1299" width="16.453125" style="113" customWidth="1"/>
    <col min="1300" max="1300" width="4.81640625" style="113" customWidth="1"/>
    <col min="1301" max="1305" width="15.54296875" style="113" customWidth="1"/>
    <col min="1306" max="1306" width="1.54296875" style="113" customWidth="1"/>
    <col min="1307" max="1311" width="15.54296875" style="113" customWidth="1"/>
    <col min="1312" max="1312" width="5.1796875" style="113" customWidth="1"/>
    <col min="1313" max="1317" width="13.81640625" style="113" customWidth="1"/>
    <col min="1318" max="1318" width="1.54296875" style="113" customWidth="1"/>
    <col min="1319" max="1323" width="13.81640625" style="113" customWidth="1"/>
    <col min="1324" max="1536" width="11.453125" style="113"/>
    <col min="1537" max="1537" width="5.81640625" style="113" customWidth="1"/>
    <col min="1538" max="1538" width="15.81640625" style="113" customWidth="1"/>
    <col min="1539" max="1539" width="58.81640625" style="113" customWidth="1"/>
    <col min="1540" max="1540" width="8.81640625" style="113" bestFit="1" customWidth="1"/>
    <col min="1541" max="1541" width="8.81640625" style="113" customWidth="1"/>
    <col min="1542" max="1542" width="17.54296875" style="113" customWidth="1"/>
    <col min="1543" max="1543" width="0.1796875" style="113" customWidth="1"/>
    <col min="1544" max="1544" width="2.453125" style="113" customWidth="1"/>
    <col min="1545" max="1549" width="17.1796875" style="113" customWidth="1"/>
    <col min="1550" max="1550" width="1.54296875" style="113" customWidth="1"/>
    <col min="1551" max="1555" width="16.453125" style="113" customWidth="1"/>
    <col min="1556" max="1556" width="4.81640625" style="113" customWidth="1"/>
    <col min="1557" max="1561" width="15.54296875" style="113" customWidth="1"/>
    <col min="1562" max="1562" width="1.54296875" style="113" customWidth="1"/>
    <col min="1563" max="1567" width="15.54296875" style="113" customWidth="1"/>
    <col min="1568" max="1568" width="5.1796875" style="113" customWidth="1"/>
    <col min="1569" max="1573" width="13.81640625" style="113" customWidth="1"/>
    <col min="1574" max="1574" width="1.54296875" style="113" customWidth="1"/>
    <col min="1575" max="1579" width="13.81640625" style="113" customWidth="1"/>
    <col min="1580" max="1792" width="11.453125" style="113"/>
    <col min="1793" max="1793" width="5.81640625" style="113" customWidth="1"/>
    <col min="1794" max="1794" width="15.81640625" style="113" customWidth="1"/>
    <col min="1795" max="1795" width="58.81640625" style="113" customWidth="1"/>
    <col min="1796" max="1796" width="8.81640625" style="113" bestFit="1" customWidth="1"/>
    <col min="1797" max="1797" width="8.81640625" style="113" customWidth="1"/>
    <col min="1798" max="1798" width="17.54296875" style="113" customWidth="1"/>
    <col min="1799" max="1799" width="0.1796875" style="113" customWidth="1"/>
    <col min="1800" max="1800" width="2.453125" style="113" customWidth="1"/>
    <col min="1801" max="1805" width="17.1796875" style="113" customWidth="1"/>
    <col min="1806" max="1806" width="1.54296875" style="113" customWidth="1"/>
    <col min="1807" max="1811" width="16.453125" style="113" customWidth="1"/>
    <col min="1812" max="1812" width="4.81640625" style="113" customWidth="1"/>
    <col min="1813" max="1817" width="15.54296875" style="113" customWidth="1"/>
    <col min="1818" max="1818" width="1.54296875" style="113" customWidth="1"/>
    <col min="1819" max="1823" width="15.54296875" style="113" customWidth="1"/>
    <col min="1824" max="1824" width="5.1796875" style="113" customWidth="1"/>
    <col min="1825" max="1829" width="13.81640625" style="113" customWidth="1"/>
    <col min="1830" max="1830" width="1.54296875" style="113" customWidth="1"/>
    <col min="1831" max="1835" width="13.81640625" style="113" customWidth="1"/>
    <col min="1836" max="2048" width="11.453125" style="113"/>
    <col min="2049" max="2049" width="5.81640625" style="113" customWidth="1"/>
    <col min="2050" max="2050" width="15.81640625" style="113" customWidth="1"/>
    <col min="2051" max="2051" width="58.81640625" style="113" customWidth="1"/>
    <col min="2052" max="2052" width="8.81640625" style="113" bestFit="1" customWidth="1"/>
    <col min="2053" max="2053" width="8.81640625" style="113" customWidth="1"/>
    <col min="2054" max="2054" width="17.54296875" style="113" customWidth="1"/>
    <col min="2055" max="2055" width="0.1796875" style="113" customWidth="1"/>
    <col min="2056" max="2056" width="2.453125" style="113" customWidth="1"/>
    <col min="2057" max="2061" width="17.1796875" style="113" customWidth="1"/>
    <col min="2062" max="2062" width="1.54296875" style="113" customWidth="1"/>
    <col min="2063" max="2067" width="16.453125" style="113" customWidth="1"/>
    <col min="2068" max="2068" width="4.81640625" style="113" customWidth="1"/>
    <col min="2069" max="2073" width="15.54296875" style="113" customWidth="1"/>
    <col min="2074" max="2074" width="1.54296875" style="113" customWidth="1"/>
    <col min="2075" max="2079" width="15.54296875" style="113" customWidth="1"/>
    <col min="2080" max="2080" width="5.1796875" style="113" customWidth="1"/>
    <col min="2081" max="2085" width="13.81640625" style="113" customWidth="1"/>
    <col min="2086" max="2086" width="1.54296875" style="113" customWidth="1"/>
    <col min="2087" max="2091" width="13.81640625" style="113" customWidth="1"/>
    <col min="2092" max="2304" width="11.453125" style="113"/>
    <col min="2305" max="2305" width="5.81640625" style="113" customWidth="1"/>
    <col min="2306" max="2306" width="15.81640625" style="113" customWidth="1"/>
    <col min="2307" max="2307" width="58.81640625" style="113" customWidth="1"/>
    <col min="2308" max="2308" width="8.81640625" style="113" bestFit="1" customWidth="1"/>
    <col min="2309" max="2309" width="8.81640625" style="113" customWidth="1"/>
    <col min="2310" max="2310" width="17.54296875" style="113" customWidth="1"/>
    <col min="2311" max="2311" width="0.1796875" style="113" customWidth="1"/>
    <col min="2312" max="2312" width="2.453125" style="113" customWidth="1"/>
    <col min="2313" max="2317" width="17.1796875" style="113" customWidth="1"/>
    <col min="2318" max="2318" width="1.54296875" style="113" customWidth="1"/>
    <col min="2319" max="2323" width="16.453125" style="113" customWidth="1"/>
    <col min="2324" max="2324" width="4.81640625" style="113" customWidth="1"/>
    <col min="2325" max="2329" width="15.54296875" style="113" customWidth="1"/>
    <col min="2330" max="2330" width="1.54296875" style="113" customWidth="1"/>
    <col min="2331" max="2335" width="15.54296875" style="113" customWidth="1"/>
    <col min="2336" max="2336" width="5.1796875" style="113" customWidth="1"/>
    <col min="2337" max="2341" width="13.81640625" style="113" customWidth="1"/>
    <col min="2342" max="2342" width="1.54296875" style="113" customWidth="1"/>
    <col min="2343" max="2347" width="13.81640625" style="113" customWidth="1"/>
    <col min="2348" max="2560" width="11.453125" style="113"/>
    <col min="2561" max="2561" width="5.81640625" style="113" customWidth="1"/>
    <col min="2562" max="2562" width="15.81640625" style="113" customWidth="1"/>
    <col min="2563" max="2563" width="58.81640625" style="113" customWidth="1"/>
    <col min="2564" max="2564" width="8.81640625" style="113" bestFit="1" customWidth="1"/>
    <col min="2565" max="2565" width="8.81640625" style="113" customWidth="1"/>
    <col min="2566" max="2566" width="17.54296875" style="113" customWidth="1"/>
    <col min="2567" max="2567" width="0.1796875" style="113" customWidth="1"/>
    <col min="2568" max="2568" width="2.453125" style="113" customWidth="1"/>
    <col min="2569" max="2573" width="17.1796875" style="113" customWidth="1"/>
    <col min="2574" max="2574" width="1.54296875" style="113" customWidth="1"/>
    <col min="2575" max="2579" width="16.453125" style="113" customWidth="1"/>
    <col min="2580" max="2580" width="4.81640625" style="113" customWidth="1"/>
    <col min="2581" max="2585" width="15.54296875" style="113" customWidth="1"/>
    <col min="2586" max="2586" width="1.54296875" style="113" customWidth="1"/>
    <col min="2587" max="2591" width="15.54296875" style="113" customWidth="1"/>
    <col min="2592" max="2592" width="5.1796875" style="113" customWidth="1"/>
    <col min="2593" max="2597" width="13.81640625" style="113" customWidth="1"/>
    <col min="2598" max="2598" width="1.54296875" style="113" customWidth="1"/>
    <col min="2599" max="2603" width="13.81640625" style="113" customWidth="1"/>
    <col min="2604" max="2816" width="11.453125" style="113"/>
    <col min="2817" max="2817" width="5.81640625" style="113" customWidth="1"/>
    <col min="2818" max="2818" width="15.81640625" style="113" customWidth="1"/>
    <col min="2819" max="2819" width="58.81640625" style="113" customWidth="1"/>
    <col min="2820" max="2820" width="8.81640625" style="113" bestFit="1" customWidth="1"/>
    <col min="2821" max="2821" width="8.81640625" style="113" customWidth="1"/>
    <col min="2822" max="2822" width="17.54296875" style="113" customWidth="1"/>
    <col min="2823" max="2823" width="0.1796875" style="113" customWidth="1"/>
    <col min="2824" max="2824" width="2.453125" style="113" customWidth="1"/>
    <col min="2825" max="2829" width="17.1796875" style="113" customWidth="1"/>
    <col min="2830" max="2830" width="1.54296875" style="113" customWidth="1"/>
    <col min="2831" max="2835" width="16.453125" style="113" customWidth="1"/>
    <col min="2836" max="2836" width="4.81640625" style="113" customWidth="1"/>
    <col min="2837" max="2841" width="15.54296875" style="113" customWidth="1"/>
    <col min="2842" max="2842" width="1.54296875" style="113" customWidth="1"/>
    <col min="2843" max="2847" width="15.54296875" style="113" customWidth="1"/>
    <col min="2848" max="2848" width="5.1796875" style="113" customWidth="1"/>
    <col min="2849" max="2853" width="13.81640625" style="113" customWidth="1"/>
    <col min="2854" max="2854" width="1.54296875" style="113" customWidth="1"/>
    <col min="2855" max="2859" width="13.81640625" style="113" customWidth="1"/>
    <col min="2860" max="3072" width="11.453125" style="113"/>
    <col min="3073" max="3073" width="5.81640625" style="113" customWidth="1"/>
    <col min="3074" max="3074" width="15.81640625" style="113" customWidth="1"/>
    <col min="3075" max="3075" width="58.81640625" style="113" customWidth="1"/>
    <col min="3076" max="3076" width="8.81640625" style="113" bestFit="1" customWidth="1"/>
    <col min="3077" max="3077" width="8.81640625" style="113" customWidth="1"/>
    <col min="3078" max="3078" width="17.54296875" style="113" customWidth="1"/>
    <col min="3079" max="3079" width="0.1796875" style="113" customWidth="1"/>
    <col min="3080" max="3080" width="2.453125" style="113" customWidth="1"/>
    <col min="3081" max="3085" width="17.1796875" style="113" customWidth="1"/>
    <col min="3086" max="3086" width="1.54296875" style="113" customWidth="1"/>
    <col min="3087" max="3091" width="16.453125" style="113" customWidth="1"/>
    <col min="3092" max="3092" width="4.81640625" style="113" customWidth="1"/>
    <col min="3093" max="3097" width="15.54296875" style="113" customWidth="1"/>
    <col min="3098" max="3098" width="1.54296875" style="113" customWidth="1"/>
    <col min="3099" max="3103" width="15.54296875" style="113" customWidth="1"/>
    <col min="3104" max="3104" width="5.1796875" style="113" customWidth="1"/>
    <col min="3105" max="3109" width="13.81640625" style="113" customWidth="1"/>
    <col min="3110" max="3110" width="1.54296875" style="113" customWidth="1"/>
    <col min="3111" max="3115" width="13.81640625" style="113" customWidth="1"/>
    <col min="3116" max="3328" width="11.453125" style="113"/>
    <col min="3329" max="3329" width="5.81640625" style="113" customWidth="1"/>
    <col min="3330" max="3330" width="15.81640625" style="113" customWidth="1"/>
    <col min="3331" max="3331" width="58.81640625" style="113" customWidth="1"/>
    <col min="3332" max="3332" width="8.81640625" style="113" bestFit="1" customWidth="1"/>
    <col min="3333" max="3333" width="8.81640625" style="113" customWidth="1"/>
    <col min="3334" max="3334" width="17.54296875" style="113" customWidth="1"/>
    <col min="3335" max="3335" width="0.1796875" style="113" customWidth="1"/>
    <col min="3336" max="3336" width="2.453125" style="113" customWidth="1"/>
    <col min="3337" max="3341" width="17.1796875" style="113" customWidth="1"/>
    <col min="3342" max="3342" width="1.54296875" style="113" customWidth="1"/>
    <col min="3343" max="3347" width="16.453125" style="113" customWidth="1"/>
    <col min="3348" max="3348" width="4.81640625" style="113" customWidth="1"/>
    <col min="3349" max="3353" width="15.54296875" style="113" customWidth="1"/>
    <col min="3354" max="3354" width="1.54296875" style="113" customWidth="1"/>
    <col min="3355" max="3359" width="15.54296875" style="113" customWidth="1"/>
    <col min="3360" max="3360" width="5.1796875" style="113" customWidth="1"/>
    <col min="3361" max="3365" width="13.81640625" style="113" customWidth="1"/>
    <col min="3366" max="3366" width="1.54296875" style="113" customWidth="1"/>
    <col min="3367" max="3371" width="13.81640625" style="113" customWidth="1"/>
    <col min="3372" max="3584" width="11.453125" style="113"/>
    <col min="3585" max="3585" width="5.81640625" style="113" customWidth="1"/>
    <col min="3586" max="3586" width="15.81640625" style="113" customWidth="1"/>
    <col min="3587" max="3587" width="58.81640625" style="113" customWidth="1"/>
    <col min="3588" max="3588" width="8.81640625" style="113" bestFit="1" customWidth="1"/>
    <col min="3589" max="3589" width="8.81640625" style="113" customWidth="1"/>
    <col min="3590" max="3590" width="17.54296875" style="113" customWidth="1"/>
    <col min="3591" max="3591" width="0.1796875" style="113" customWidth="1"/>
    <col min="3592" max="3592" width="2.453125" style="113" customWidth="1"/>
    <col min="3593" max="3597" width="17.1796875" style="113" customWidth="1"/>
    <col min="3598" max="3598" width="1.54296875" style="113" customWidth="1"/>
    <col min="3599" max="3603" width="16.453125" style="113" customWidth="1"/>
    <col min="3604" max="3604" width="4.81640625" style="113" customWidth="1"/>
    <col min="3605" max="3609" width="15.54296875" style="113" customWidth="1"/>
    <col min="3610" max="3610" width="1.54296875" style="113" customWidth="1"/>
    <col min="3611" max="3615" width="15.54296875" style="113" customWidth="1"/>
    <col min="3616" max="3616" width="5.1796875" style="113" customWidth="1"/>
    <col min="3617" max="3621" width="13.81640625" style="113" customWidth="1"/>
    <col min="3622" max="3622" width="1.54296875" style="113" customWidth="1"/>
    <col min="3623" max="3627" width="13.81640625" style="113" customWidth="1"/>
    <col min="3628" max="3840" width="11.453125" style="113"/>
    <col min="3841" max="3841" width="5.81640625" style="113" customWidth="1"/>
    <col min="3842" max="3842" width="15.81640625" style="113" customWidth="1"/>
    <col min="3843" max="3843" width="58.81640625" style="113" customWidth="1"/>
    <col min="3844" max="3844" width="8.81640625" style="113" bestFit="1" customWidth="1"/>
    <col min="3845" max="3845" width="8.81640625" style="113" customWidth="1"/>
    <col min="3846" max="3846" width="17.54296875" style="113" customWidth="1"/>
    <col min="3847" max="3847" width="0.1796875" style="113" customWidth="1"/>
    <col min="3848" max="3848" width="2.453125" style="113" customWidth="1"/>
    <col min="3849" max="3853" width="17.1796875" style="113" customWidth="1"/>
    <col min="3854" max="3854" width="1.54296875" style="113" customWidth="1"/>
    <col min="3855" max="3859" width="16.453125" style="113" customWidth="1"/>
    <col min="3860" max="3860" width="4.81640625" style="113" customWidth="1"/>
    <col min="3861" max="3865" width="15.54296875" style="113" customWidth="1"/>
    <col min="3866" max="3866" width="1.54296875" style="113" customWidth="1"/>
    <col min="3867" max="3871" width="15.54296875" style="113" customWidth="1"/>
    <col min="3872" max="3872" width="5.1796875" style="113" customWidth="1"/>
    <col min="3873" max="3877" width="13.81640625" style="113" customWidth="1"/>
    <col min="3878" max="3878" width="1.54296875" style="113" customWidth="1"/>
    <col min="3879" max="3883" width="13.81640625" style="113" customWidth="1"/>
    <col min="3884" max="4096" width="11.453125" style="113"/>
    <col min="4097" max="4097" width="5.81640625" style="113" customWidth="1"/>
    <col min="4098" max="4098" width="15.81640625" style="113" customWidth="1"/>
    <col min="4099" max="4099" width="58.81640625" style="113" customWidth="1"/>
    <col min="4100" max="4100" width="8.81640625" style="113" bestFit="1" customWidth="1"/>
    <col min="4101" max="4101" width="8.81640625" style="113" customWidth="1"/>
    <col min="4102" max="4102" width="17.54296875" style="113" customWidth="1"/>
    <col min="4103" max="4103" width="0.1796875" style="113" customWidth="1"/>
    <col min="4104" max="4104" width="2.453125" style="113" customWidth="1"/>
    <col min="4105" max="4109" width="17.1796875" style="113" customWidth="1"/>
    <col min="4110" max="4110" width="1.54296875" style="113" customWidth="1"/>
    <col min="4111" max="4115" width="16.453125" style="113" customWidth="1"/>
    <col min="4116" max="4116" width="4.81640625" style="113" customWidth="1"/>
    <col min="4117" max="4121" width="15.54296875" style="113" customWidth="1"/>
    <col min="4122" max="4122" width="1.54296875" style="113" customWidth="1"/>
    <col min="4123" max="4127" width="15.54296875" style="113" customWidth="1"/>
    <col min="4128" max="4128" width="5.1796875" style="113" customWidth="1"/>
    <col min="4129" max="4133" width="13.81640625" style="113" customWidth="1"/>
    <col min="4134" max="4134" width="1.54296875" style="113" customWidth="1"/>
    <col min="4135" max="4139" width="13.81640625" style="113" customWidth="1"/>
    <col min="4140" max="4352" width="11.453125" style="113"/>
    <col min="4353" max="4353" width="5.81640625" style="113" customWidth="1"/>
    <col min="4354" max="4354" width="15.81640625" style="113" customWidth="1"/>
    <col min="4355" max="4355" width="58.81640625" style="113" customWidth="1"/>
    <col min="4356" max="4356" width="8.81640625" style="113" bestFit="1" customWidth="1"/>
    <col min="4357" max="4357" width="8.81640625" style="113" customWidth="1"/>
    <col min="4358" max="4358" width="17.54296875" style="113" customWidth="1"/>
    <col min="4359" max="4359" width="0.1796875" style="113" customWidth="1"/>
    <col min="4360" max="4360" width="2.453125" style="113" customWidth="1"/>
    <col min="4361" max="4365" width="17.1796875" style="113" customWidth="1"/>
    <col min="4366" max="4366" width="1.54296875" style="113" customWidth="1"/>
    <col min="4367" max="4371" width="16.453125" style="113" customWidth="1"/>
    <col min="4372" max="4372" width="4.81640625" style="113" customWidth="1"/>
    <col min="4373" max="4377" width="15.54296875" style="113" customWidth="1"/>
    <col min="4378" max="4378" width="1.54296875" style="113" customWidth="1"/>
    <col min="4379" max="4383" width="15.54296875" style="113" customWidth="1"/>
    <col min="4384" max="4384" width="5.1796875" style="113" customWidth="1"/>
    <col min="4385" max="4389" width="13.81640625" style="113" customWidth="1"/>
    <col min="4390" max="4390" width="1.54296875" style="113" customWidth="1"/>
    <col min="4391" max="4395" width="13.81640625" style="113" customWidth="1"/>
    <col min="4396" max="4608" width="11.453125" style="113"/>
    <col min="4609" max="4609" width="5.81640625" style="113" customWidth="1"/>
    <col min="4610" max="4610" width="15.81640625" style="113" customWidth="1"/>
    <col min="4611" max="4611" width="58.81640625" style="113" customWidth="1"/>
    <col min="4612" max="4612" width="8.81640625" style="113" bestFit="1" customWidth="1"/>
    <col min="4613" max="4613" width="8.81640625" style="113" customWidth="1"/>
    <col min="4614" max="4614" width="17.54296875" style="113" customWidth="1"/>
    <col min="4615" max="4615" width="0.1796875" style="113" customWidth="1"/>
    <col min="4616" max="4616" width="2.453125" style="113" customWidth="1"/>
    <col min="4617" max="4621" width="17.1796875" style="113" customWidth="1"/>
    <col min="4622" max="4622" width="1.54296875" style="113" customWidth="1"/>
    <col min="4623" max="4627" width="16.453125" style="113" customWidth="1"/>
    <col min="4628" max="4628" width="4.81640625" style="113" customWidth="1"/>
    <col min="4629" max="4633" width="15.54296875" style="113" customWidth="1"/>
    <col min="4634" max="4634" width="1.54296875" style="113" customWidth="1"/>
    <col min="4635" max="4639" width="15.54296875" style="113" customWidth="1"/>
    <col min="4640" max="4640" width="5.1796875" style="113" customWidth="1"/>
    <col min="4641" max="4645" width="13.81640625" style="113" customWidth="1"/>
    <col min="4646" max="4646" width="1.54296875" style="113" customWidth="1"/>
    <col min="4647" max="4651" width="13.81640625" style="113" customWidth="1"/>
    <col min="4652" max="4864" width="11.453125" style="113"/>
    <col min="4865" max="4865" width="5.81640625" style="113" customWidth="1"/>
    <col min="4866" max="4866" width="15.81640625" style="113" customWidth="1"/>
    <col min="4867" max="4867" width="58.81640625" style="113" customWidth="1"/>
    <col min="4868" max="4868" width="8.81640625" style="113" bestFit="1" customWidth="1"/>
    <col min="4869" max="4869" width="8.81640625" style="113" customWidth="1"/>
    <col min="4870" max="4870" width="17.54296875" style="113" customWidth="1"/>
    <col min="4871" max="4871" width="0.1796875" style="113" customWidth="1"/>
    <col min="4872" max="4872" width="2.453125" style="113" customWidth="1"/>
    <col min="4873" max="4877" width="17.1796875" style="113" customWidth="1"/>
    <col min="4878" max="4878" width="1.54296875" style="113" customWidth="1"/>
    <col min="4879" max="4883" width="16.453125" style="113" customWidth="1"/>
    <col min="4884" max="4884" width="4.81640625" style="113" customWidth="1"/>
    <col min="4885" max="4889" width="15.54296875" style="113" customWidth="1"/>
    <col min="4890" max="4890" width="1.54296875" style="113" customWidth="1"/>
    <col min="4891" max="4895" width="15.54296875" style="113" customWidth="1"/>
    <col min="4896" max="4896" width="5.1796875" style="113" customWidth="1"/>
    <col min="4897" max="4901" width="13.81640625" style="113" customWidth="1"/>
    <col min="4902" max="4902" width="1.54296875" style="113" customWidth="1"/>
    <col min="4903" max="4907" width="13.81640625" style="113" customWidth="1"/>
    <col min="4908" max="5120" width="11.453125" style="113"/>
    <col min="5121" max="5121" width="5.81640625" style="113" customWidth="1"/>
    <col min="5122" max="5122" width="15.81640625" style="113" customWidth="1"/>
    <col min="5123" max="5123" width="58.81640625" style="113" customWidth="1"/>
    <col min="5124" max="5124" width="8.81640625" style="113" bestFit="1" customWidth="1"/>
    <col min="5125" max="5125" width="8.81640625" style="113" customWidth="1"/>
    <col min="5126" max="5126" width="17.54296875" style="113" customWidth="1"/>
    <col min="5127" max="5127" width="0.1796875" style="113" customWidth="1"/>
    <col min="5128" max="5128" width="2.453125" style="113" customWidth="1"/>
    <col min="5129" max="5133" width="17.1796875" style="113" customWidth="1"/>
    <col min="5134" max="5134" width="1.54296875" style="113" customWidth="1"/>
    <col min="5135" max="5139" width="16.453125" style="113" customWidth="1"/>
    <col min="5140" max="5140" width="4.81640625" style="113" customWidth="1"/>
    <col min="5141" max="5145" width="15.54296875" style="113" customWidth="1"/>
    <col min="5146" max="5146" width="1.54296875" style="113" customWidth="1"/>
    <col min="5147" max="5151" width="15.54296875" style="113" customWidth="1"/>
    <col min="5152" max="5152" width="5.1796875" style="113" customWidth="1"/>
    <col min="5153" max="5157" width="13.81640625" style="113" customWidth="1"/>
    <col min="5158" max="5158" width="1.54296875" style="113" customWidth="1"/>
    <col min="5159" max="5163" width="13.81640625" style="113" customWidth="1"/>
    <col min="5164" max="5376" width="11.453125" style="113"/>
    <col min="5377" max="5377" width="5.81640625" style="113" customWidth="1"/>
    <col min="5378" max="5378" width="15.81640625" style="113" customWidth="1"/>
    <col min="5379" max="5379" width="58.81640625" style="113" customWidth="1"/>
    <col min="5380" max="5380" width="8.81640625" style="113" bestFit="1" customWidth="1"/>
    <col min="5381" max="5381" width="8.81640625" style="113" customWidth="1"/>
    <col min="5382" max="5382" width="17.54296875" style="113" customWidth="1"/>
    <col min="5383" max="5383" width="0.1796875" style="113" customWidth="1"/>
    <col min="5384" max="5384" width="2.453125" style="113" customWidth="1"/>
    <col min="5385" max="5389" width="17.1796875" style="113" customWidth="1"/>
    <col min="5390" max="5390" width="1.54296875" style="113" customWidth="1"/>
    <col min="5391" max="5395" width="16.453125" style="113" customWidth="1"/>
    <col min="5396" max="5396" width="4.81640625" style="113" customWidth="1"/>
    <col min="5397" max="5401" width="15.54296875" style="113" customWidth="1"/>
    <col min="5402" max="5402" width="1.54296875" style="113" customWidth="1"/>
    <col min="5403" max="5407" width="15.54296875" style="113" customWidth="1"/>
    <col min="5408" max="5408" width="5.1796875" style="113" customWidth="1"/>
    <col min="5409" max="5413" width="13.81640625" style="113" customWidth="1"/>
    <col min="5414" max="5414" width="1.54296875" style="113" customWidth="1"/>
    <col min="5415" max="5419" width="13.81640625" style="113" customWidth="1"/>
    <col min="5420" max="5632" width="11.453125" style="113"/>
    <col min="5633" max="5633" width="5.81640625" style="113" customWidth="1"/>
    <col min="5634" max="5634" width="15.81640625" style="113" customWidth="1"/>
    <col min="5635" max="5635" width="58.81640625" style="113" customWidth="1"/>
    <col min="5636" max="5636" width="8.81640625" style="113" bestFit="1" customWidth="1"/>
    <col min="5637" max="5637" width="8.81640625" style="113" customWidth="1"/>
    <col min="5638" max="5638" width="17.54296875" style="113" customWidth="1"/>
    <col min="5639" max="5639" width="0.1796875" style="113" customWidth="1"/>
    <col min="5640" max="5640" width="2.453125" style="113" customWidth="1"/>
    <col min="5641" max="5645" width="17.1796875" style="113" customWidth="1"/>
    <col min="5646" max="5646" width="1.54296875" style="113" customWidth="1"/>
    <col min="5647" max="5651" width="16.453125" style="113" customWidth="1"/>
    <col min="5652" max="5652" width="4.81640625" style="113" customWidth="1"/>
    <col min="5653" max="5657" width="15.54296875" style="113" customWidth="1"/>
    <col min="5658" max="5658" width="1.54296875" style="113" customWidth="1"/>
    <col min="5659" max="5663" width="15.54296875" style="113" customWidth="1"/>
    <col min="5664" max="5664" width="5.1796875" style="113" customWidth="1"/>
    <col min="5665" max="5669" width="13.81640625" style="113" customWidth="1"/>
    <col min="5670" max="5670" width="1.54296875" style="113" customWidth="1"/>
    <col min="5671" max="5675" width="13.81640625" style="113" customWidth="1"/>
    <col min="5676" max="5888" width="11.453125" style="113"/>
    <col min="5889" max="5889" width="5.81640625" style="113" customWidth="1"/>
    <col min="5890" max="5890" width="15.81640625" style="113" customWidth="1"/>
    <col min="5891" max="5891" width="58.81640625" style="113" customWidth="1"/>
    <col min="5892" max="5892" width="8.81640625" style="113" bestFit="1" customWidth="1"/>
    <col min="5893" max="5893" width="8.81640625" style="113" customWidth="1"/>
    <col min="5894" max="5894" width="17.54296875" style="113" customWidth="1"/>
    <col min="5895" max="5895" width="0.1796875" style="113" customWidth="1"/>
    <col min="5896" max="5896" width="2.453125" style="113" customWidth="1"/>
    <col min="5897" max="5901" width="17.1796875" style="113" customWidth="1"/>
    <col min="5902" max="5902" width="1.54296875" style="113" customWidth="1"/>
    <col min="5903" max="5907" width="16.453125" style="113" customWidth="1"/>
    <col min="5908" max="5908" width="4.81640625" style="113" customWidth="1"/>
    <col min="5909" max="5913" width="15.54296875" style="113" customWidth="1"/>
    <col min="5914" max="5914" width="1.54296875" style="113" customWidth="1"/>
    <col min="5915" max="5919" width="15.54296875" style="113" customWidth="1"/>
    <col min="5920" max="5920" width="5.1796875" style="113" customWidth="1"/>
    <col min="5921" max="5925" width="13.81640625" style="113" customWidth="1"/>
    <col min="5926" max="5926" width="1.54296875" style="113" customWidth="1"/>
    <col min="5927" max="5931" width="13.81640625" style="113" customWidth="1"/>
    <col min="5932" max="6144" width="11.453125" style="113"/>
    <col min="6145" max="6145" width="5.81640625" style="113" customWidth="1"/>
    <col min="6146" max="6146" width="15.81640625" style="113" customWidth="1"/>
    <col min="6147" max="6147" width="58.81640625" style="113" customWidth="1"/>
    <col min="6148" max="6148" width="8.81640625" style="113" bestFit="1" customWidth="1"/>
    <col min="6149" max="6149" width="8.81640625" style="113" customWidth="1"/>
    <col min="6150" max="6150" width="17.54296875" style="113" customWidth="1"/>
    <col min="6151" max="6151" width="0.1796875" style="113" customWidth="1"/>
    <col min="6152" max="6152" width="2.453125" style="113" customWidth="1"/>
    <col min="6153" max="6157" width="17.1796875" style="113" customWidth="1"/>
    <col min="6158" max="6158" width="1.54296875" style="113" customWidth="1"/>
    <col min="6159" max="6163" width="16.453125" style="113" customWidth="1"/>
    <col min="6164" max="6164" width="4.81640625" style="113" customWidth="1"/>
    <col min="6165" max="6169" width="15.54296875" style="113" customWidth="1"/>
    <col min="6170" max="6170" width="1.54296875" style="113" customWidth="1"/>
    <col min="6171" max="6175" width="15.54296875" style="113" customWidth="1"/>
    <col min="6176" max="6176" width="5.1796875" style="113" customWidth="1"/>
    <col min="6177" max="6181" width="13.81640625" style="113" customWidth="1"/>
    <col min="6182" max="6182" width="1.54296875" style="113" customWidth="1"/>
    <col min="6183" max="6187" width="13.81640625" style="113" customWidth="1"/>
    <col min="6188" max="6400" width="11.453125" style="113"/>
    <col min="6401" max="6401" width="5.81640625" style="113" customWidth="1"/>
    <col min="6402" max="6402" width="15.81640625" style="113" customWidth="1"/>
    <col min="6403" max="6403" width="58.81640625" style="113" customWidth="1"/>
    <col min="6404" max="6404" width="8.81640625" style="113" bestFit="1" customWidth="1"/>
    <col min="6405" max="6405" width="8.81640625" style="113" customWidth="1"/>
    <col min="6406" max="6406" width="17.54296875" style="113" customWidth="1"/>
    <col min="6407" max="6407" width="0.1796875" style="113" customWidth="1"/>
    <col min="6408" max="6408" width="2.453125" style="113" customWidth="1"/>
    <col min="6409" max="6413" width="17.1796875" style="113" customWidth="1"/>
    <col min="6414" max="6414" width="1.54296875" style="113" customWidth="1"/>
    <col min="6415" max="6419" width="16.453125" style="113" customWidth="1"/>
    <col min="6420" max="6420" width="4.81640625" style="113" customWidth="1"/>
    <col min="6421" max="6425" width="15.54296875" style="113" customWidth="1"/>
    <col min="6426" max="6426" width="1.54296875" style="113" customWidth="1"/>
    <col min="6427" max="6431" width="15.54296875" style="113" customWidth="1"/>
    <col min="6432" max="6432" width="5.1796875" style="113" customWidth="1"/>
    <col min="6433" max="6437" width="13.81640625" style="113" customWidth="1"/>
    <col min="6438" max="6438" width="1.54296875" style="113" customWidth="1"/>
    <col min="6439" max="6443" width="13.81640625" style="113" customWidth="1"/>
    <col min="6444" max="6656" width="11.453125" style="113"/>
    <col min="6657" max="6657" width="5.81640625" style="113" customWidth="1"/>
    <col min="6658" max="6658" width="15.81640625" style="113" customWidth="1"/>
    <col min="6659" max="6659" width="58.81640625" style="113" customWidth="1"/>
    <col min="6660" max="6660" width="8.81640625" style="113" bestFit="1" customWidth="1"/>
    <col min="6661" max="6661" width="8.81640625" style="113" customWidth="1"/>
    <col min="6662" max="6662" width="17.54296875" style="113" customWidth="1"/>
    <col min="6663" max="6663" width="0.1796875" style="113" customWidth="1"/>
    <col min="6664" max="6664" width="2.453125" style="113" customWidth="1"/>
    <col min="6665" max="6669" width="17.1796875" style="113" customWidth="1"/>
    <col min="6670" max="6670" width="1.54296875" style="113" customWidth="1"/>
    <col min="6671" max="6675" width="16.453125" style="113" customWidth="1"/>
    <col min="6676" max="6676" width="4.81640625" style="113" customWidth="1"/>
    <col min="6677" max="6681" width="15.54296875" style="113" customWidth="1"/>
    <col min="6682" max="6682" width="1.54296875" style="113" customWidth="1"/>
    <col min="6683" max="6687" width="15.54296875" style="113" customWidth="1"/>
    <col min="6688" max="6688" width="5.1796875" style="113" customWidth="1"/>
    <col min="6689" max="6693" width="13.81640625" style="113" customWidth="1"/>
    <col min="6694" max="6694" width="1.54296875" style="113" customWidth="1"/>
    <col min="6695" max="6699" width="13.81640625" style="113" customWidth="1"/>
    <col min="6700" max="6912" width="11.453125" style="113"/>
    <col min="6913" max="6913" width="5.81640625" style="113" customWidth="1"/>
    <col min="6914" max="6914" width="15.81640625" style="113" customWidth="1"/>
    <col min="6915" max="6915" width="58.81640625" style="113" customWidth="1"/>
    <col min="6916" max="6916" width="8.81640625" style="113" bestFit="1" customWidth="1"/>
    <col min="6917" max="6917" width="8.81640625" style="113" customWidth="1"/>
    <col min="6918" max="6918" width="17.54296875" style="113" customWidth="1"/>
    <col min="6919" max="6919" width="0.1796875" style="113" customWidth="1"/>
    <col min="6920" max="6920" width="2.453125" style="113" customWidth="1"/>
    <col min="6921" max="6925" width="17.1796875" style="113" customWidth="1"/>
    <col min="6926" max="6926" width="1.54296875" style="113" customWidth="1"/>
    <col min="6927" max="6931" width="16.453125" style="113" customWidth="1"/>
    <col min="6932" max="6932" width="4.81640625" style="113" customWidth="1"/>
    <col min="6933" max="6937" width="15.54296875" style="113" customWidth="1"/>
    <col min="6938" max="6938" width="1.54296875" style="113" customWidth="1"/>
    <col min="6939" max="6943" width="15.54296875" style="113" customWidth="1"/>
    <col min="6944" max="6944" width="5.1796875" style="113" customWidth="1"/>
    <col min="6945" max="6949" width="13.81640625" style="113" customWidth="1"/>
    <col min="6950" max="6950" width="1.54296875" style="113" customWidth="1"/>
    <col min="6951" max="6955" width="13.81640625" style="113" customWidth="1"/>
    <col min="6956" max="7168" width="11.453125" style="113"/>
    <col min="7169" max="7169" width="5.81640625" style="113" customWidth="1"/>
    <col min="7170" max="7170" width="15.81640625" style="113" customWidth="1"/>
    <col min="7171" max="7171" width="58.81640625" style="113" customWidth="1"/>
    <col min="7172" max="7172" width="8.81640625" style="113" bestFit="1" customWidth="1"/>
    <col min="7173" max="7173" width="8.81640625" style="113" customWidth="1"/>
    <col min="7174" max="7174" width="17.54296875" style="113" customWidth="1"/>
    <col min="7175" max="7175" width="0.1796875" style="113" customWidth="1"/>
    <col min="7176" max="7176" width="2.453125" style="113" customWidth="1"/>
    <col min="7177" max="7181" width="17.1796875" style="113" customWidth="1"/>
    <col min="7182" max="7182" width="1.54296875" style="113" customWidth="1"/>
    <col min="7183" max="7187" width="16.453125" style="113" customWidth="1"/>
    <col min="7188" max="7188" width="4.81640625" style="113" customWidth="1"/>
    <col min="7189" max="7193" width="15.54296875" style="113" customWidth="1"/>
    <col min="7194" max="7194" width="1.54296875" style="113" customWidth="1"/>
    <col min="7195" max="7199" width="15.54296875" style="113" customWidth="1"/>
    <col min="7200" max="7200" width="5.1796875" style="113" customWidth="1"/>
    <col min="7201" max="7205" width="13.81640625" style="113" customWidth="1"/>
    <col min="7206" max="7206" width="1.54296875" style="113" customWidth="1"/>
    <col min="7207" max="7211" width="13.81640625" style="113" customWidth="1"/>
    <col min="7212" max="7424" width="11.453125" style="113"/>
    <col min="7425" max="7425" width="5.81640625" style="113" customWidth="1"/>
    <col min="7426" max="7426" width="15.81640625" style="113" customWidth="1"/>
    <col min="7427" max="7427" width="58.81640625" style="113" customWidth="1"/>
    <col min="7428" max="7428" width="8.81640625" style="113" bestFit="1" customWidth="1"/>
    <col min="7429" max="7429" width="8.81640625" style="113" customWidth="1"/>
    <col min="7430" max="7430" width="17.54296875" style="113" customWidth="1"/>
    <col min="7431" max="7431" width="0.1796875" style="113" customWidth="1"/>
    <col min="7432" max="7432" width="2.453125" style="113" customWidth="1"/>
    <col min="7433" max="7437" width="17.1796875" style="113" customWidth="1"/>
    <col min="7438" max="7438" width="1.54296875" style="113" customWidth="1"/>
    <col min="7439" max="7443" width="16.453125" style="113" customWidth="1"/>
    <col min="7444" max="7444" width="4.81640625" style="113" customWidth="1"/>
    <col min="7445" max="7449" width="15.54296875" style="113" customWidth="1"/>
    <col min="7450" max="7450" width="1.54296875" style="113" customWidth="1"/>
    <col min="7451" max="7455" width="15.54296875" style="113" customWidth="1"/>
    <col min="7456" max="7456" width="5.1796875" style="113" customWidth="1"/>
    <col min="7457" max="7461" width="13.81640625" style="113" customWidth="1"/>
    <col min="7462" max="7462" width="1.54296875" style="113" customWidth="1"/>
    <col min="7463" max="7467" width="13.81640625" style="113" customWidth="1"/>
    <col min="7468" max="7680" width="11.453125" style="113"/>
    <col min="7681" max="7681" width="5.81640625" style="113" customWidth="1"/>
    <col min="7682" max="7682" width="15.81640625" style="113" customWidth="1"/>
    <col min="7683" max="7683" width="58.81640625" style="113" customWidth="1"/>
    <col min="7684" max="7684" width="8.81640625" style="113" bestFit="1" customWidth="1"/>
    <col min="7685" max="7685" width="8.81640625" style="113" customWidth="1"/>
    <col min="7686" max="7686" width="17.54296875" style="113" customWidth="1"/>
    <col min="7687" max="7687" width="0.1796875" style="113" customWidth="1"/>
    <col min="7688" max="7688" width="2.453125" style="113" customWidth="1"/>
    <col min="7689" max="7693" width="17.1796875" style="113" customWidth="1"/>
    <col min="7694" max="7694" width="1.54296875" style="113" customWidth="1"/>
    <col min="7695" max="7699" width="16.453125" style="113" customWidth="1"/>
    <col min="7700" max="7700" width="4.81640625" style="113" customWidth="1"/>
    <col min="7701" max="7705" width="15.54296875" style="113" customWidth="1"/>
    <col min="7706" max="7706" width="1.54296875" style="113" customWidth="1"/>
    <col min="7707" max="7711" width="15.54296875" style="113" customWidth="1"/>
    <col min="7712" max="7712" width="5.1796875" style="113" customWidth="1"/>
    <col min="7713" max="7717" width="13.81640625" style="113" customWidth="1"/>
    <col min="7718" max="7718" width="1.54296875" style="113" customWidth="1"/>
    <col min="7719" max="7723" width="13.81640625" style="113" customWidth="1"/>
    <col min="7724" max="7936" width="11.453125" style="113"/>
    <col min="7937" max="7937" width="5.81640625" style="113" customWidth="1"/>
    <col min="7938" max="7938" width="15.81640625" style="113" customWidth="1"/>
    <col min="7939" max="7939" width="58.81640625" style="113" customWidth="1"/>
    <col min="7940" max="7940" width="8.81640625" style="113" bestFit="1" customWidth="1"/>
    <col min="7941" max="7941" width="8.81640625" style="113" customWidth="1"/>
    <col min="7942" max="7942" width="17.54296875" style="113" customWidth="1"/>
    <col min="7943" max="7943" width="0.1796875" style="113" customWidth="1"/>
    <col min="7944" max="7944" width="2.453125" style="113" customWidth="1"/>
    <col min="7945" max="7949" width="17.1796875" style="113" customWidth="1"/>
    <col min="7950" max="7950" width="1.54296875" style="113" customWidth="1"/>
    <col min="7951" max="7955" width="16.453125" style="113" customWidth="1"/>
    <col min="7956" max="7956" width="4.81640625" style="113" customWidth="1"/>
    <col min="7957" max="7961" width="15.54296875" style="113" customWidth="1"/>
    <col min="7962" max="7962" width="1.54296875" style="113" customWidth="1"/>
    <col min="7963" max="7967" width="15.54296875" style="113" customWidth="1"/>
    <col min="7968" max="7968" width="5.1796875" style="113" customWidth="1"/>
    <col min="7969" max="7973" width="13.81640625" style="113" customWidth="1"/>
    <col min="7974" max="7974" width="1.54296875" style="113" customWidth="1"/>
    <col min="7975" max="7979" width="13.81640625" style="113" customWidth="1"/>
    <col min="7980" max="8192" width="11.453125" style="113"/>
    <col min="8193" max="8193" width="5.81640625" style="113" customWidth="1"/>
    <col min="8194" max="8194" width="15.81640625" style="113" customWidth="1"/>
    <col min="8195" max="8195" width="58.81640625" style="113" customWidth="1"/>
    <col min="8196" max="8196" width="8.81640625" style="113" bestFit="1" customWidth="1"/>
    <col min="8197" max="8197" width="8.81640625" style="113" customWidth="1"/>
    <col min="8198" max="8198" width="17.54296875" style="113" customWidth="1"/>
    <col min="8199" max="8199" width="0.1796875" style="113" customWidth="1"/>
    <col min="8200" max="8200" width="2.453125" style="113" customWidth="1"/>
    <col min="8201" max="8205" width="17.1796875" style="113" customWidth="1"/>
    <col min="8206" max="8206" width="1.54296875" style="113" customWidth="1"/>
    <col min="8207" max="8211" width="16.453125" style="113" customWidth="1"/>
    <col min="8212" max="8212" width="4.81640625" style="113" customWidth="1"/>
    <col min="8213" max="8217" width="15.54296875" style="113" customWidth="1"/>
    <col min="8218" max="8218" width="1.54296875" style="113" customWidth="1"/>
    <col min="8219" max="8223" width="15.54296875" style="113" customWidth="1"/>
    <col min="8224" max="8224" width="5.1796875" style="113" customWidth="1"/>
    <col min="8225" max="8229" width="13.81640625" style="113" customWidth="1"/>
    <col min="8230" max="8230" width="1.54296875" style="113" customWidth="1"/>
    <col min="8231" max="8235" width="13.81640625" style="113" customWidth="1"/>
    <col min="8236" max="8448" width="11.453125" style="113"/>
    <col min="8449" max="8449" width="5.81640625" style="113" customWidth="1"/>
    <col min="8450" max="8450" width="15.81640625" style="113" customWidth="1"/>
    <col min="8451" max="8451" width="58.81640625" style="113" customWidth="1"/>
    <col min="8452" max="8452" width="8.81640625" style="113" bestFit="1" customWidth="1"/>
    <col min="8453" max="8453" width="8.81640625" style="113" customWidth="1"/>
    <col min="8454" max="8454" width="17.54296875" style="113" customWidth="1"/>
    <col min="8455" max="8455" width="0.1796875" style="113" customWidth="1"/>
    <col min="8456" max="8456" width="2.453125" style="113" customWidth="1"/>
    <col min="8457" max="8461" width="17.1796875" style="113" customWidth="1"/>
    <col min="8462" max="8462" width="1.54296875" style="113" customWidth="1"/>
    <col min="8463" max="8467" width="16.453125" style="113" customWidth="1"/>
    <col min="8468" max="8468" width="4.81640625" style="113" customWidth="1"/>
    <col min="8469" max="8473" width="15.54296875" style="113" customWidth="1"/>
    <col min="8474" max="8474" width="1.54296875" style="113" customWidth="1"/>
    <col min="8475" max="8479" width="15.54296875" style="113" customWidth="1"/>
    <col min="8480" max="8480" width="5.1796875" style="113" customWidth="1"/>
    <col min="8481" max="8485" width="13.81640625" style="113" customWidth="1"/>
    <col min="8486" max="8486" width="1.54296875" style="113" customWidth="1"/>
    <col min="8487" max="8491" width="13.81640625" style="113" customWidth="1"/>
    <col min="8492" max="8704" width="11.453125" style="113"/>
    <col min="8705" max="8705" width="5.81640625" style="113" customWidth="1"/>
    <col min="8706" max="8706" width="15.81640625" style="113" customWidth="1"/>
    <col min="8707" max="8707" width="58.81640625" style="113" customWidth="1"/>
    <col min="8708" max="8708" width="8.81640625" style="113" bestFit="1" customWidth="1"/>
    <col min="8709" max="8709" width="8.81640625" style="113" customWidth="1"/>
    <col min="8710" max="8710" width="17.54296875" style="113" customWidth="1"/>
    <col min="8711" max="8711" width="0.1796875" style="113" customWidth="1"/>
    <col min="8712" max="8712" width="2.453125" style="113" customWidth="1"/>
    <col min="8713" max="8717" width="17.1796875" style="113" customWidth="1"/>
    <col min="8718" max="8718" width="1.54296875" style="113" customWidth="1"/>
    <col min="8719" max="8723" width="16.453125" style="113" customWidth="1"/>
    <col min="8724" max="8724" width="4.81640625" style="113" customWidth="1"/>
    <col min="8725" max="8729" width="15.54296875" style="113" customWidth="1"/>
    <col min="8730" max="8730" width="1.54296875" style="113" customWidth="1"/>
    <col min="8731" max="8735" width="15.54296875" style="113" customWidth="1"/>
    <col min="8736" max="8736" width="5.1796875" style="113" customWidth="1"/>
    <col min="8737" max="8741" width="13.81640625" style="113" customWidth="1"/>
    <col min="8742" max="8742" width="1.54296875" style="113" customWidth="1"/>
    <col min="8743" max="8747" width="13.81640625" style="113" customWidth="1"/>
    <col min="8748" max="8960" width="11.453125" style="113"/>
    <col min="8961" max="8961" width="5.81640625" style="113" customWidth="1"/>
    <col min="8962" max="8962" width="15.81640625" style="113" customWidth="1"/>
    <col min="8963" max="8963" width="58.81640625" style="113" customWidth="1"/>
    <col min="8964" max="8964" width="8.81640625" style="113" bestFit="1" customWidth="1"/>
    <col min="8965" max="8965" width="8.81640625" style="113" customWidth="1"/>
    <col min="8966" max="8966" width="17.54296875" style="113" customWidth="1"/>
    <col min="8967" max="8967" width="0.1796875" style="113" customWidth="1"/>
    <col min="8968" max="8968" width="2.453125" style="113" customWidth="1"/>
    <col min="8969" max="8973" width="17.1796875" style="113" customWidth="1"/>
    <col min="8974" max="8974" width="1.54296875" style="113" customWidth="1"/>
    <col min="8975" max="8979" width="16.453125" style="113" customWidth="1"/>
    <col min="8980" max="8980" width="4.81640625" style="113" customWidth="1"/>
    <col min="8981" max="8985" width="15.54296875" style="113" customWidth="1"/>
    <col min="8986" max="8986" width="1.54296875" style="113" customWidth="1"/>
    <col min="8987" max="8991" width="15.54296875" style="113" customWidth="1"/>
    <col min="8992" max="8992" width="5.1796875" style="113" customWidth="1"/>
    <col min="8993" max="8997" width="13.81640625" style="113" customWidth="1"/>
    <col min="8998" max="8998" width="1.54296875" style="113" customWidth="1"/>
    <col min="8999" max="9003" width="13.81640625" style="113" customWidth="1"/>
    <col min="9004" max="9216" width="11.453125" style="113"/>
    <col min="9217" max="9217" width="5.81640625" style="113" customWidth="1"/>
    <col min="9218" max="9218" width="15.81640625" style="113" customWidth="1"/>
    <col min="9219" max="9219" width="58.81640625" style="113" customWidth="1"/>
    <col min="9220" max="9220" width="8.81640625" style="113" bestFit="1" customWidth="1"/>
    <col min="9221" max="9221" width="8.81640625" style="113" customWidth="1"/>
    <col min="9222" max="9222" width="17.54296875" style="113" customWidth="1"/>
    <col min="9223" max="9223" width="0.1796875" style="113" customWidth="1"/>
    <col min="9224" max="9224" width="2.453125" style="113" customWidth="1"/>
    <col min="9225" max="9229" width="17.1796875" style="113" customWidth="1"/>
    <col min="9230" max="9230" width="1.54296875" style="113" customWidth="1"/>
    <col min="9231" max="9235" width="16.453125" style="113" customWidth="1"/>
    <col min="9236" max="9236" width="4.81640625" style="113" customWidth="1"/>
    <col min="9237" max="9241" width="15.54296875" style="113" customWidth="1"/>
    <col min="9242" max="9242" width="1.54296875" style="113" customWidth="1"/>
    <col min="9243" max="9247" width="15.54296875" style="113" customWidth="1"/>
    <col min="9248" max="9248" width="5.1796875" style="113" customWidth="1"/>
    <col min="9249" max="9253" width="13.81640625" style="113" customWidth="1"/>
    <col min="9254" max="9254" width="1.54296875" style="113" customWidth="1"/>
    <col min="9255" max="9259" width="13.81640625" style="113" customWidth="1"/>
    <col min="9260" max="9472" width="11.453125" style="113"/>
    <col min="9473" max="9473" width="5.81640625" style="113" customWidth="1"/>
    <col min="9474" max="9474" width="15.81640625" style="113" customWidth="1"/>
    <col min="9475" max="9475" width="58.81640625" style="113" customWidth="1"/>
    <col min="9476" max="9476" width="8.81640625" style="113" bestFit="1" customWidth="1"/>
    <col min="9477" max="9477" width="8.81640625" style="113" customWidth="1"/>
    <col min="9478" max="9478" width="17.54296875" style="113" customWidth="1"/>
    <col min="9479" max="9479" width="0.1796875" style="113" customWidth="1"/>
    <col min="9480" max="9480" width="2.453125" style="113" customWidth="1"/>
    <col min="9481" max="9485" width="17.1796875" style="113" customWidth="1"/>
    <col min="9486" max="9486" width="1.54296875" style="113" customWidth="1"/>
    <col min="9487" max="9491" width="16.453125" style="113" customWidth="1"/>
    <col min="9492" max="9492" width="4.81640625" style="113" customWidth="1"/>
    <col min="9493" max="9497" width="15.54296875" style="113" customWidth="1"/>
    <col min="9498" max="9498" width="1.54296875" style="113" customWidth="1"/>
    <col min="9499" max="9503" width="15.54296875" style="113" customWidth="1"/>
    <col min="9504" max="9504" width="5.1796875" style="113" customWidth="1"/>
    <col min="9505" max="9509" width="13.81640625" style="113" customWidth="1"/>
    <col min="9510" max="9510" width="1.54296875" style="113" customWidth="1"/>
    <col min="9511" max="9515" width="13.81640625" style="113" customWidth="1"/>
    <col min="9516" max="9728" width="11.453125" style="113"/>
    <col min="9729" max="9729" width="5.81640625" style="113" customWidth="1"/>
    <col min="9730" max="9730" width="15.81640625" style="113" customWidth="1"/>
    <col min="9731" max="9731" width="58.81640625" style="113" customWidth="1"/>
    <col min="9732" max="9732" width="8.81640625" style="113" bestFit="1" customWidth="1"/>
    <col min="9733" max="9733" width="8.81640625" style="113" customWidth="1"/>
    <col min="9734" max="9734" width="17.54296875" style="113" customWidth="1"/>
    <col min="9735" max="9735" width="0.1796875" style="113" customWidth="1"/>
    <col min="9736" max="9736" width="2.453125" style="113" customWidth="1"/>
    <col min="9737" max="9741" width="17.1796875" style="113" customWidth="1"/>
    <col min="9742" max="9742" width="1.54296875" style="113" customWidth="1"/>
    <col min="9743" max="9747" width="16.453125" style="113" customWidth="1"/>
    <col min="9748" max="9748" width="4.81640625" style="113" customWidth="1"/>
    <col min="9749" max="9753" width="15.54296875" style="113" customWidth="1"/>
    <col min="9754" max="9754" width="1.54296875" style="113" customWidth="1"/>
    <col min="9755" max="9759" width="15.54296875" style="113" customWidth="1"/>
    <col min="9760" max="9760" width="5.1796875" style="113" customWidth="1"/>
    <col min="9761" max="9765" width="13.81640625" style="113" customWidth="1"/>
    <col min="9766" max="9766" width="1.54296875" style="113" customWidth="1"/>
    <col min="9767" max="9771" width="13.81640625" style="113" customWidth="1"/>
    <col min="9772" max="9984" width="11.453125" style="113"/>
    <col min="9985" max="9985" width="5.81640625" style="113" customWidth="1"/>
    <col min="9986" max="9986" width="15.81640625" style="113" customWidth="1"/>
    <col min="9987" max="9987" width="58.81640625" style="113" customWidth="1"/>
    <col min="9988" max="9988" width="8.81640625" style="113" bestFit="1" customWidth="1"/>
    <col min="9989" max="9989" width="8.81640625" style="113" customWidth="1"/>
    <col min="9990" max="9990" width="17.54296875" style="113" customWidth="1"/>
    <col min="9991" max="9991" width="0.1796875" style="113" customWidth="1"/>
    <col min="9992" max="9992" width="2.453125" style="113" customWidth="1"/>
    <col min="9993" max="9997" width="17.1796875" style="113" customWidth="1"/>
    <col min="9998" max="9998" width="1.54296875" style="113" customWidth="1"/>
    <col min="9999" max="10003" width="16.453125" style="113" customWidth="1"/>
    <col min="10004" max="10004" width="4.81640625" style="113" customWidth="1"/>
    <col min="10005" max="10009" width="15.54296875" style="113" customWidth="1"/>
    <col min="10010" max="10010" width="1.54296875" style="113" customWidth="1"/>
    <col min="10011" max="10015" width="15.54296875" style="113" customWidth="1"/>
    <col min="10016" max="10016" width="5.1796875" style="113" customWidth="1"/>
    <col min="10017" max="10021" width="13.81640625" style="113" customWidth="1"/>
    <col min="10022" max="10022" width="1.54296875" style="113" customWidth="1"/>
    <col min="10023" max="10027" width="13.81640625" style="113" customWidth="1"/>
    <col min="10028" max="10240" width="11.453125" style="113"/>
    <col min="10241" max="10241" width="5.81640625" style="113" customWidth="1"/>
    <col min="10242" max="10242" width="15.81640625" style="113" customWidth="1"/>
    <col min="10243" max="10243" width="58.81640625" style="113" customWidth="1"/>
    <col min="10244" max="10244" width="8.81640625" style="113" bestFit="1" customWidth="1"/>
    <col min="10245" max="10245" width="8.81640625" style="113" customWidth="1"/>
    <col min="10246" max="10246" width="17.54296875" style="113" customWidth="1"/>
    <col min="10247" max="10247" width="0.1796875" style="113" customWidth="1"/>
    <col min="10248" max="10248" width="2.453125" style="113" customWidth="1"/>
    <col min="10249" max="10253" width="17.1796875" style="113" customWidth="1"/>
    <col min="10254" max="10254" width="1.54296875" style="113" customWidth="1"/>
    <col min="10255" max="10259" width="16.453125" style="113" customWidth="1"/>
    <col min="10260" max="10260" width="4.81640625" style="113" customWidth="1"/>
    <col min="10261" max="10265" width="15.54296875" style="113" customWidth="1"/>
    <col min="10266" max="10266" width="1.54296875" style="113" customWidth="1"/>
    <col min="10267" max="10271" width="15.54296875" style="113" customWidth="1"/>
    <col min="10272" max="10272" width="5.1796875" style="113" customWidth="1"/>
    <col min="10273" max="10277" width="13.81640625" style="113" customWidth="1"/>
    <col min="10278" max="10278" width="1.54296875" style="113" customWidth="1"/>
    <col min="10279" max="10283" width="13.81640625" style="113" customWidth="1"/>
    <col min="10284" max="10496" width="11.453125" style="113"/>
    <col min="10497" max="10497" width="5.81640625" style="113" customWidth="1"/>
    <col min="10498" max="10498" width="15.81640625" style="113" customWidth="1"/>
    <col min="10499" max="10499" width="58.81640625" style="113" customWidth="1"/>
    <col min="10500" max="10500" width="8.81640625" style="113" bestFit="1" customWidth="1"/>
    <col min="10501" max="10501" width="8.81640625" style="113" customWidth="1"/>
    <col min="10502" max="10502" width="17.54296875" style="113" customWidth="1"/>
    <col min="10503" max="10503" width="0.1796875" style="113" customWidth="1"/>
    <col min="10504" max="10504" width="2.453125" style="113" customWidth="1"/>
    <col min="10505" max="10509" width="17.1796875" style="113" customWidth="1"/>
    <col min="10510" max="10510" width="1.54296875" style="113" customWidth="1"/>
    <col min="10511" max="10515" width="16.453125" style="113" customWidth="1"/>
    <col min="10516" max="10516" width="4.81640625" style="113" customWidth="1"/>
    <col min="10517" max="10521" width="15.54296875" style="113" customWidth="1"/>
    <col min="10522" max="10522" width="1.54296875" style="113" customWidth="1"/>
    <col min="10523" max="10527" width="15.54296875" style="113" customWidth="1"/>
    <col min="10528" max="10528" width="5.1796875" style="113" customWidth="1"/>
    <col min="10529" max="10533" width="13.81640625" style="113" customWidth="1"/>
    <col min="10534" max="10534" width="1.54296875" style="113" customWidth="1"/>
    <col min="10535" max="10539" width="13.81640625" style="113" customWidth="1"/>
    <col min="10540" max="10752" width="11.453125" style="113"/>
    <col min="10753" max="10753" width="5.81640625" style="113" customWidth="1"/>
    <col min="10754" max="10754" width="15.81640625" style="113" customWidth="1"/>
    <col min="10755" max="10755" width="58.81640625" style="113" customWidth="1"/>
    <col min="10756" max="10756" width="8.81640625" style="113" bestFit="1" customWidth="1"/>
    <col min="10757" max="10757" width="8.81640625" style="113" customWidth="1"/>
    <col min="10758" max="10758" width="17.54296875" style="113" customWidth="1"/>
    <col min="10759" max="10759" width="0.1796875" style="113" customWidth="1"/>
    <col min="10760" max="10760" width="2.453125" style="113" customWidth="1"/>
    <col min="10761" max="10765" width="17.1796875" style="113" customWidth="1"/>
    <col min="10766" max="10766" width="1.54296875" style="113" customWidth="1"/>
    <col min="10767" max="10771" width="16.453125" style="113" customWidth="1"/>
    <col min="10772" max="10772" width="4.81640625" style="113" customWidth="1"/>
    <col min="10773" max="10777" width="15.54296875" style="113" customWidth="1"/>
    <col min="10778" max="10778" width="1.54296875" style="113" customWidth="1"/>
    <col min="10779" max="10783" width="15.54296875" style="113" customWidth="1"/>
    <col min="10784" max="10784" width="5.1796875" style="113" customWidth="1"/>
    <col min="10785" max="10789" width="13.81640625" style="113" customWidth="1"/>
    <col min="10790" max="10790" width="1.54296875" style="113" customWidth="1"/>
    <col min="10791" max="10795" width="13.81640625" style="113" customWidth="1"/>
    <col min="10796" max="11008" width="11.453125" style="113"/>
    <col min="11009" max="11009" width="5.81640625" style="113" customWidth="1"/>
    <col min="11010" max="11010" width="15.81640625" style="113" customWidth="1"/>
    <col min="11011" max="11011" width="58.81640625" style="113" customWidth="1"/>
    <col min="11012" max="11012" width="8.81640625" style="113" bestFit="1" customWidth="1"/>
    <col min="11013" max="11013" width="8.81640625" style="113" customWidth="1"/>
    <col min="11014" max="11014" width="17.54296875" style="113" customWidth="1"/>
    <col min="11015" max="11015" width="0.1796875" style="113" customWidth="1"/>
    <col min="11016" max="11016" width="2.453125" style="113" customWidth="1"/>
    <col min="11017" max="11021" width="17.1796875" style="113" customWidth="1"/>
    <col min="11022" max="11022" width="1.54296875" style="113" customWidth="1"/>
    <col min="11023" max="11027" width="16.453125" style="113" customWidth="1"/>
    <col min="11028" max="11028" width="4.81640625" style="113" customWidth="1"/>
    <col min="11029" max="11033" width="15.54296875" style="113" customWidth="1"/>
    <col min="11034" max="11034" width="1.54296875" style="113" customWidth="1"/>
    <col min="11035" max="11039" width="15.54296875" style="113" customWidth="1"/>
    <col min="11040" max="11040" width="5.1796875" style="113" customWidth="1"/>
    <col min="11041" max="11045" width="13.81640625" style="113" customWidth="1"/>
    <col min="11046" max="11046" width="1.54296875" style="113" customWidth="1"/>
    <col min="11047" max="11051" width="13.81640625" style="113" customWidth="1"/>
    <col min="11052" max="11264" width="11.453125" style="113"/>
    <col min="11265" max="11265" width="5.81640625" style="113" customWidth="1"/>
    <col min="11266" max="11266" width="15.81640625" style="113" customWidth="1"/>
    <col min="11267" max="11267" width="58.81640625" style="113" customWidth="1"/>
    <col min="11268" max="11268" width="8.81640625" style="113" bestFit="1" customWidth="1"/>
    <col min="11269" max="11269" width="8.81640625" style="113" customWidth="1"/>
    <col min="11270" max="11270" width="17.54296875" style="113" customWidth="1"/>
    <col min="11271" max="11271" width="0.1796875" style="113" customWidth="1"/>
    <col min="11272" max="11272" width="2.453125" style="113" customWidth="1"/>
    <col min="11273" max="11277" width="17.1796875" style="113" customWidth="1"/>
    <col min="11278" max="11278" width="1.54296875" style="113" customWidth="1"/>
    <col min="11279" max="11283" width="16.453125" style="113" customWidth="1"/>
    <col min="11284" max="11284" width="4.81640625" style="113" customWidth="1"/>
    <col min="11285" max="11289" width="15.54296875" style="113" customWidth="1"/>
    <col min="11290" max="11290" width="1.54296875" style="113" customWidth="1"/>
    <col min="11291" max="11295" width="15.54296875" style="113" customWidth="1"/>
    <col min="11296" max="11296" width="5.1796875" style="113" customWidth="1"/>
    <col min="11297" max="11301" width="13.81640625" style="113" customWidth="1"/>
    <col min="11302" max="11302" width="1.54296875" style="113" customWidth="1"/>
    <col min="11303" max="11307" width="13.81640625" style="113" customWidth="1"/>
    <col min="11308" max="11520" width="11.453125" style="113"/>
    <col min="11521" max="11521" width="5.81640625" style="113" customWidth="1"/>
    <col min="11522" max="11522" width="15.81640625" style="113" customWidth="1"/>
    <col min="11523" max="11523" width="58.81640625" style="113" customWidth="1"/>
    <col min="11524" max="11524" width="8.81640625" style="113" bestFit="1" customWidth="1"/>
    <col min="11525" max="11525" width="8.81640625" style="113" customWidth="1"/>
    <col min="11526" max="11526" width="17.54296875" style="113" customWidth="1"/>
    <col min="11527" max="11527" width="0.1796875" style="113" customWidth="1"/>
    <col min="11528" max="11528" width="2.453125" style="113" customWidth="1"/>
    <col min="11529" max="11533" width="17.1796875" style="113" customWidth="1"/>
    <col min="11534" max="11534" width="1.54296875" style="113" customWidth="1"/>
    <col min="11535" max="11539" width="16.453125" style="113" customWidth="1"/>
    <col min="11540" max="11540" width="4.81640625" style="113" customWidth="1"/>
    <col min="11541" max="11545" width="15.54296875" style="113" customWidth="1"/>
    <col min="11546" max="11546" width="1.54296875" style="113" customWidth="1"/>
    <col min="11547" max="11551" width="15.54296875" style="113" customWidth="1"/>
    <col min="11552" max="11552" width="5.1796875" style="113" customWidth="1"/>
    <col min="11553" max="11557" width="13.81640625" style="113" customWidth="1"/>
    <col min="11558" max="11558" width="1.54296875" style="113" customWidth="1"/>
    <col min="11559" max="11563" width="13.81640625" style="113" customWidth="1"/>
    <col min="11564" max="11776" width="11.453125" style="113"/>
    <col min="11777" max="11777" width="5.81640625" style="113" customWidth="1"/>
    <col min="11778" max="11778" width="15.81640625" style="113" customWidth="1"/>
    <col min="11779" max="11779" width="58.81640625" style="113" customWidth="1"/>
    <col min="11780" max="11780" width="8.81640625" style="113" bestFit="1" customWidth="1"/>
    <col min="11781" max="11781" width="8.81640625" style="113" customWidth="1"/>
    <col min="11782" max="11782" width="17.54296875" style="113" customWidth="1"/>
    <col min="11783" max="11783" width="0.1796875" style="113" customWidth="1"/>
    <col min="11784" max="11784" width="2.453125" style="113" customWidth="1"/>
    <col min="11785" max="11789" width="17.1796875" style="113" customWidth="1"/>
    <col min="11790" max="11790" width="1.54296875" style="113" customWidth="1"/>
    <col min="11791" max="11795" width="16.453125" style="113" customWidth="1"/>
    <col min="11796" max="11796" width="4.81640625" style="113" customWidth="1"/>
    <col min="11797" max="11801" width="15.54296875" style="113" customWidth="1"/>
    <col min="11802" max="11802" width="1.54296875" style="113" customWidth="1"/>
    <col min="11803" max="11807" width="15.54296875" style="113" customWidth="1"/>
    <col min="11808" max="11808" width="5.1796875" style="113" customWidth="1"/>
    <col min="11809" max="11813" width="13.81640625" style="113" customWidth="1"/>
    <col min="11814" max="11814" width="1.54296875" style="113" customWidth="1"/>
    <col min="11815" max="11819" width="13.81640625" style="113" customWidth="1"/>
    <col min="11820" max="12032" width="11.453125" style="113"/>
    <col min="12033" max="12033" width="5.81640625" style="113" customWidth="1"/>
    <col min="12034" max="12034" width="15.81640625" style="113" customWidth="1"/>
    <col min="12035" max="12035" width="58.81640625" style="113" customWidth="1"/>
    <col min="12036" max="12036" width="8.81640625" style="113" bestFit="1" customWidth="1"/>
    <col min="12037" max="12037" width="8.81640625" style="113" customWidth="1"/>
    <col min="12038" max="12038" width="17.54296875" style="113" customWidth="1"/>
    <col min="12039" max="12039" width="0.1796875" style="113" customWidth="1"/>
    <col min="12040" max="12040" width="2.453125" style="113" customWidth="1"/>
    <col min="12041" max="12045" width="17.1796875" style="113" customWidth="1"/>
    <col min="12046" max="12046" width="1.54296875" style="113" customWidth="1"/>
    <col min="12047" max="12051" width="16.453125" style="113" customWidth="1"/>
    <col min="12052" max="12052" width="4.81640625" style="113" customWidth="1"/>
    <col min="12053" max="12057" width="15.54296875" style="113" customWidth="1"/>
    <col min="12058" max="12058" width="1.54296875" style="113" customWidth="1"/>
    <col min="12059" max="12063" width="15.54296875" style="113" customWidth="1"/>
    <col min="12064" max="12064" width="5.1796875" style="113" customWidth="1"/>
    <col min="12065" max="12069" width="13.81640625" style="113" customWidth="1"/>
    <col min="12070" max="12070" width="1.54296875" style="113" customWidth="1"/>
    <col min="12071" max="12075" width="13.81640625" style="113" customWidth="1"/>
    <col min="12076" max="12288" width="11.453125" style="113"/>
    <col min="12289" max="12289" width="5.81640625" style="113" customWidth="1"/>
    <col min="12290" max="12290" width="15.81640625" style="113" customWidth="1"/>
    <col min="12291" max="12291" width="58.81640625" style="113" customWidth="1"/>
    <col min="12292" max="12292" width="8.81640625" style="113" bestFit="1" customWidth="1"/>
    <col min="12293" max="12293" width="8.81640625" style="113" customWidth="1"/>
    <col min="12294" max="12294" width="17.54296875" style="113" customWidth="1"/>
    <col min="12295" max="12295" width="0.1796875" style="113" customWidth="1"/>
    <col min="12296" max="12296" width="2.453125" style="113" customWidth="1"/>
    <col min="12297" max="12301" width="17.1796875" style="113" customWidth="1"/>
    <col min="12302" max="12302" width="1.54296875" style="113" customWidth="1"/>
    <col min="12303" max="12307" width="16.453125" style="113" customWidth="1"/>
    <col min="12308" max="12308" width="4.81640625" style="113" customWidth="1"/>
    <col min="12309" max="12313" width="15.54296875" style="113" customWidth="1"/>
    <col min="12314" max="12314" width="1.54296875" style="113" customWidth="1"/>
    <col min="12315" max="12319" width="15.54296875" style="113" customWidth="1"/>
    <col min="12320" max="12320" width="5.1796875" style="113" customWidth="1"/>
    <col min="12321" max="12325" width="13.81640625" style="113" customWidth="1"/>
    <col min="12326" max="12326" width="1.54296875" style="113" customWidth="1"/>
    <col min="12327" max="12331" width="13.81640625" style="113" customWidth="1"/>
    <col min="12332" max="12544" width="11.453125" style="113"/>
    <col min="12545" max="12545" width="5.81640625" style="113" customWidth="1"/>
    <col min="12546" max="12546" width="15.81640625" style="113" customWidth="1"/>
    <col min="12547" max="12547" width="58.81640625" style="113" customWidth="1"/>
    <col min="12548" max="12548" width="8.81640625" style="113" bestFit="1" customWidth="1"/>
    <col min="12549" max="12549" width="8.81640625" style="113" customWidth="1"/>
    <col min="12550" max="12550" width="17.54296875" style="113" customWidth="1"/>
    <col min="12551" max="12551" width="0.1796875" style="113" customWidth="1"/>
    <col min="12552" max="12552" width="2.453125" style="113" customWidth="1"/>
    <col min="12553" max="12557" width="17.1796875" style="113" customWidth="1"/>
    <col min="12558" max="12558" width="1.54296875" style="113" customWidth="1"/>
    <col min="12559" max="12563" width="16.453125" style="113" customWidth="1"/>
    <col min="12564" max="12564" width="4.81640625" style="113" customWidth="1"/>
    <col min="12565" max="12569" width="15.54296875" style="113" customWidth="1"/>
    <col min="12570" max="12570" width="1.54296875" style="113" customWidth="1"/>
    <col min="12571" max="12575" width="15.54296875" style="113" customWidth="1"/>
    <col min="12576" max="12576" width="5.1796875" style="113" customWidth="1"/>
    <col min="12577" max="12581" width="13.81640625" style="113" customWidth="1"/>
    <col min="12582" max="12582" width="1.54296875" style="113" customWidth="1"/>
    <col min="12583" max="12587" width="13.81640625" style="113" customWidth="1"/>
    <col min="12588" max="12800" width="11.453125" style="113"/>
    <col min="12801" max="12801" width="5.81640625" style="113" customWidth="1"/>
    <col min="12802" max="12802" width="15.81640625" style="113" customWidth="1"/>
    <col min="12803" max="12803" width="58.81640625" style="113" customWidth="1"/>
    <col min="12804" max="12804" width="8.81640625" style="113" bestFit="1" customWidth="1"/>
    <col min="12805" max="12805" width="8.81640625" style="113" customWidth="1"/>
    <col min="12806" max="12806" width="17.54296875" style="113" customWidth="1"/>
    <col min="12807" max="12807" width="0.1796875" style="113" customWidth="1"/>
    <col min="12808" max="12808" width="2.453125" style="113" customWidth="1"/>
    <col min="12809" max="12813" width="17.1796875" style="113" customWidth="1"/>
    <col min="12814" max="12814" width="1.54296875" style="113" customWidth="1"/>
    <col min="12815" max="12819" width="16.453125" style="113" customWidth="1"/>
    <col min="12820" max="12820" width="4.81640625" style="113" customWidth="1"/>
    <col min="12821" max="12825" width="15.54296875" style="113" customWidth="1"/>
    <col min="12826" max="12826" width="1.54296875" style="113" customWidth="1"/>
    <col min="12827" max="12831" width="15.54296875" style="113" customWidth="1"/>
    <col min="12832" max="12832" width="5.1796875" style="113" customWidth="1"/>
    <col min="12833" max="12837" width="13.81640625" style="113" customWidth="1"/>
    <col min="12838" max="12838" width="1.54296875" style="113" customWidth="1"/>
    <col min="12839" max="12843" width="13.81640625" style="113" customWidth="1"/>
    <col min="12844" max="13056" width="11.453125" style="113"/>
    <col min="13057" max="13057" width="5.81640625" style="113" customWidth="1"/>
    <col min="13058" max="13058" width="15.81640625" style="113" customWidth="1"/>
    <col min="13059" max="13059" width="58.81640625" style="113" customWidth="1"/>
    <col min="13060" max="13060" width="8.81640625" style="113" bestFit="1" customWidth="1"/>
    <col min="13061" max="13061" width="8.81640625" style="113" customWidth="1"/>
    <col min="13062" max="13062" width="17.54296875" style="113" customWidth="1"/>
    <col min="13063" max="13063" width="0.1796875" style="113" customWidth="1"/>
    <col min="13064" max="13064" width="2.453125" style="113" customWidth="1"/>
    <col min="13065" max="13069" width="17.1796875" style="113" customWidth="1"/>
    <col min="13070" max="13070" width="1.54296875" style="113" customWidth="1"/>
    <col min="13071" max="13075" width="16.453125" style="113" customWidth="1"/>
    <col min="13076" max="13076" width="4.81640625" style="113" customWidth="1"/>
    <col min="13077" max="13081" width="15.54296875" style="113" customWidth="1"/>
    <col min="13082" max="13082" width="1.54296875" style="113" customWidth="1"/>
    <col min="13083" max="13087" width="15.54296875" style="113" customWidth="1"/>
    <col min="13088" max="13088" width="5.1796875" style="113" customWidth="1"/>
    <col min="13089" max="13093" width="13.81640625" style="113" customWidth="1"/>
    <col min="13094" max="13094" width="1.54296875" style="113" customWidth="1"/>
    <col min="13095" max="13099" width="13.81640625" style="113" customWidth="1"/>
    <col min="13100" max="13312" width="11.453125" style="113"/>
    <col min="13313" max="13313" width="5.81640625" style="113" customWidth="1"/>
    <col min="13314" max="13314" width="15.81640625" style="113" customWidth="1"/>
    <col min="13315" max="13315" width="58.81640625" style="113" customWidth="1"/>
    <col min="13316" max="13316" width="8.81640625" style="113" bestFit="1" customWidth="1"/>
    <col min="13317" max="13317" width="8.81640625" style="113" customWidth="1"/>
    <col min="13318" max="13318" width="17.54296875" style="113" customWidth="1"/>
    <col min="13319" max="13319" width="0.1796875" style="113" customWidth="1"/>
    <col min="13320" max="13320" width="2.453125" style="113" customWidth="1"/>
    <col min="13321" max="13325" width="17.1796875" style="113" customWidth="1"/>
    <col min="13326" max="13326" width="1.54296875" style="113" customWidth="1"/>
    <col min="13327" max="13331" width="16.453125" style="113" customWidth="1"/>
    <col min="13332" max="13332" width="4.81640625" style="113" customWidth="1"/>
    <col min="13333" max="13337" width="15.54296875" style="113" customWidth="1"/>
    <col min="13338" max="13338" width="1.54296875" style="113" customWidth="1"/>
    <col min="13339" max="13343" width="15.54296875" style="113" customWidth="1"/>
    <col min="13344" max="13344" width="5.1796875" style="113" customWidth="1"/>
    <col min="13345" max="13349" width="13.81640625" style="113" customWidth="1"/>
    <col min="13350" max="13350" width="1.54296875" style="113" customWidth="1"/>
    <col min="13351" max="13355" width="13.81640625" style="113" customWidth="1"/>
    <col min="13356" max="13568" width="11.453125" style="113"/>
    <col min="13569" max="13569" width="5.81640625" style="113" customWidth="1"/>
    <col min="13570" max="13570" width="15.81640625" style="113" customWidth="1"/>
    <col min="13571" max="13571" width="58.81640625" style="113" customWidth="1"/>
    <col min="13572" max="13572" width="8.81640625" style="113" bestFit="1" customWidth="1"/>
    <col min="13573" max="13573" width="8.81640625" style="113" customWidth="1"/>
    <col min="13574" max="13574" width="17.54296875" style="113" customWidth="1"/>
    <col min="13575" max="13575" width="0.1796875" style="113" customWidth="1"/>
    <col min="13576" max="13576" width="2.453125" style="113" customWidth="1"/>
    <col min="13577" max="13581" width="17.1796875" style="113" customWidth="1"/>
    <col min="13582" max="13582" width="1.54296875" style="113" customWidth="1"/>
    <col min="13583" max="13587" width="16.453125" style="113" customWidth="1"/>
    <col min="13588" max="13588" width="4.81640625" style="113" customWidth="1"/>
    <col min="13589" max="13593" width="15.54296875" style="113" customWidth="1"/>
    <col min="13594" max="13594" width="1.54296875" style="113" customWidth="1"/>
    <col min="13595" max="13599" width="15.54296875" style="113" customWidth="1"/>
    <col min="13600" max="13600" width="5.1796875" style="113" customWidth="1"/>
    <col min="13601" max="13605" width="13.81640625" style="113" customWidth="1"/>
    <col min="13606" max="13606" width="1.54296875" style="113" customWidth="1"/>
    <col min="13607" max="13611" width="13.81640625" style="113" customWidth="1"/>
    <col min="13612" max="13824" width="11.453125" style="113"/>
    <col min="13825" max="13825" width="5.81640625" style="113" customWidth="1"/>
    <col min="13826" max="13826" width="15.81640625" style="113" customWidth="1"/>
    <col min="13827" max="13827" width="58.81640625" style="113" customWidth="1"/>
    <col min="13828" max="13828" width="8.81640625" style="113" bestFit="1" customWidth="1"/>
    <col min="13829" max="13829" width="8.81640625" style="113" customWidth="1"/>
    <col min="13830" max="13830" width="17.54296875" style="113" customWidth="1"/>
    <col min="13831" max="13831" width="0.1796875" style="113" customWidth="1"/>
    <col min="13832" max="13832" width="2.453125" style="113" customWidth="1"/>
    <col min="13833" max="13837" width="17.1796875" style="113" customWidth="1"/>
    <col min="13838" max="13838" width="1.54296875" style="113" customWidth="1"/>
    <col min="13839" max="13843" width="16.453125" style="113" customWidth="1"/>
    <col min="13844" max="13844" width="4.81640625" style="113" customWidth="1"/>
    <col min="13845" max="13849" width="15.54296875" style="113" customWidth="1"/>
    <col min="13850" max="13850" width="1.54296875" style="113" customWidth="1"/>
    <col min="13851" max="13855" width="15.54296875" style="113" customWidth="1"/>
    <col min="13856" max="13856" width="5.1796875" style="113" customWidth="1"/>
    <col min="13857" max="13861" width="13.81640625" style="113" customWidth="1"/>
    <col min="13862" max="13862" width="1.54296875" style="113" customWidth="1"/>
    <col min="13863" max="13867" width="13.81640625" style="113" customWidth="1"/>
    <col min="13868" max="14080" width="11.453125" style="113"/>
    <col min="14081" max="14081" width="5.81640625" style="113" customWidth="1"/>
    <col min="14082" max="14082" width="15.81640625" style="113" customWidth="1"/>
    <col min="14083" max="14083" width="58.81640625" style="113" customWidth="1"/>
    <col min="14084" max="14084" width="8.81640625" style="113" bestFit="1" customWidth="1"/>
    <col min="14085" max="14085" width="8.81640625" style="113" customWidth="1"/>
    <col min="14086" max="14086" width="17.54296875" style="113" customWidth="1"/>
    <col min="14087" max="14087" width="0.1796875" style="113" customWidth="1"/>
    <col min="14088" max="14088" width="2.453125" style="113" customWidth="1"/>
    <col min="14089" max="14093" width="17.1796875" style="113" customWidth="1"/>
    <col min="14094" max="14094" width="1.54296875" style="113" customWidth="1"/>
    <col min="14095" max="14099" width="16.453125" style="113" customWidth="1"/>
    <col min="14100" max="14100" width="4.81640625" style="113" customWidth="1"/>
    <col min="14101" max="14105" width="15.54296875" style="113" customWidth="1"/>
    <col min="14106" max="14106" width="1.54296875" style="113" customWidth="1"/>
    <col min="14107" max="14111" width="15.54296875" style="113" customWidth="1"/>
    <col min="14112" max="14112" width="5.1796875" style="113" customWidth="1"/>
    <col min="14113" max="14117" width="13.81640625" style="113" customWidth="1"/>
    <col min="14118" max="14118" width="1.54296875" style="113" customWidth="1"/>
    <col min="14119" max="14123" width="13.81640625" style="113" customWidth="1"/>
    <col min="14124" max="14336" width="11.453125" style="113"/>
    <col min="14337" max="14337" width="5.81640625" style="113" customWidth="1"/>
    <col min="14338" max="14338" width="15.81640625" style="113" customWidth="1"/>
    <col min="14339" max="14339" width="58.81640625" style="113" customWidth="1"/>
    <col min="14340" max="14340" width="8.81640625" style="113" bestFit="1" customWidth="1"/>
    <col min="14341" max="14341" width="8.81640625" style="113" customWidth="1"/>
    <col min="14342" max="14342" width="17.54296875" style="113" customWidth="1"/>
    <col min="14343" max="14343" width="0.1796875" style="113" customWidth="1"/>
    <col min="14344" max="14344" width="2.453125" style="113" customWidth="1"/>
    <col min="14345" max="14349" width="17.1796875" style="113" customWidth="1"/>
    <col min="14350" max="14350" width="1.54296875" style="113" customWidth="1"/>
    <col min="14351" max="14355" width="16.453125" style="113" customWidth="1"/>
    <col min="14356" max="14356" width="4.81640625" style="113" customWidth="1"/>
    <col min="14357" max="14361" width="15.54296875" style="113" customWidth="1"/>
    <col min="14362" max="14362" width="1.54296875" style="113" customWidth="1"/>
    <col min="14363" max="14367" width="15.54296875" style="113" customWidth="1"/>
    <col min="14368" max="14368" width="5.1796875" style="113" customWidth="1"/>
    <col min="14369" max="14373" width="13.81640625" style="113" customWidth="1"/>
    <col min="14374" max="14374" width="1.54296875" style="113" customWidth="1"/>
    <col min="14375" max="14379" width="13.81640625" style="113" customWidth="1"/>
    <col min="14380" max="14592" width="11.453125" style="113"/>
    <col min="14593" max="14593" width="5.81640625" style="113" customWidth="1"/>
    <col min="14594" max="14594" width="15.81640625" style="113" customWidth="1"/>
    <col min="14595" max="14595" width="58.81640625" style="113" customWidth="1"/>
    <col min="14596" max="14596" width="8.81640625" style="113" bestFit="1" customWidth="1"/>
    <col min="14597" max="14597" width="8.81640625" style="113" customWidth="1"/>
    <col min="14598" max="14598" width="17.54296875" style="113" customWidth="1"/>
    <col min="14599" max="14599" width="0.1796875" style="113" customWidth="1"/>
    <col min="14600" max="14600" width="2.453125" style="113" customWidth="1"/>
    <col min="14601" max="14605" width="17.1796875" style="113" customWidth="1"/>
    <col min="14606" max="14606" width="1.54296875" style="113" customWidth="1"/>
    <col min="14607" max="14611" width="16.453125" style="113" customWidth="1"/>
    <col min="14612" max="14612" width="4.81640625" style="113" customWidth="1"/>
    <col min="14613" max="14617" width="15.54296875" style="113" customWidth="1"/>
    <col min="14618" max="14618" width="1.54296875" style="113" customWidth="1"/>
    <col min="14619" max="14623" width="15.54296875" style="113" customWidth="1"/>
    <col min="14624" max="14624" width="5.1796875" style="113" customWidth="1"/>
    <col min="14625" max="14629" width="13.81640625" style="113" customWidth="1"/>
    <col min="14630" max="14630" width="1.54296875" style="113" customWidth="1"/>
    <col min="14631" max="14635" width="13.81640625" style="113" customWidth="1"/>
    <col min="14636" max="14848" width="11.453125" style="113"/>
    <col min="14849" max="14849" width="5.81640625" style="113" customWidth="1"/>
    <col min="14850" max="14850" width="15.81640625" style="113" customWidth="1"/>
    <col min="14851" max="14851" width="58.81640625" style="113" customWidth="1"/>
    <col min="14852" max="14852" width="8.81640625" style="113" bestFit="1" customWidth="1"/>
    <col min="14853" max="14853" width="8.81640625" style="113" customWidth="1"/>
    <col min="14854" max="14854" width="17.54296875" style="113" customWidth="1"/>
    <col min="14855" max="14855" width="0.1796875" style="113" customWidth="1"/>
    <col min="14856" max="14856" width="2.453125" style="113" customWidth="1"/>
    <col min="14857" max="14861" width="17.1796875" style="113" customWidth="1"/>
    <col min="14862" max="14862" width="1.54296875" style="113" customWidth="1"/>
    <col min="14863" max="14867" width="16.453125" style="113" customWidth="1"/>
    <col min="14868" max="14868" width="4.81640625" style="113" customWidth="1"/>
    <col min="14869" max="14873" width="15.54296875" style="113" customWidth="1"/>
    <col min="14874" max="14874" width="1.54296875" style="113" customWidth="1"/>
    <col min="14875" max="14879" width="15.54296875" style="113" customWidth="1"/>
    <col min="14880" max="14880" width="5.1796875" style="113" customWidth="1"/>
    <col min="14881" max="14885" width="13.81640625" style="113" customWidth="1"/>
    <col min="14886" max="14886" width="1.54296875" style="113" customWidth="1"/>
    <col min="14887" max="14891" width="13.81640625" style="113" customWidth="1"/>
    <col min="14892" max="15104" width="11.453125" style="113"/>
    <col min="15105" max="15105" width="5.81640625" style="113" customWidth="1"/>
    <col min="15106" max="15106" width="15.81640625" style="113" customWidth="1"/>
    <col min="15107" max="15107" width="58.81640625" style="113" customWidth="1"/>
    <col min="15108" max="15108" width="8.81640625" style="113" bestFit="1" customWidth="1"/>
    <col min="15109" max="15109" width="8.81640625" style="113" customWidth="1"/>
    <col min="15110" max="15110" width="17.54296875" style="113" customWidth="1"/>
    <col min="15111" max="15111" width="0.1796875" style="113" customWidth="1"/>
    <col min="15112" max="15112" width="2.453125" style="113" customWidth="1"/>
    <col min="15113" max="15117" width="17.1796875" style="113" customWidth="1"/>
    <col min="15118" max="15118" width="1.54296875" style="113" customWidth="1"/>
    <col min="15119" max="15123" width="16.453125" style="113" customWidth="1"/>
    <col min="15124" max="15124" width="4.81640625" style="113" customWidth="1"/>
    <col min="15125" max="15129" width="15.54296875" style="113" customWidth="1"/>
    <col min="15130" max="15130" width="1.54296875" style="113" customWidth="1"/>
    <col min="15131" max="15135" width="15.54296875" style="113" customWidth="1"/>
    <col min="15136" max="15136" width="5.1796875" style="113" customWidth="1"/>
    <col min="15137" max="15141" width="13.81640625" style="113" customWidth="1"/>
    <col min="15142" max="15142" width="1.54296875" style="113" customWidth="1"/>
    <col min="15143" max="15147" width="13.81640625" style="113" customWidth="1"/>
    <col min="15148" max="15360" width="11.453125" style="113"/>
    <col min="15361" max="15361" width="5.81640625" style="113" customWidth="1"/>
    <col min="15362" max="15362" width="15.81640625" style="113" customWidth="1"/>
    <col min="15363" max="15363" width="58.81640625" style="113" customWidth="1"/>
    <col min="15364" max="15364" width="8.81640625" style="113" bestFit="1" customWidth="1"/>
    <col min="15365" max="15365" width="8.81640625" style="113" customWidth="1"/>
    <col min="15366" max="15366" width="17.54296875" style="113" customWidth="1"/>
    <col min="15367" max="15367" width="0.1796875" style="113" customWidth="1"/>
    <col min="15368" max="15368" width="2.453125" style="113" customWidth="1"/>
    <col min="15369" max="15373" width="17.1796875" style="113" customWidth="1"/>
    <col min="15374" max="15374" width="1.54296875" style="113" customWidth="1"/>
    <col min="15375" max="15379" width="16.453125" style="113" customWidth="1"/>
    <col min="15380" max="15380" width="4.81640625" style="113" customWidth="1"/>
    <col min="15381" max="15385" width="15.54296875" style="113" customWidth="1"/>
    <col min="15386" max="15386" width="1.54296875" style="113" customWidth="1"/>
    <col min="15387" max="15391" width="15.54296875" style="113" customWidth="1"/>
    <col min="15392" max="15392" width="5.1796875" style="113" customWidth="1"/>
    <col min="15393" max="15397" width="13.81640625" style="113" customWidth="1"/>
    <col min="15398" max="15398" width="1.54296875" style="113" customWidth="1"/>
    <col min="15399" max="15403" width="13.81640625" style="113" customWidth="1"/>
    <col min="15404" max="15616" width="11.453125" style="113"/>
    <col min="15617" max="15617" width="5.81640625" style="113" customWidth="1"/>
    <col min="15618" max="15618" width="15.81640625" style="113" customWidth="1"/>
    <col min="15619" max="15619" width="58.81640625" style="113" customWidth="1"/>
    <col min="15620" max="15620" width="8.81640625" style="113" bestFit="1" customWidth="1"/>
    <col min="15621" max="15621" width="8.81640625" style="113" customWidth="1"/>
    <col min="15622" max="15622" width="17.54296875" style="113" customWidth="1"/>
    <col min="15623" max="15623" width="0.1796875" style="113" customWidth="1"/>
    <col min="15624" max="15624" width="2.453125" style="113" customWidth="1"/>
    <col min="15625" max="15629" width="17.1796875" style="113" customWidth="1"/>
    <col min="15630" max="15630" width="1.54296875" style="113" customWidth="1"/>
    <col min="15631" max="15635" width="16.453125" style="113" customWidth="1"/>
    <col min="15636" max="15636" width="4.81640625" style="113" customWidth="1"/>
    <col min="15637" max="15641" width="15.54296875" style="113" customWidth="1"/>
    <col min="15642" max="15642" width="1.54296875" style="113" customWidth="1"/>
    <col min="15643" max="15647" width="15.54296875" style="113" customWidth="1"/>
    <col min="15648" max="15648" width="5.1796875" style="113" customWidth="1"/>
    <col min="15649" max="15653" width="13.81640625" style="113" customWidth="1"/>
    <col min="15654" max="15654" width="1.54296875" style="113" customWidth="1"/>
    <col min="15655" max="15659" width="13.81640625" style="113" customWidth="1"/>
    <col min="15660" max="15872" width="11.453125" style="113"/>
    <col min="15873" max="15873" width="5.81640625" style="113" customWidth="1"/>
    <col min="15874" max="15874" width="15.81640625" style="113" customWidth="1"/>
    <col min="15875" max="15875" width="58.81640625" style="113" customWidth="1"/>
    <col min="15876" max="15876" width="8.81640625" style="113" bestFit="1" customWidth="1"/>
    <col min="15877" max="15877" width="8.81640625" style="113" customWidth="1"/>
    <col min="15878" max="15878" width="17.54296875" style="113" customWidth="1"/>
    <col min="15879" max="15879" width="0.1796875" style="113" customWidth="1"/>
    <col min="15880" max="15880" width="2.453125" style="113" customWidth="1"/>
    <col min="15881" max="15885" width="17.1796875" style="113" customWidth="1"/>
    <col min="15886" max="15886" width="1.54296875" style="113" customWidth="1"/>
    <col min="15887" max="15891" width="16.453125" style="113" customWidth="1"/>
    <col min="15892" max="15892" width="4.81640625" style="113" customWidth="1"/>
    <col min="15893" max="15897" width="15.54296875" style="113" customWidth="1"/>
    <col min="15898" max="15898" width="1.54296875" style="113" customWidth="1"/>
    <col min="15899" max="15903" width="15.54296875" style="113" customWidth="1"/>
    <col min="15904" max="15904" width="5.1796875" style="113" customWidth="1"/>
    <col min="15905" max="15909" width="13.81640625" style="113" customWidth="1"/>
    <col min="15910" max="15910" width="1.54296875" style="113" customWidth="1"/>
    <col min="15911" max="15915" width="13.81640625" style="113" customWidth="1"/>
    <col min="15916" max="16128" width="11.453125" style="113"/>
    <col min="16129" max="16129" width="5.81640625" style="113" customWidth="1"/>
    <col min="16130" max="16130" width="15.81640625" style="113" customWidth="1"/>
    <col min="16131" max="16131" width="58.81640625" style="113" customWidth="1"/>
    <col min="16132" max="16132" width="8.81640625" style="113" bestFit="1" customWidth="1"/>
    <col min="16133" max="16133" width="8.81640625" style="113" customWidth="1"/>
    <col min="16134" max="16134" width="17.54296875" style="113" customWidth="1"/>
    <col min="16135" max="16135" width="0.1796875" style="113" customWidth="1"/>
    <col min="16136" max="16136" width="2.453125" style="113" customWidth="1"/>
    <col min="16137" max="16141" width="17.1796875" style="113" customWidth="1"/>
    <col min="16142" max="16142" width="1.54296875" style="113" customWidth="1"/>
    <col min="16143" max="16147" width="16.453125" style="113" customWidth="1"/>
    <col min="16148" max="16148" width="4.81640625" style="113" customWidth="1"/>
    <col min="16149" max="16153" width="15.54296875" style="113" customWidth="1"/>
    <col min="16154" max="16154" width="1.54296875" style="113" customWidth="1"/>
    <col min="16155" max="16159" width="15.54296875" style="113" customWidth="1"/>
    <col min="16160" max="16160" width="5.1796875" style="113" customWidth="1"/>
    <col min="16161" max="16165" width="13.81640625" style="113" customWidth="1"/>
    <col min="16166" max="16166" width="1.54296875" style="113" customWidth="1"/>
    <col min="16167" max="16171" width="13.81640625" style="113" customWidth="1"/>
    <col min="16172" max="16384" width="11.453125" style="113"/>
  </cols>
  <sheetData>
    <row r="1" spans="1:38" ht="13.5" customHeight="1" thickBot="1"/>
    <row r="2" spans="1:38" ht="23.25" customHeight="1">
      <c r="B2" s="665" t="s">
        <v>34</v>
      </c>
      <c r="C2" s="665"/>
      <c r="D2" s="665"/>
      <c r="E2" s="665"/>
      <c r="F2" s="665"/>
      <c r="G2" s="665"/>
      <c r="I2" s="678" t="s">
        <v>35</v>
      </c>
      <c r="J2" s="679"/>
      <c r="K2" s="679"/>
      <c r="L2" s="679"/>
      <c r="M2" s="669"/>
      <c r="N2" s="260"/>
      <c r="O2" s="678" t="s">
        <v>3</v>
      </c>
      <c r="P2" s="679"/>
      <c r="Q2" s="679"/>
      <c r="R2" s="679"/>
      <c r="S2" s="669"/>
      <c r="Z2" s="260"/>
      <c r="AL2" s="260"/>
    </row>
    <row r="3" spans="1:38" s="431" customFormat="1" ht="3.7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</row>
    <row r="4" spans="1:38" s="244" customFormat="1" ht="30" customHeight="1" thickBot="1">
      <c r="B4" s="121">
        <v>45658</v>
      </c>
      <c r="C4" s="505" t="s">
        <v>619</v>
      </c>
      <c r="D4" s="680"/>
      <c r="E4" s="680"/>
      <c r="F4" s="680"/>
      <c r="G4" s="680"/>
      <c r="H4" s="243"/>
      <c r="I4" s="312" t="s">
        <v>36</v>
      </c>
      <c r="J4" s="313" t="s">
        <v>37</v>
      </c>
      <c r="K4" s="313" t="s">
        <v>38</v>
      </c>
      <c r="L4" s="313" t="s">
        <v>39</v>
      </c>
      <c r="M4" s="7" t="s">
        <v>175</v>
      </c>
      <c r="N4" s="243"/>
      <c r="O4" s="312" t="s">
        <v>36</v>
      </c>
      <c r="P4" s="313" t="s">
        <v>37</v>
      </c>
      <c r="Q4" s="313" t="s">
        <v>38</v>
      </c>
      <c r="R4" s="7" t="s">
        <v>39</v>
      </c>
      <c r="S4" s="7" t="s">
        <v>175</v>
      </c>
      <c r="Z4" s="243"/>
      <c r="AL4" s="243"/>
    </row>
    <row r="5" spans="1:38" ht="17.25" customHeight="1">
      <c r="B5" s="781" t="s">
        <v>40</v>
      </c>
      <c r="C5" s="782"/>
      <c r="D5" s="652" t="s">
        <v>41</v>
      </c>
      <c r="E5" s="652"/>
      <c r="F5" s="652"/>
      <c r="G5" s="653"/>
      <c r="H5" s="245"/>
      <c r="I5" s="775" t="s">
        <v>432</v>
      </c>
      <c r="J5" s="778" t="s">
        <v>433</v>
      </c>
      <c r="K5" s="778" t="s">
        <v>434</v>
      </c>
      <c r="L5" s="778" t="s">
        <v>435</v>
      </c>
      <c r="M5" s="772" t="s">
        <v>436</v>
      </c>
      <c r="N5" s="246"/>
      <c r="O5" s="775" t="s">
        <v>432</v>
      </c>
      <c r="P5" s="778" t="s">
        <v>433</v>
      </c>
      <c r="Q5" s="778" t="s">
        <v>434</v>
      </c>
      <c r="R5" s="778" t="s">
        <v>435</v>
      </c>
      <c r="S5" s="772" t="s">
        <v>436</v>
      </c>
      <c r="Z5" s="246"/>
      <c r="AL5" s="246"/>
    </row>
    <row r="6" spans="1:38" ht="17.25" customHeight="1">
      <c r="B6" s="783"/>
      <c r="C6" s="784"/>
      <c r="D6" s="654"/>
      <c r="E6" s="654"/>
      <c r="F6" s="654"/>
      <c r="G6" s="655"/>
      <c r="H6" s="246"/>
      <c r="I6" s="776"/>
      <c r="J6" s="779"/>
      <c r="K6" s="779"/>
      <c r="L6" s="779"/>
      <c r="M6" s="773"/>
      <c r="N6" s="246"/>
      <c r="O6" s="776"/>
      <c r="P6" s="779"/>
      <c r="Q6" s="779"/>
      <c r="R6" s="779"/>
      <c r="S6" s="773"/>
      <c r="Z6" s="246"/>
      <c r="AL6" s="246"/>
    </row>
    <row r="7" spans="1:38" ht="17.25" customHeight="1">
      <c r="B7" s="783"/>
      <c r="C7" s="784"/>
      <c r="D7" s="654"/>
      <c r="E7" s="654"/>
      <c r="F7" s="654"/>
      <c r="G7" s="655"/>
      <c r="H7" s="246"/>
      <c r="I7" s="776"/>
      <c r="J7" s="779"/>
      <c r="K7" s="779"/>
      <c r="L7" s="779"/>
      <c r="M7" s="773"/>
      <c r="N7" s="246"/>
      <c r="O7" s="776"/>
      <c r="P7" s="779"/>
      <c r="Q7" s="779"/>
      <c r="R7" s="779"/>
      <c r="S7" s="773"/>
      <c r="Z7" s="246"/>
      <c r="AL7" s="246"/>
    </row>
    <row r="8" spans="1:38" ht="17.25" customHeight="1">
      <c r="B8" s="783"/>
      <c r="C8" s="784"/>
      <c r="D8" s="654"/>
      <c r="E8" s="654"/>
      <c r="F8" s="654"/>
      <c r="G8" s="655"/>
      <c r="H8" s="246"/>
      <c r="I8" s="776"/>
      <c r="J8" s="779"/>
      <c r="K8" s="779"/>
      <c r="L8" s="779"/>
      <c r="M8" s="773"/>
      <c r="N8" s="246"/>
      <c r="O8" s="776"/>
      <c r="P8" s="779"/>
      <c r="Q8" s="779"/>
      <c r="R8" s="779"/>
      <c r="S8" s="773"/>
      <c r="Z8" s="246"/>
      <c r="AL8" s="246"/>
    </row>
    <row r="9" spans="1:38" ht="17.25" customHeight="1">
      <c r="B9" s="783"/>
      <c r="C9" s="784"/>
      <c r="D9" s="654"/>
      <c r="E9" s="654"/>
      <c r="F9" s="654"/>
      <c r="G9" s="655"/>
      <c r="H9" s="246"/>
      <c r="I9" s="776"/>
      <c r="J9" s="779"/>
      <c r="K9" s="779"/>
      <c r="L9" s="779"/>
      <c r="M9" s="773"/>
      <c r="N9" s="246"/>
      <c r="O9" s="776"/>
      <c r="P9" s="779"/>
      <c r="Q9" s="779"/>
      <c r="R9" s="779"/>
      <c r="S9" s="773"/>
      <c r="Z9" s="246"/>
      <c r="AL9" s="246"/>
    </row>
    <row r="10" spans="1:38" ht="17.25" customHeight="1">
      <c r="B10" s="783"/>
      <c r="C10" s="784"/>
      <c r="D10" s="654"/>
      <c r="E10" s="654"/>
      <c r="F10" s="654"/>
      <c r="G10" s="655"/>
      <c r="H10" s="246"/>
      <c r="I10" s="776"/>
      <c r="J10" s="779"/>
      <c r="K10" s="779"/>
      <c r="L10" s="779"/>
      <c r="M10" s="773"/>
      <c r="N10" s="246"/>
      <c r="O10" s="776"/>
      <c r="P10" s="779"/>
      <c r="Q10" s="779"/>
      <c r="R10" s="779"/>
      <c r="S10" s="773"/>
      <c r="U10" s="244"/>
      <c r="V10" s="244"/>
      <c r="Z10" s="246"/>
      <c r="AL10" s="246"/>
    </row>
    <row r="11" spans="1:38" ht="17.25" customHeight="1" thickBot="1">
      <c r="B11" s="783"/>
      <c r="C11" s="784"/>
      <c r="D11" s="656"/>
      <c r="E11" s="656"/>
      <c r="F11" s="656"/>
      <c r="G11" s="657"/>
      <c r="H11" s="246"/>
      <c r="I11" s="777"/>
      <c r="J11" s="780"/>
      <c r="K11" s="780"/>
      <c r="L11" s="780"/>
      <c r="M11" s="774"/>
      <c r="N11" s="246"/>
      <c r="O11" s="777"/>
      <c r="P11" s="780"/>
      <c r="Q11" s="780"/>
      <c r="R11" s="780"/>
      <c r="S11" s="774"/>
      <c r="Z11" s="246"/>
      <c r="AL11" s="246"/>
    </row>
    <row r="12" spans="1:38" ht="30.75" customHeight="1" thickBot="1">
      <c r="B12" s="783"/>
      <c r="C12" s="784"/>
      <c r="D12" s="670" t="s">
        <v>42</v>
      </c>
      <c r="E12" s="670"/>
      <c r="F12" s="671"/>
      <c r="G12" s="672"/>
      <c r="H12" s="247"/>
      <c r="I12" s="307" t="s">
        <v>43</v>
      </c>
      <c r="J12" s="248" t="s">
        <v>43</v>
      </c>
      <c r="K12" s="248" t="s">
        <v>43</v>
      </c>
      <c r="L12" s="276" t="s">
        <v>43</v>
      </c>
      <c r="M12" s="277" t="s">
        <v>43</v>
      </c>
      <c r="N12" s="246"/>
      <c r="O12" s="307" t="s">
        <v>43</v>
      </c>
      <c r="P12" s="248" t="s">
        <v>43</v>
      </c>
      <c r="Q12" s="248" t="s">
        <v>43</v>
      </c>
      <c r="R12" s="276" t="s">
        <v>43</v>
      </c>
      <c r="S12" s="277" t="s">
        <v>43</v>
      </c>
      <c r="Z12" s="246"/>
      <c r="AL12" s="246"/>
    </row>
    <row r="13" spans="1:38" ht="65.25" customHeight="1" thickBot="1">
      <c r="B13" s="783"/>
      <c r="C13" s="784"/>
      <c r="D13" s="754" t="s">
        <v>44</v>
      </c>
      <c r="E13" s="670"/>
      <c r="F13" s="671"/>
      <c r="G13" s="672"/>
      <c r="H13" s="247"/>
      <c r="I13" s="310" t="s">
        <v>100</v>
      </c>
      <c r="J13" s="249" t="s">
        <v>100</v>
      </c>
      <c r="K13" s="249" t="s">
        <v>100</v>
      </c>
      <c r="L13" s="278" t="s">
        <v>100</v>
      </c>
      <c r="M13" s="250" t="s">
        <v>100</v>
      </c>
      <c r="N13" s="246"/>
      <c r="O13" s="310" t="s">
        <v>45</v>
      </c>
      <c r="P13" s="249" t="s">
        <v>45</v>
      </c>
      <c r="Q13" s="249" t="s">
        <v>45</v>
      </c>
      <c r="R13" s="278" t="s">
        <v>45</v>
      </c>
      <c r="S13" s="250" t="s">
        <v>45</v>
      </c>
      <c r="Z13" s="246"/>
      <c r="AL13" s="246"/>
    </row>
    <row r="14" spans="1:38" ht="21" customHeight="1" thickBot="1">
      <c r="B14" s="783"/>
      <c r="C14" s="784"/>
      <c r="D14" s="674" t="s">
        <v>82</v>
      </c>
      <c r="E14" s="675"/>
      <c r="F14" s="675"/>
      <c r="G14" s="675"/>
      <c r="H14" s="251"/>
      <c r="I14" s="427" t="s">
        <v>437</v>
      </c>
      <c r="J14" s="428" t="s">
        <v>437</v>
      </c>
      <c r="K14" s="428" t="s">
        <v>437</v>
      </c>
      <c r="L14" s="429" t="s">
        <v>437</v>
      </c>
      <c r="M14" s="430" t="s">
        <v>437</v>
      </c>
      <c r="N14" s="432"/>
      <c r="O14" s="427" t="s">
        <v>437</v>
      </c>
      <c r="P14" s="428" t="s">
        <v>437</v>
      </c>
      <c r="Q14" s="428" t="s">
        <v>437</v>
      </c>
      <c r="R14" s="429" t="s">
        <v>437</v>
      </c>
      <c r="S14" s="430" t="s">
        <v>437</v>
      </c>
      <c r="Z14" s="246"/>
      <c r="AL14" s="246"/>
    </row>
    <row r="15" spans="1:38" ht="21" customHeight="1" thickBot="1">
      <c r="B15" s="783"/>
      <c r="C15" s="784"/>
      <c r="D15" s="754" t="s">
        <v>438</v>
      </c>
      <c r="E15" s="670"/>
      <c r="F15" s="670"/>
      <c r="G15" s="755"/>
      <c r="H15" s="251"/>
      <c r="I15" s="427" t="s">
        <v>437</v>
      </c>
      <c r="J15" s="428" t="s">
        <v>437</v>
      </c>
      <c r="K15" s="428" t="s">
        <v>437</v>
      </c>
      <c r="L15" s="429" t="s">
        <v>437</v>
      </c>
      <c r="M15" s="430" t="s">
        <v>437</v>
      </c>
      <c r="N15" s="432"/>
      <c r="O15" s="427" t="s">
        <v>437</v>
      </c>
      <c r="P15" s="428" t="s">
        <v>437</v>
      </c>
      <c r="Q15" s="428" t="s">
        <v>437</v>
      </c>
      <c r="R15" s="429" t="s">
        <v>437</v>
      </c>
      <c r="S15" s="430" t="s">
        <v>437</v>
      </c>
      <c r="Z15" s="246"/>
      <c r="AL15" s="246"/>
    </row>
    <row r="16" spans="1:38" ht="21" customHeight="1" thickBot="1">
      <c r="B16" s="785"/>
      <c r="C16" s="786"/>
      <c r="D16" s="787" t="e">
        <v>#N/A</v>
      </c>
      <c r="E16" s="714"/>
      <c r="F16" s="714"/>
      <c r="G16" s="715"/>
      <c r="H16" s="251"/>
      <c r="I16" s="305"/>
      <c r="J16" s="269"/>
      <c r="K16" s="269"/>
      <c r="L16" s="309"/>
      <c r="M16" s="270"/>
      <c r="N16" s="246"/>
      <c r="O16" s="305"/>
      <c r="P16" s="269"/>
      <c r="Q16" s="269"/>
      <c r="R16" s="309"/>
      <c r="S16" s="270"/>
      <c r="U16" s="433">
        <v>7</v>
      </c>
      <c r="V16" s="433">
        <v>8</v>
      </c>
      <c r="W16" s="433">
        <v>9</v>
      </c>
      <c r="X16" s="433">
        <v>10</v>
      </c>
      <c r="Y16" s="433">
        <v>11</v>
      </c>
      <c r="Z16" s="433">
        <v>12</v>
      </c>
      <c r="AA16" s="433">
        <v>13</v>
      </c>
      <c r="AB16" s="433">
        <v>14</v>
      </c>
      <c r="AC16" s="433">
        <v>15</v>
      </c>
      <c r="AD16" s="433">
        <v>16</v>
      </c>
      <c r="AE16" s="433">
        <v>17</v>
      </c>
      <c r="AL16" s="113"/>
    </row>
    <row r="17" spans="1:55" ht="23.25" customHeight="1" thickBot="1">
      <c r="I17" s="25"/>
      <c r="U17" s="769" t="s">
        <v>439</v>
      </c>
      <c r="V17" s="770"/>
      <c r="W17" s="770"/>
      <c r="X17" s="770"/>
      <c r="Y17" s="770"/>
      <c r="Z17" s="770"/>
      <c r="AA17" s="770"/>
      <c r="AB17" s="770"/>
      <c r="AC17" s="770"/>
      <c r="AD17" s="770"/>
      <c r="AE17" s="771"/>
      <c r="AL17" s="113"/>
    </row>
    <row r="18" spans="1:55" ht="23.25" customHeight="1" thickBot="1">
      <c r="F18" s="434">
        <v>0</v>
      </c>
      <c r="I18" s="25"/>
      <c r="AL18" s="113"/>
    </row>
    <row r="19" spans="1:55" ht="23.25" customHeight="1">
      <c r="B19" s="716" t="s">
        <v>52</v>
      </c>
      <c r="C19" s="717"/>
      <c r="D19" s="717"/>
      <c r="E19" s="717"/>
      <c r="F19" s="717"/>
      <c r="G19" s="718"/>
      <c r="I19" s="634" t="s">
        <v>53</v>
      </c>
      <c r="J19" s="722"/>
      <c r="K19" s="722"/>
      <c r="L19" s="722"/>
      <c r="M19" s="723"/>
      <c r="N19" s="260"/>
      <c r="O19" s="634" t="s">
        <v>54</v>
      </c>
      <c r="P19" s="722"/>
      <c r="Q19" s="722"/>
      <c r="R19" s="722"/>
      <c r="S19" s="723"/>
      <c r="U19" s="634" t="s">
        <v>53</v>
      </c>
      <c r="V19" s="722"/>
      <c r="W19" s="722"/>
      <c r="X19" s="722"/>
      <c r="Y19" s="723"/>
      <c r="Z19" s="288"/>
      <c r="AA19" s="634" t="s">
        <v>54</v>
      </c>
      <c r="AB19" s="722"/>
      <c r="AC19" s="722"/>
      <c r="AD19" s="722"/>
      <c r="AE19" s="723"/>
      <c r="AG19" s="634" t="s">
        <v>105</v>
      </c>
      <c r="AH19" s="722"/>
      <c r="AI19" s="722"/>
      <c r="AJ19" s="722"/>
      <c r="AK19" s="723"/>
      <c r="AL19" s="260"/>
      <c r="AM19" s="634" t="s">
        <v>106</v>
      </c>
      <c r="AN19" s="722"/>
      <c r="AO19" s="722"/>
      <c r="AP19" s="722"/>
      <c r="AQ19" s="723"/>
    </row>
    <row r="20" spans="1:55" ht="3.75" customHeight="1">
      <c r="B20" s="719"/>
      <c r="C20" s="720"/>
      <c r="D20" s="720"/>
      <c r="E20" s="720"/>
      <c r="F20" s="720"/>
      <c r="G20" s="721"/>
      <c r="I20" s="259"/>
      <c r="J20" s="259"/>
      <c r="K20" s="260"/>
      <c r="L20" s="260"/>
      <c r="M20" s="260"/>
      <c r="N20" s="260"/>
      <c r="O20" s="259"/>
      <c r="P20" s="259"/>
      <c r="Q20" s="260"/>
      <c r="R20" s="260"/>
      <c r="S20" s="260"/>
      <c r="U20" s="259"/>
      <c r="V20" s="259"/>
      <c r="W20" s="260"/>
      <c r="X20" s="260"/>
      <c r="Y20" s="260"/>
      <c r="Z20" s="288"/>
      <c r="AA20" s="259"/>
      <c r="AB20" s="259"/>
      <c r="AC20" s="260"/>
      <c r="AD20" s="260"/>
      <c r="AE20" s="260"/>
      <c r="AG20" s="259"/>
      <c r="AH20" s="259"/>
      <c r="AI20" s="260"/>
      <c r="AJ20" s="260"/>
      <c r="AK20" s="260"/>
      <c r="AL20" s="260"/>
      <c r="AM20" s="259"/>
      <c r="AN20" s="259"/>
      <c r="AO20" s="260"/>
      <c r="AP20" s="260"/>
      <c r="AQ20" s="260"/>
    </row>
    <row r="21" spans="1:55" ht="33.75" customHeight="1">
      <c r="B21" s="719"/>
      <c r="C21" s="720"/>
      <c r="D21" s="720"/>
      <c r="E21" s="720"/>
      <c r="F21" s="720"/>
      <c r="G21" s="721"/>
      <c r="I21" s="641" t="s">
        <v>55</v>
      </c>
      <c r="J21" s="642"/>
      <c r="K21" s="642"/>
      <c r="L21" s="642"/>
      <c r="M21" s="643"/>
      <c r="N21" s="243"/>
      <c r="O21" s="641" t="s">
        <v>55</v>
      </c>
      <c r="P21" s="642"/>
      <c r="Q21" s="642"/>
      <c r="R21" s="642"/>
      <c r="S21" s="643"/>
      <c r="U21" s="641" t="s">
        <v>55</v>
      </c>
      <c r="V21" s="642"/>
      <c r="W21" s="642"/>
      <c r="X21" s="642"/>
      <c r="Y21" s="643"/>
      <c r="Z21" s="289"/>
      <c r="AA21" s="641" t="s">
        <v>55</v>
      </c>
      <c r="AB21" s="642"/>
      <c r="AC21" s="642"/>
      <c r="AD21" s="642"/>
      <c r="AE21" s="643"/>
      <c r="AG21" s="641" t="s">
        <v>55</v>
      </c>
      <c r="AH21" s="642"/>
      <c r="AI21" s="642"/>
      <c r="AJ21" s="642"/>
      <c r="AK21" s="643"/>
      <c r="AL21" s="243"/>
      <c r="AM21" s="641" t="s">
        <v>55</v>
      </c>
      <c r="AN21" s="642"/>
      <c r="AO21" s="642"/>
      <c r="AP21" s="642"/>
      <c r="AQ21" s="643"/>
    </row>
    <row r="22" spans="1:55" s="150" customFormat="1" ht="3.75" customHeight="1">
      <c r="B22" s="719"/>
      <c r="C22" s="720"/>
      <c r="D22" s="720"/>
      <c r="E22" s="720"/>
      <c r="F22" s="720"/>
      <c r="G22" s="721"/>
      <c r="I22" s="261"/>
      <c r="J22" s="262"/>
      <c r="K22" s="262"/>
      <c r="L22" s="262"/>
      <c r="M22" s="271"/>
      <c r="N22" s="243"/>
      <c r="O22" s="261"/>
      <c r="P22" s="262"/>
      <c r="Q22" s="262"/>
      <c r="R22" s="262"/>
      <c r="S22" s="271"/>
      <c r="U22" s="261"/>
      <c r="V22" s="262"/>
      <c r="W22" s="262"/>
      <c r="X22" s="262"/>
      <c r="Y22" s="271"/>
      <c r="Z22" s="289"/>
      <c r="AA22" s="261"/>
      <c r="AB22" s="262"/>
      <c r="AC22" s="262"/>
      <c r="AD22" s="262"/>
      <c r="AE22" s="271"/>
      <c r="AG22" s="261"/>
      <c r="AH22" s="262"/>
      <c r="AI22" s="262"/>
      <c r="AJ22" s="262"/>
      <c r="AK22" s="271"/>
      <c r="AL22" s="243"/>
      <c r="AM22" s="261"/>
      <c r="AN22" s="262"/>
      <c r="AO22" s="262"/>
      <c r="AP22" s="262"/>
      <c r="AQ22" s="271"/>
    </row>
    <row r="23" spans="1:55" ht="30" customHeight="1">
      <c r="B23" s="719"/>
      <c r="C23" s="720"/>
      <c r="D23" s="720"/>
      <c r="E23" s="720"/>
      <c r="F23" s="720"/>
      <c r="G23" s="721"/>
      <c r="H23" s="263"/>
      <c r="I23" s="312" t="s">
        <v>108</v>
      </c>
      <c r="J23" s="313" t="s">
        <v>109</v>
      </c>
      <c r="K23" s="313" t="s">
        <v>110</v>
      </c>
      <c r="L23" s="313" t="s">
        <v>111</v>
      </c>
      <c r="M23" s="7" t="s">
        <v>146</v>
      </c>
      <c r="N23" s="243"/>
      <c r="O23" s="312" t="s">
        <v>108</v>
      </c>
      <c r="P23" s="313" t="s">
        <v>109</v>
      </c>
      <c r="Q23" s="313" t="s">
        <v>110</v>
      </c>
      <c r="R23" s="313" t="s">
        <v>111</v>
      </c>
      <c r="S23" s="7" t="s">
        <v>146</v>
      </c>
      <c r="U23" s="304" t="s">
        <v>36</v>
      </c>
      <c r="V23" s="304" t="s">
        <v>37</v>
      </c>
      <c r="W23" s="304" t="s">
        <v>38</v>
      </c>
      <c r="X23" s="149" t="s">
        <v>39</v>
      </c>
      <c r="Y23" s="149" t="s">
        <v>175</v>
      </c>
      <c r="Z23" s="289"/>
      <c r="AA23" s="304" t="s">
        <v>36</v>
      </c>
      <c r="AB23" s="304" t="s">
        <v>37</v>
      </c>
      <c r="AC23" s="304" t="s">
        <v>38</v>
      </c>
      <c r="AD23" s="149" t="s">
        <v>39</v>
      </c>
      <c r="AE23" s="149" t="s">
        <v>175</v>
      </c>
      <c r="AG23" s="304" t="s">
        <v>36</v>
      </c>
      <c r="AH23" s="304" t="s">
        <v>37</v>
      </c>
      <c r="AI23" s="304" t="s">
        <v>38</v>
      </c>
      <c r="AJ23" s="149" t="s">
        <v>39</v>
      </c>
      <c r="AK23" s="149" t="s">
        <v>175</v>
      </c>
      <c r="AL23" s="243"/>
      <c r="AM23" s="304" t="s">
        <v>36</v>
      </c>
      <c r="AN23" s="304" t="s">
        <v>37</v>
      </c>
      <c r="AO23" s="304" t="s">
        <v>38</v>
      </c>
      <c r="AP23" s="149" t="s">
        <v>39</v>
      </c>
      <c r="AQ23" s="149" t="s">
        <v>175</v>
      </c>
    </row>
    <row r="24" spans="1:55" s="431" customFormat="1" ht="3.75" customHeight="1">
      <c r="B24" s="435"/>
      <c r="G24" s="436"/>
      <c r="I24" s="435"/>
      <c r="L24" s="436"/>
      <c r="M24" s="436"/>
      <c r="O24" s="435"/>
      <c r="R24" s="436"/>
      <c r="S24" s="436"/>
      <c r="U24" s="435"/>
      <c r="X24" s="436"/>
      <c r="Y24" s="436"/>
      <c r="Z24" s="437"/>
      <c r="AA24" s="435"/>
      <c r="AD24" s="436"/>
      <c r="AE24" s="436"/>
      <c r="AG24" s="435"/>
      <c r="AJ24" s="436"/>
      <c r="AK24" s="436"/>
      <c r="AM24" s="435"/>
      <c r="AP24" s="436"/>
      <c r="AQ24" s="436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</row>
    <row r="25" spans="1:55" ht="48.75" customHeight="1">
      <c r="B25" s="226" t="s">
        <v>56</v>
      </c>
      <c r="C25" s="8" t="s">
        <v>57</v>
      </c>
      <c r="D25" s="9" t="s">
        <v>58</v>
      </c>
      <c r="E25" s="101" t="s">
        <v>123</v>
      </c>
      <c r="F25" s="226" t="s">
        <v>59</v>
      </c>
      <c r="G25" s="316"/>
      <c r="H25" s="243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3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89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119</v>
      </c>
      <c r="AH25" s="10" t="s">
        <v>119</v>
      </c>
      <c r="AI25" s="10" t="s">
        <v>119</v>
      </c>
      <c r="AJ25" s="10" t="s">
        <v>119</v>
      </c>
      <c r="AK25" s="10" t="s">
        <v>119</v>
      </c>
      <c r="AL25" s="243"/>
      <c r="AM25" s="10" t="s">
        <v>119</v>
      </c>
      <c r="AN25" s="10" t="s">
        <v>119</v>
      </c>
      <c r="AO25" s="10" t="s">
        <v>119</v>
      </c>
      <c r="AP25" s="10" t="s">
        <v>119</v>
      </c>
      <c r="AQ25" s="10" t="s">
        <v>119</v>
      </c>
    </row>
    <row r="26" spans="1:55">
      <c r="A26" s="109"/>
      <c r="B26" s="280" t="s">
        <v>64</v>
      </c>
      <c r="C26" s="281" t="s">
        <v>189</v>
      </c>
      <c r="D26" s="529">
        <v>0</v>
      </c>
      <c r="E26" s="530">
        <v>1.1000000000000001</v>
      </c>
      <c r="F26" s="234" t="s">
        <v>284</v>
      </c>
      <c r="G26" s="315"/>
      <c r="H26" s="264"/>
      <c r="I26" s="282">
        <v>0</v>
      </c>
      <c r="J26" s="282">
        <v>0</v>
      </c>
      <c r="K26" s="282">
        <v>0</v>
      </c>
      <c r="L26" s="282">
        <v>0</v>
      </c>
      <c r="M26" s="283">
        <v>0</v>
      </c>
      <c r="N26" s="284"/>
      <c r="O26" s="282">
        <v>0</v>
      </c>
      <c r="P26" s="282">
        <v>0</v>
      </c>
      <c r="Q26" s="282">
        <v>0</v>
      </c>
      <c r="R26" s="282">
        <v>0</v>
      </c>
      <c r="S26" s="283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Z26" s="282">
        <v>0</v>
      </c>
      <c r="AA26" s="282">
        <v>0</v>
      </c>
      <c r="AB26" s="282">
        <v>0</v>
      </c>
      <c r="AC26" s="282">
        <v>0</v>
      </c>
      <c r="AD26" s="282">
        <v>0</v>
      </c>
      <c r="AE26" s="282">
        <v>0</v>
      </c>
      <c r="AF26" s="153"/>
      <c r="AG26" s="282" t="s">
        <v>15</v>
      </c>
      <c r="AH26" s="282" t="s">
        <v>15</v>
      </c>
      <c r="AI26" s="282" t="s">
        <v>15</v>
      </c>
      <c r="AJ26" s="282" t="s">
        <v>15</v>
      </c>
      <c r="AK26" s="283" t="s">
        <v>15</v>
      </c>
      <c r="AL26" s="284"/>
      <c r="AM26" s="282" t="s">
        <v>15</v>
      </c>
      <c r="AN26" s="282" t="s">
        <v>15</v>
      </c>
      <c r="AO26" s="282" t="s">
        <v>15</v>
      </c>
      <c r="AP26" s="282" t="s">
        <v>15</v>
      </c>
      <c r="AQ26" s="283" t="s">
        <v>15</v>
      </c>
    </row>
    <row r="27" spans="1:55">
      <c r="B27" s="273" t="s">
        <v>64</v>
      </c>
      <c r="C27" s="286" t="s">
        <v>385</v>
      </c>
      <c r="D27" s="189">
        <v>239</v>
      </c>
      <c r="E27" s="115">
        <v>3.75</v>
      </c>
      <c r="F27" s="237" t="s">
        <v>284</v>
      </c>
      <c r="G27" s="314"/>
      <c r="H27" s="264"/>
      <c r="I27" s="267">
        <v>116</v>
      </c>
      <c r="J27" s="267">
        <v>166</v>
      </c>
      <c r="K27" s="267">
        <v>215</v>
      </c>
      <c r="L27" s="267">
        <v>239</v>
      </c>
      <c r="M27" s="268">
        <v>239</v>
      </c>
      <c r="N27" s="284"/>
      <c r="O27" s="267">
        <v>116</v>
      </c>
      <c r="P27" s="267">
        <v>166</v>
      </c>
      <c r="Q27" s="267">
        <v>215</v>
      </c>
      <c r="R27" s="267">
        <v>239</v>
      </c>
      <c r="S27" s="268">
        <v>239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Z27" s="282">
        <v>0</v>
      </c>
      <c r="AA27" s="282">
        <v>0</v>
      </c>
      <c r="AB27" s="282">
        <v>0</v>
      </c>
      <c r="AC27" s="282">
        <v>0</v>
      </c>
      <c r="AD27" s="282">
        <v>0</v>
      </c>
      <c r="AE27" s="282">
        <v>0</v>
      </c>
      <c r="AF27" s="153"/>
      <c r="AG27" s="282">
        <v>123</v>
      </c>
      <c r="AH27" s="282">
        <v>73</v>
      </c>
      <c r="AI27" s="282">
        <v>24</v>
      </c>
      <c r="AJ27" s="282">
        <v>0</v>
      </c>
      <c r="AK27" s="283">
        <v>0</v>
      </c>
      <c r="AL27" s="284"/>
      <c r="AM27" s="282">
        <v>123</v>
      </c>
      <c r="AN27" s="282">
        <v>73</v>
      </c>
      <c r="AO27" s="282">
        <v>24</v>
      </c>
      <c r="AP27" s="282">
        <v>0</v>
      </c>
      <c r="AQ27" s="283">
        <v>0</v>
      </c>
    </row>
    <row r="28" spans="1:55">
      <c r="A28" s="109"/>
      <c r="B28" s="280" t="s">
        <v>64</v>
      </c>
      <c r="C28" s="281" t="s">
        <v>386</v>
      </c>
      <c r="D28" s="191">
        <v>0</v>
      </c>
      <c r="E28" s="300">
        <v>3.75</v>
      </c>
      <c r="F28" s="239" t="s">
        <v>284</v>
      </c>
      <c r="G28" s="315"/>
      <c r="H28" s="264"/>
      <c r="I28" s="265">
        <v>0</v>
      </c>
      <c r="J28" s="265">
        <v>0</v>
      </c>
      <c r="K28" s="265">
        <v>0</v>
      </c>
      <c r="L28" s="265">
        <v>0</v>
      </c>
      <c r="M28" s="266">
        <v>0</v>
      </c>
      <c r="N28" s="284"/>
      <c r="O28" s="265">
        <v>0</v>
      </c>
      <c r="P28" s="265">
        <v>0</v>
      </c>
      <c r="Q28" s="265">
        <v>0</v>
      </c>
      <c r="R28" s="265">
        <v>0</v>
      </c>
      <c r="S28" s="266">
        <v>0</v>
      </c>
      <c r="U28" s="282">
        <v>0</v>
      </c>
      <c r="V28" s="282">
        <v>0</v>
      </c>
      <c r="W28" s="282">
        <v>0</v>
      </c>
      <c r="X28" s="282">
        <v>0</v>
      </c>
      <c r="Y28" s="282">
        <v>0</v>
      </c>
      <c r="Z28" s="282">
        <v>0</v>
      </c>
      <c r="AA28" s="282">
        <v>0</v>
      </c>
      <c r="AB28" s="282">
        <v>0</v>
      </c>
      <c r="AC28" s="282">
        <v>0</v>
      </c>
      <c r="AD28" s="282">
        <v>0</v>
      </c>
      <c r="AE28" s="282">
        <v>0</v>
      </c>
      <c r="AF28" s="153"/>
      <c r="AG28" s="282" t="s">
        <v>15</v>
      </c>
      <c r="AH28" s="282" t="s">
        <v>15</v>
      </c>
      <c r="AI28" s="282" t="s">
        <v>15</v>
      </c>
      <c r="AJ28" s="282" t="s">
        <v>15</v>
      </c>
      <c r="AK28" s="283" t="s">
        <v>15</v>
      </c>
      <c r="AL28" s="284"/>
      <c r="AM28" s="282" t="s">
        <v>15</v>
      </c>
      <c r="AN28" s="282" t="s">
        <v>15</v>
      </c>
      <c r="AO28" s="282" t="s">
        <v>15</v>
      </c>
      <c r="AP28" s="282" t="s">
        <v>15</v>
      </c>
      <c r="AQ28" s="283" t="s">
        <v>15</v>
      </c>
    </row>
    <row r="29" spans="1:55">
      <c r="B29" s="273" t="s">
        <v>346</v>
      </c>
      <c r="C29" s="286" t="s">
        <v>347</v>
      </c>
      <c r="D29" s="189">
        <v>64</v>
      </c>
      <c r="E29" s="115">
        <v>1.1000000000000001</v>
      </c>
      <c r="F29" s="237" t="s">
        <v>4</v>
      </c>
      <c r="G29" s="314"/>
      <c r="H29" s="264"/>
      <c r="I29" s="267">
        <v>64</v>
      </c>
      <c r="J29" s="267">
        <v>64</v>
      </c>
      <c r="K29" s="267">
        <v>0</v>
      </c>
      <c r="L29" s="267">
        <v>0</v>
      </c>
      <c r="M29" s="268">
        <v>0</v>
      </c>
      <c r="N29" s="284"/>
      <c r="O29" s="267">
        <v>64</v>
      </c>
      <c r="P29" s="267">
        <v>64</v>
      </c>
      <c r="Q29" s="267">
        <v>0</v>
      </c>
      <c r="R29" s="267">
        <v>0</v>
      </c>
      <c r="S29" s="268">
        <v>0</v>
      </c>
      <c r="U29" s="282">
        <v>0</v>
      </c>
      <c r="V29" s="282">
        <v>0</v>
      </c>
      <c r="W29" s="282">
        <v>0</v>
      </c>
      <c r="X29" s="282">
        <v>0</v>
      </c>
      <c r="Y29" s="282">
        <v>0</v>
      </c>
      <c r="Z29" s="282">
        <v>0</v>
      </c>
      <c r="AA29" s="282">
        <v>0</v>
      </c>
      <c r="AB29" s="282">
        <v>0</v>
      </c>
      <c r="AC29" s="282">
        <v>0</v>
      </c>
      <c r="AD29" s="282">
        <v>0</v>
      </c>
      <c r="AE29" s="282">
        <v>0</v>
      </c>
      <c r="AF29" s="153"/>
      <c r="AG29" s="282">
        <v>0</v>
      </c>
      <c r="AH29" s="282">
        <v>0</v>
      </c>
      <c r="AI29" s="282" t="s">
        <v>15</v>
      </c>
      <c r="AJ29" s="282" t="s">
        <v>15</v>
      </c>
      <c r="AK29" s="283" t="s">
        <v>15</v>
      </c>
      <c r="AL29" s="284"/>
      <c r="AM29" s="282">
        <v>0</v>
      </c>
      <c r="AN29" s="282">
        <v>0</v>
      </c>
      <c r="AO29" s="282" t="s">
        <v>15</v>
      </c>
      <c r="AP29" s="282" t="s">
        <v>15</v>
      </c>
      <c r="AQ29" s="283" t="s">
        <v>15</v>
      </c>
    </row>
    <row r="30" spans="1:55">
      <c r="A30" s="109"/>
      <c r="B30" s="280" t="s">
        <v>533</v>
      </c>
      <c r="C30" s="281" t="s">
        <v>534</v>
      </c>
      <c r="D30" s="188">
        <v>77</v>
      </c>
      <c r="E30" s="114">
        <v>1.1000000000000001</v>
      </c>
      <c r="F30" s="239" t="s">
        <v>4</v>
      </c>
      <c r="G30" s="315"/>
      <c r="H30" s="264"/>
      <c r="I30" s="282">
        <v>77</v>
      </c>
      <c r="J30" s="282">
        <v>77</v>
      </c>
      <c r="K30" s="282">
        <v>0</v>
      </c>
      <c r="L30" s="282">
        <v>0</v>
      </c>
      <c r="M30" s="283">
        <v>0</v>
      </c>
      <c r="N30" s="284"/>
      <c r="O30" s="282">
        <v>77</v>
      </c>
      <c r="P30" s="282">
        <v>77</v>
      </c>
      <c r="Q30" s="282">
        <v>0</v>
      </c>
      <c r="R30" s="282">
        <v>0</v>
      </c>
      <c r="S30" s="283">
        <v>0</v>
      </c>
      <c r="T30" s="109"/>
      <c r="U30" s="282">
        <v>0</v>
      </c>
      <c r="V30" s="282">
        <v>0</v>
      </c>
      <c r="W30" s="282">
        <v>0</v>
      </c>
      <c r="X30" s="282">
        <v>0</v>
      </c>
      <c r="Y30" s="282">
        <v>0</v>
      </c>
      <c r="Z30" s="282">
        <v>0</v>
      </c>
      <c r="AA30" s="282">
        <v>0</v>
      </c>
      <c r="AB30" s="282">
        <v>0</v>
      </c>
      <c r="AC30" s="282">
        <v>0</v>
      </c>
      <c r="AD30" s="282">
        <v>0</v>
      </c>
      <c r="AE30" s="282">
        <v>0</v>
      </c>
      <c r="AF30" s="153"/>
      <c r="AG30" s="282">
        <v>0</v>
      </c>
      <c r="AH30" s="282">
        <v>0</v>
      </c>
      <c r="AI30" s="282" t="s">
        <v>15</v>
      </c>
      <c r="AJ30" s="282" t="s">
        <v>15</v>
      </c>
      <c r="AK30" s="283" t="s">
        <v>15</v>
      </c>
      <c r="AL30" s="284"/>
      <c r="AM30" s="282">
        <v>0</v>
      </c>
      <c r="AN30" s="282">
        <v>0</v>
      </c>
      <c r="AO30" s="282" t="s">
        <v>15</v>
      </c>
      <c r="AP30" s="282" t="s">
        <v>15</v>
      </c>
      <c r="AQ30" s="283" t="s">
        <v>15</v>
      </c>
    </row>
    <row r="31" spans="1:55">
      <c r="B31" s="273" t="s">
        <v>62</v>
      </c>
      <c r="C31" s="286" t="s">
        <v>584</v>
      </c>
      <c r="D31" s="189">
        <v>137</v>
      </c>
      <c r="E31" s="115">
        <v>0</v>
      </c>
      <c r="F31" s="237" t="s">
        <v>458</v>
      </c>
      <c r="G31" s="314"/>
      <c r="H31" s="264"/>
      <c r="I31" s="267">
        <v>39</v>
      </c>
      <c r="J31" s="267">
        <v>59</v>
      </c>
      <c r="K31" s="267">
        <v>82</v>
      </c>
      <c r="L31" s="267">
        <v>99</v>
      </c>
      <c r="M31" s="268">
        <v>132</v>
      </c>
      <c r="N31" s="284"/>
      <c r="O31" s="267">
        <v>97</v>
      </c>
      <c r="P31" s="267">
        <v>127</v>
      </c>
      <c r="Q31" s="267">
        <v>176</v>
      </c>
      <c r="R31" s="267">
        <v>224</v>
      </c>
      <c r="S31" s="268">
        <v>224</v>
      </c>
      <c r="T31" s="109"/>
      <c r="U31" s="282">
        <v>0</v>
      </c>
      <c r="V31" s="282">
        <v>0</v>
      </c>
      <c r="W31" s="282">
        <v>0</v>
      </c>
      <c r="X31" s="282">
        <v>0</v>
      </c>
      <c r="Y31" s="282">
        <v>0</v>
      </c>
      <c r="Z31" s="282">
        <v>0</v>
      </c>
      <c r="AA31" s="282">
        <v>0</v>
      </c>
      <c r="AB31" s="282">
        <v>0</v>
      </c>
      <c r="AC31" s="282">
        <v>0</v>
      </c>
      <c r="AD31" s="282">
        <v>0</v>
      </c>
      <c r="AE31" s="282">
        <v>0</v>
      </c>
      <c r="AF31" s="153"/>
      <c r="AG31" s="282">
        <v>98</v>
      </c>
      <c r="AH31" s="282">
        <v>78</v>
      </c>
      <c r="AI31" s="282">
        <v>54.999999999999886</v>
      </c>
      <c r="AJ31" s="282">
        <v>38</v>
      </c>
      <c r="AK31" s="283">
        <v>5</v>
      </c>
      <c r="AL31" s="284"/>
      <c r="AM31" s="282">
        <v>40.000000000000057</v>
      </c>
      <c r="AN31" s="282">
        <v>10</v>
      </c>
      <c r="AO31" s="282">
        <v>-39</v>
      </c>
      <c r="AP31" s="282">
        <v>-86.539999999999992</v>
      </c>
      <c r="AQ31" s="283">
        <v>-86.539999999999992</v>
      </c>
    </row>
    <row r="32" spans="1:55">
      <c r="A32" s="109"/>
      <c r="B32" s="280" t="s">
        <v>62</v>
      </c>
      <c r="C32" s="281" t="s">
        <v>585</v>
      </c>
      <c r="D32" s="188">
        <v>184</v>
      </c>
      <c r="E32" s="114">
        <v>0</v>
      </c>
      <c r="F32" s="239" t="s">
        <v>458</v>
      </c>
      <c r="G32" s="315"/>
      <c r="H32" s="264"/>
      <c r="I32" s="265">
        <v>52</v>
      </c>
      <c r="J32" s="265">
        <v>72</v>
      </c>
      <c r="K32" s="265">
        <v>95</v>
      </c>
      <c r="L32" s="265">
        <v>112</v>
      </c>
      <c r="M32" s="266">
        <v>145</v>
      </c>
      <c r="N32" s="284"/>
      <c r="O32" s="265">
        <v>97</v>
      </c>
      <c r="P32" s="265">
        <v>127</v>
      </c>
      <c r="Q32" s="265">
        <v>176</v>
      </c>
      <c r="R32" s="265">
        <v>241</v>
      </c>
      <c r="S32" s="266">
        <v>250</v>
      </c>
      <c r="T32" s="109"/>
      <c r="U32" s="282">
        <v>0</v>
      </c>
      <c r="V32" s="282">
        <v>0</v>
      </c>
      <c r="W32" s="282">
        <v>0</v>
      </c>
      <c r="X32" s="282">
        <v>0</v>
      </c>
      <c r="Y32" s="282">
        <v>0</v>
      </c>
      <c r="Z32" s="282">
        <v>0</v>
      </c>
      <c r="AA32" s="282">
        <v>0</v>
      </c>
      <c r="AB32" s="282">
        <v>0</v>
      </c>
      <c r="AC32" s="282">
        <v>0</v>
      </c>
      <c r="AD32" s="282">
        <v>0</v>
      </c>
      <c r="AE32" s="282">
        <v>0</v>
      </c>
      <c r="AF32" s="153"/>
      <c r="AG32" s="282">
        <v>132</v>
      </c>
      <c r="AH32" s="282">
        <v>112</v>
      </c>
      <c r="AI32" s="282">
        <v>88.999999999999886</v>
      </c>
      <c r="AJ32" s="282">
        <v>72</v>
      </c>
      <c r="AK32" s="283">
        <v>39</v>
      </c>
      <c r="AL32" s="284"/>
      <c r="AM32" s="282">
        <v>87.000000000000057</v>
      </c>
      <c r="AN32" s="282">
        <v>57</v>
      </c>
      <c r="AO32" s="282">
        <v>8</v>
      </c>
      <c r="AP32" s="282">
        <v>-57</v>
      </c>
      <c r="AQ32" s="283">
        <v>-66.079999999999984</v>
      </c>
    </row>
    <row r="33" spans="1:43">
      <c r="A33" s="113" t="s">
        <v>440</v>
      </c>
      <c r="B33" s="273" t="s">
        <v>62</v>
      </c>
      <c r="C33" s="286" t="s">
        <v>420</v>
      </c>
      <c r="D33" s="189">
        <v>279</v>
      </c>
      <c r="E33" s="115">
        <v>0</v>
      </c>
      <c r="F33" s="237" t="s">
        <v>458</v>
      </c>
      <c r="G33" s="314"/>
      <c r="H33" s="264"/>
      <c r="I33" s="267">
        <v>89</v>
      </c>
      <c r="J33" s="267">
        <v>109</v>
      </c>
      <c r="K33" s="267">
        <v>132</v>
      </c>
      <c r="L33" s="267">
        <v>149</v>
      </c>
      <c r="M33" s="268">
        <v>182</v>
      </c>
      <c r="N33" s="284"/>
      <c r="O33" s="267">
        <v>134</v>
      </c>
      <c r="P33" s="267">
        <v>164</v>
      </c>
      <c r="Q33" s="267">
        <v>213</v>
      </c>
      <c r="R33" s="267">
        <v>278</v>
      </c>
      <c r="S33" s="268">
        <v>373</v>
      </c>
      <c r="T33" s="109"/>
      <c r="U33" s="282">
        <v>0</v>
      </c>
      <c r="V33" s="282">
        <v>0</v>
      </c>
      <c r="W33" s="282">
        <v>0</v>
      </c>
      <c r="X33" s="282">
        <v>0</v>
      </c>
      <c r="Y33" s="282">
        <v>0</v>
      </c>
      <c r="Z33" s="282">
        <v>0</v>
      </c>
      <c r="AA33" s="282">
        <v>0</v>
      </c>
      <c r="AB33" s="282">
        <v>0</v>
      </c>
      <c r="AC33" s="282">
        <v>0</v>
      </c>
      <c r="AD33" s="282">
        <v>0</v>
      </c>
      <c r="AE33" s="282">
        <v>0</v>
      </c>
      <c r="AF33" s="153"/>
      <c r="AG33" s="282">
        <v>190.46</v>
      </c>
      <c r="AH33" s="282">
        <v>170.46</v>
      </c>
      <c r="AI33" s="282">
        <v>147.45999999999989</v>
      </c>
      <c r="AJ33" s="282">
        <v>130.46</v>
      </c>
      <c r="AK33" s="283">
        <v>97.460000000000008</v>
      </c>
      <c r="AL33" s="284"/>
      <c r="AM33" s="282">
        <v>145.46000000000006</v>
      </c>
      <c r="AN33" s="282">
        <v>115.46000000000001</v>
      </c>
      <c r="AO33" s="282">
        <v>66.460000000000008</v>
      </c>
      <c r="AP33" s="282">
        <v>1.460000000000008</v>
      </c>
      <c r="AQ33" s="283">
        <v>-94.229999999999961</v>
      </c>
    </row>
    <row r="34" spans="1:43">
      <c r="A34" s="109"/>
      <c r="B34" s="280" t="s">
        <v>62</v>
      </c>
      <c r="C34" s="281" t="s">
        <v>586</v>
      </c>
      <c r="D34" s="188">
        <v>532</v>
      </c>
      <c r="E34" s="114">
        <v>2.5</v>
      </c>
      <c r="F34" s="239" t="s">
        <v>459</v>
      </c>
      <c r="G34" s="315"/>
      <c r="H34" s="264"/>
      <c r="I34" s="282">
        <v>52</v>
      </c>
      <c r="J34" s="282">
        <v>138</v>
      </c>
      <c r="K34" s="282">
        <v>161</v>
      </c>
      <c r="L34" s="282">
        <v>178</v>
      </c>
      <c r="M34" s="283">
        <v>211</v>
      </c>
      <c r="N34" s="284"/>
      <c r="O34" s="282">
        <v>97</v>
      </c>
      <c r="P34" s="282">
        <v>223</v>
      </c>
      <c r="Q34" s="282">
        <v>292</v>
      </c>
      <c r="R34" s="282">
        <v>347</v>
      </c>
      <c r="S34" s="283">
        <v>479</v>
      </c>
      <c r="T34" s="109"/>
      <c r="U34" s="282">
        <v>0</v>
      </c>
      <c r="V34" s="282">
        <v>0</v>
      </c>
      <c r="W34" s="282">
        <v>0</v>
      </c>
      <c r="X34" s="282">
        <v>0</v>
      </c>
      <c r="Y34" s="282">
        <v>0</v>
      </c>
      <c r="Z34" s="282">
        <v>0</v>
      </c>
      <c r="AA34" s="282">
        <v>0</v>
      </c>
      <c r="AB34" s="282">
        <v>-30</v>
      </c>
      <c r="AC34" s="282">
        <v>-50</v>
      </c>
      <c r="AD34" s="282">
        <v>-40</v>
      </c>
      <c r="AE34" s="282">
        <v>-60</v>
      </c>
      <c r="AF34" s="153"/>
      <c r="AG34" s="282">
        <v>480</v>
      </c>
      <c r="AH34" s="282">
        <v>393.81</v>
      </c>
      <c r="AI34" s="282">
        <v>370.80999999999989</v>
      </c>
      <c r="AJ34" s="282">
        <v>353.81</v>
      </c>
      <c r="AK34" s="283">
        <v>320.81</v>
      </c>
      <c r="AL34" s="284"/>
      <c r="AM34" s="282">
        <v>435.00000000000006</v>
      </c>
      <c r="AN34" s="282">
        <v>308.81</v>
      </c>
      <c r="AO34" s="282">
        <v>239.81</v>
      </c>
      <c r="AP34" s="282">
        <v>184.81</v>
      </c>
      <c r="AQ34" s="283">
        <v>52.81</v>
      </c>
    </row>
    <row r="35" spans="1:43">
      <c r="B35" s="273" t="s">
        <v>62</v>
      </c>
      <c r="C35" s="286" t="s">
        <v>587</v>
      </c>
      <c r="D35" s="189">
        <v>555</v>
      </c>
      <c r="E35" s="115">
        <v>2.5</v>
      </c>
      <c r="F35" s="237" t="s">
        <v>459</v>
      </c>
      <c r="G35" s="314"/>
      <c r="H35" s="264"/>
      <c r="I35" s="267">
        <v>52</v>
      </c>
      <c r="J35" s="267">
        <v>139</v>
      </c>
      <c r="K35" s="267">
        <v>162</v>
      </c>
      <c r="L35" s="267">
        <v>179</v>
      </c>
      <c r="M35" s="268">
        <v>212</v>
      </c>
      <c r="N35" s="284"/>
      <c r="O35" s="267">
        <v>97</v>
      </c>
      <c r="P35" s="267">
        <v>224</v>
      </c>
      <c r="Q35" s="267">
        <v>293</v>
      </c>
      <c r="R35" s="267">
        <v>348</v>
      </c>
      <c r="S35" s="268">
        <v>480</v>
      </c>
      <c r="T35" s="109"/>
      <c r="U35" s="282">
        <v>0</v>
      </c>
      <c r="V35" s="282">
        <v>0</v>
      </c>
      <c r="W35" s="282">
        <v>0</v>
      </c>
      <c r="X35" s="282">
        <v>0</v>
      </c>
      <c r="Y35" s="282">
        <v>0</v>
      </c>
      <c r="Z35" s="282">
        <v>0</v>
      </c>
      <c r="AA35" s="282">
        <v>0</v>
      </c>
      <c r="AB35" s="282">
        <v>-30</v>
      </c>
      <c r="AC35" s="282">
        <v>-50</v>
      </c>
      <c r="AD35" s="282">
        <v>-40</v>
      </c>
      <c r="AE35" s="282">
        <v>-60</v>
      </c>
      <c r="AF35" s="153"/>
      <c r="AG35" s="282">
        <v>503</v>
      </c>
      <c r="AH35" s="282">
        <v>416.25</v>
      </c>
      <c r="AI35" s="282">
        <v>393.24999999999989</v>
      </c>
      <c r="AJ35" s="282">
        <v>376.25</v>
      </c>
      <c r="AK35" s="283">
        <v>343.25</v>
      </c>
      <c r="AL35" s="284"/>
      <c r="AM35" s="282">
        <v>458.00000000000006</v>
      </c>
      <c r="AN35" s="282">
        <v>331.25</v>
      </c>
      <c r="AO35" s="282">
        <v>262.25</v>
      </c>
      <c r="AP35" s="282">
        <v>207.25</v>
      </c>
      <c r="AQ35" s="283">
        <v>75.25</v>
      </c>
    </row>
    <row r="36" spans="1:43">
      <c r="A36" s="109"/>
      <c r="B36" s="280" t="s">
        <v>346</v>
      </c>
      <c r="C36" s="281" t="s">
        <v>387</v>
      </c>
      <c r="D36" s="191">
        <v>71</v>
      </c>
      <c r="E36" s="300">
        <v>0</v>
      </c>
      <c r="F36" s="239" t="s">
        <v>458</v>
      </c>
      <c r="G36" s="315"/>
      <c r="H36" s="264"/>
      <c r="I36" s="265">
        <v>71</v>
      </c>
      <c r="J36" s="265">
        <v>71</v>
      </c>
      <c r="K36" s="265">
        <v>71</v>
      </c>
      <c r="L36" s="265">
        <v>71</v>
      </c>
      <c r="M36" s="266">
        <v>71</v>
      </c>
      <c r="N36" s="284"/>
      <c r="O36" s="265">
        <v>71</v>
      </c>
      <c r="P36" s="265">
        <v>71</v>
      </c>
      <c r="Q36" s="265">
        <v>71</v>
      </c>
      <c r="R36" s="265">
        <v>71</v>
      </c>
      <c r="S36" s="266">
        <v>71</v>
      </c>
      <c r="U36" s="282">
        <v>0</v>
      </c>
      <c r="V36" s="282">
        <v>0</v>
      </c>
      <c r="W36" s="282">
        <v>0</v>
      </c>
      <c r="X36" s="282">
        <v>0</v>
      </c>
      <c r="Y36" s="282">
        <v>0</v>
      </c>
      <c r="Z36" s="282">
        <v>0</v>
      </c>
      <c r="AA36" s="282">
        <v>0</v>
      </c>
      <c r="AB36" s="282">
        <v>0</v>
      </c>
      <c r="AC36" s="282">
        <v>0</v>
      </c>
      <c r="AD36" s="282">
        <v>0</v>
      </c>
      <c r="AE36" s="282">
        <v>0</v>
      </c>
      <c r="AF36" s="153"/>
      <c r="AG36" s="282">
        <v>0</v>
      </c>
      <c r="AH36" s="282">
        <v>0</v>
      </c>
      <c r="AI36" s="282">
        <v>0</v>
      </c>
      <c r="AJ36" s="282">
        <v>0</v>
      </c>
      <c r="AK36" s="283">
        <v>0</v>
      </c>
      <c r="AL36" s="284"/>
      <c r="AM36" s="282">
        <v>0</v>
      </c>
      <c r="AN36" s="282">
        <v>0</v>
      </c>
      <c r="AO36" s="282">
        <v>0</v>
      </c>
      <c r="AP36" s="282">
        <v>0</v>
      </c>
      <c r="AQ36" s="283">
        <v>0</v>
      </c>
    </row>
    <row r="37" spans="1:43">
      <c r="B37" s="273" t="s">
        <v>346</v>
      </c>
      <c r="C37" s="286" t="s">
        <v>388</v>
      </c>
      <c r="D37" s="189">
        <v>49</v>
      </c>
      <c r="E37" s="115">
        <v>0</v>
      </c>
      <c r="F37" s="237" t="s">
        <v>458</v>
      </c>
      <c r="G37" s="314"/>
      <c r="H37" s="264"/>
      <c r="I37" s="267">
        <v>49</v>
      </c>
      <c r="J37" s="267">
        <v>49</v>
      </c>
      <c r="K37" s="267">
        <v>49</v>
      </c>
      <c r="L37" s="267">
        <v>49</v>
      </c>
      <c r="M37" s="268">
        <v>49</v>
      </c>
      <c r="N37" s="284"/>
      <c r="O37" s="267">
        <v>49</v>
      </c>
      <c r="P37" s="267">
        <v>49</v>
      </c>
      <c r="Q37" s="267">
        <v>49</v>
      </c>
      <c r="R37" s="267">
        <v>49</v>
      </c>
      <c r="S37" s="268">
        <v>49</v>
      </c>
      <c r="U37" s="282">
        <v>0</v>
      </c>
      <c r="V37" s="282">
        <v>0</v>
      </c>
      <c r="W37" s="282">
        <v>0</v>
      </c>
      <c r="X37" s="282">
        <v>0</v>
      </c>
      <c r="Y37" s="282">
        <v>0</v>
      </c>
      <c r="Z37" s="282">
        <v>0</v>
      </c>
      <c r="AA37" s="282">
        <v>0</v>
      </c>
      <c r="AB37" s="282">
        <v>0</v>
      </c>
      <c r="AC37" s="282">
        <v>0</v>
      </c>
      <c r="AD37" s="282">
        <v>0</v>
      </c>
      <c r="AE37" s="282">
        <v>0</v>
      </c>
      <c r="AF37" s="153"/>
      <c r="AG37" s="282">
        <v>0</v>
      </c>
      <c r="AH37" s="282">
        <v>0</v>
      </c>
      <c r="AI37" s="282">
        <v>0</v>
      </c>
      <c r="AJ37" s="282">
        <v>0</v>
      </c>
      <c r="AK37" s="283">
        <v>0</v>
      </c>
      <c r="AL37" s="284"/>
      <c r="AM37" s="282">
        <v>0</v>
      </c>
      <c r="AN37" s="282">
        <v>0</v>
      </c>
      <c r="AO37" s="282">
        <v>0</v>
      </c>
      <c r="AP37" s="282">
        <v>0</v>
      </c>
      <c r="AQ37" s="283">
        <v>0</v>
      </c>
    </row>
    <row r="38" spans="1:43">
      <c r="A38" s="109"/>
      <c r="B38" s="280" t="s">
        <v>65</v>
      </c>
      <c r="C38" s="281" t="s">
        <v>564</v>
      </c>
      <c r="D38" s="188">
        <v>172</v>
      </c>
      <c r="E38" s="114">
        <v>0</v>
      </c>
      <c r="F38" s="239" t="s">
        <v>458</v>
      </c>
      <c r="G38" s="315"/>
      <c r="H38" s="264"/>
      <c r="I38" s="282">
        <v>82</v>
      </c>
      <c r="J38" s="282">
        <v>102</v>
      </c>
      <c r="K38" s="282">
        <v>125</v>
      </c>
      <c r="L38" s="282">
        <v>142</v>
      </c>
      <c r="M38" s="283">
        <v>175</v>
      </c>
      <c r="N38" s="284"/>
      <c r="O38" s="282">
        <v>127</v>
      </c>
      <c r="P38" s="282">
        <v>157</v>
      </c>
      <c r="Q38" s="282">
        <v>206</v>
      </c>
      <c r="R38" s="282">
        <v>244</v>
      </c>
      <c r="S38" s="283">
        <v>244</v>
      </c>
      <c r="U38" s="282">
        <v>0</v>
      </c>
      <c r="V38" s="282">
        <v>0</v>
      </c>
      <c r="W38" s="282">
        <v>0</v>
      </c>
      <c r="X38" s="282">
        <v>0</v>
      </c>
      <c r="Y38" s="282">
        <v>0</v>
      </c>
      <c r="Z38" s="282">
        <v>0</v>
      </c>
      <c r="AA38" s="282">
        <v>0</v>
      </c>
      <c r="AB38" s="282">
        <v>0</v>
      </c>
      <c r="AC38" s="282">
        <v>0</v>
      </c>
      <c r="AD38" s="282">
        <v>0</v>
      </c>
      <c r="AE38" s="282">
        <v>0</v>
      </c>
      <c r="AF38" s="153"/>
      <c r="AG38" s="282">
        <v>90</v>
      </c>
      <c r="AH38" s="282">
        <v>70</v>
      </c>
      <c r="AI38" s="282">
        <v>46.999999999999886</v>
      </c>
      <c r="AJ38" s="282">
        <v>30</v>
      </c>
      <c r="AK38" s="283">
        <v>-3</v>
      </c>
      <c r="AL38" s="284"/>
      <c r="AM38" s="282">
        <v>45.000000000000057</v>
      </c>
      <c r="AN38" s="282">
        <v>15</v>
      </c>
      <c r="AO38" s="282">
        <v>-34</v>
      </c>
      <c r="AP38" s="282">
        <v>-72</v>
      </c>
      <c r="AQ38" s="283">
        <v>-72</v>
      </c>
    </row>
    <row r="39" spans="1:43">
      <c r="B39" s="273" t="s">
        <v>65</v>
      </c>
      <c r="C39" s="286" t="s">
        <v>565</v>
      </c>
      <c r="D39" s="189">
        <v>240</v>
      </c>
      <c r="E39" s="115">
        <v>0</v>
      </c>
      <c r="F39" s="237" t="s">
        <v>458</v>
      </c>
      <c r="G39" s="314"/>
      <c r="H39" s="264"/>
      <c r="I39" s="267">
        <v>103</v>
      </c>
      <c r="J39" s="267">
        <v>123</v>
      </c>
      <c r="K39" s="267">
        <v>146</v>
      </c>
      <c r="L39" s="267">
        <v>163</v>
      </c>
      <c r="M39" s="268">
        <v>196</v>
      </c>
      <c r="N39" s="284"/>
      <c r="O39" s="267">
        <v>148</v>
      </c>
      <c r="P39" s="267">
        <v>178</v>
      </c>
      <c r="Q39" s="267">
        <v>227</v>
      </c>
      <c r="R39" s="267">
        <v>292</v>
      </c>
      <c r="S39" s="268">
        <v>308</v>
      </c>
      <c r="U39" s="282">
        <v>0</v>
      </c>
      <c r="V39" s="282">
        <v>0</v>
      </c>
      <c r="W39" s="282">
        <v>0</v>
      </c>
      <c r="X39" s="282">
        <v>0</v>
      </c>
      <c r="Y39" s="282">
        <v>0</v>
      </c>
      <c r="Z39" s="282">
        <v>0</v>
      </c>
      <c r="AA39" s="282">
        <v>0</v>
      </c>
      <c r="AB39" s="282">
        <v>0</v>
      </c>
      <c r="AC39" s="282">
        <v>0</v>
      </c>
      <c r="AD39" s="282">
        <v>0</v>
      </c>
      <c r="AE39" s="282">
        <v>0</v>
      </c>
      <c r="AF39" s="153"/>
      <c r="AG39" s="282">
        <v>137</v>
      </c>
      <c r="AH39" s="282">
        <v>117</v>
      </c>
      <c r="AI39" s="282">
        <v>93.999999999999886</v>
      </c>
      <c r="AJ39" s="282">
        <v>77</v>
      </c>
      <c r="AK39" s="283">
        <v>44</v>
      </c>
      <c r="AL39" s="284"/>
      <c r="AM39" s="282">
        <v>92.000000000000057</v>
      </c>
      <c r="AN39" s="282">
        <v>62</v>
      </c>
      <c r="AO39" s="282">
        <v>13</v>
      </c>
      <c r="AP39" s="282">
        <v>-52</v>
      </c>
      <c r="AQ39" s="283">
        <v>-67.5</v>
      </c>
    </row>
    <row r="40" spans="1:43">
      <c r="A40" s="109"/>
      <c r="B40" s="280" t="s">
        <v>115</v>
      </c>
      <c r="C40" s="281" t="s">
        <v>407</v>
      </c>
      <c r="D40" s="188">
        <v>44</v>
      </c>
      <c r="E40" s="114">
        <v>0</v>
      </c>
      <c r="F40" s="239" t="s">
        <v>458</v>
      </c>
      <c r="G40" s="315"/>
      <c r="H40" s="264"/>
      <c r="I40" s="265">
        <v>44</v>
      </c>
      <c r="J40" s="265">
        <v>44</v>
      </c>
      <c r="K40" s="265">
        <v>44</v>
      </c>
      <c r="L40" s="265">
        <v>44</v>
      </c>
      <c r="M40" s="266">
        <v>44</v>
      </c>
      <c r="N40" s="284"/>
      <c r="O40" s="265">
        <v>44</v>
      </c>
      <c r="P40" s="265">
        <v>44</v>
      </c>
      <c r="Q40" s="265">
        <v>44</v>
      </c>
      <c r="R40" s="265">
        <v>44</v>
      </c>
      <c r="S40" s="266">
        <v>44</v>
      </c>
      <c r="T40" s="109"/>
      <c r="U40" s="282">
        <v>0</v>
      </c>
      <c r="V40" s="282">
        <v>0</v>
      </c>
      <c r="W40" s="282">
        <v>0</v>
      </c>
      <c r="X40" s="282">
        <v>0</v>
      </c>
      <c r="Y40" s="282">
        <v>0</v>
      </c>
      <c r="Z40" s="282">
        <v>0</v>
      </c>
      <c r="AA40" s="282">
        <v>0</v>
      </c>
      <c r="AB40" s="282">
        <v>0</v>
      </c>
      <c r="AC40" s="282">
        <v>0</v>
      </c>
      <c r="AD40" s="282">
        <v>0</v>
      </c>
      <c r="AE40" s="282">
        <v>0</v>
      </c>
      <c r="AF40" s="153"/>
      <c r="AG40" s="282">
        <v>0</v>
      </c>
      <c r="AH40" s="282">
        <v>0</v>
      </c>
      <c r="AI40" s="282">
        <v>0</v>
      </c>
      <c r="AJ40" s="282">
        <v>0</v>
      </c>
      <c r="AK40" s="283">
        <v>0</v>
      </c>
      <c r="AL40" s="284"/>
      <c r="AM40" s="282">
        <v>0</v>
      </c>
      <c r="AN40" s="282">
        <v>0</v>
      </c>
      <c r="AO40" s="282">
        <v>0</v>
      </c>
      <c r="AP40" s="282">
        <v>0</v>
      </c>
      <c r="AQ40" s="283">
        <v>0</v>
      </c>
    </row>
    <row r="41" spans="1:43">
      <c r="B41" s="273" t="s">
        <v>115</v>
      </c>
      <c r="C41" s="286" t="s">
        <v>408</v>
      </c>
      <c r="D41" s="189">
        <v>77</v>
      </c>
      <c r="E41" s="115">
        <v>0</v>
      </c>
      <c r="F41" s="237" t="s">
        <v>458</v>
      </c>
      <c r="G41" s="314"/>
      <c r="H41" s="264"/>
      <c r="I41" s="267">
        <v>77</v>
      </c>
      <c r="J41" s="267">
        <v>77</v>
      </c>
      <c r="K41" s="267">
        <v>77</v>
      </c>
      <c r="L41" s="267">
        <v>77</v>
      </c>
      <c r="M41" s="268">
        <v>77</v>
      </c>
      <c r="N41" s="284"/>
      <c r="O41" s="267">
        <v>77</v>
      </c>
      <c r="P41" s="267">
        <v>77</v>
      </c>
      <c r="Q41" s="267">
        <v>77</v>
      </c>
      <c r="R41" s="267">
        <v>77</v>
      </c>
      <c r="S41" s="268">
        <v>77</v>
      </c>
      <c r="U41" s="282">
        <v>0</v>
      </c>
      <c r="V41" s="282">
        <v>0</v>
      </c>
      <c r="W41" s="282">
        <v>0</v>
      </c>
      <c r="X41" s="282">
        <v>0</v>
      </c>
      <c r="Y41" s="282">
        <v>0</v>
      </c>
      <c r="Z41" s="282">
        <v>0</v>
      </c>
      <c r="AA41" s="282">
        <v>0</v>
      </c>
      <c r="AB41" s="282">
        <v>0</v>
      </c>
      <c r="AC41" s="282">
        <v>0</v>
      </c>
      <c r="AD41" s="282">
        <v>0</v>
      </c>
      <c r="AE41" s="282">
        <v>0</v>
      </c>
      <c r="AF41" s="153"/>
      <c r="AG41" s="282">
        <v>0</v>
      </c>
      <c r="AH41" s="282">
        <v>0</v>
      </c>
      <c r="AI41" s="282">
        <v>0</v>
      </c>
      <c r="AJ41" s="282">
        <v>0</v>
      </c>
      <c r="AK41" s="283">
        <v>0</v>
      </c>
      <c r="AL41" s="284"/>
      <c r="AM41" s="282">
        <v>0</v>
      </c>
      <c r="AN41" s="282">
        <v>0</v>
      </c>
      <c r="AO41" s="282">
        <v>0</v>
      </c>
      <c r="AP41" s="282">
        <v>0</v>
      </c>
      <c r="AQ41" s="283">
        <v>0</v>
      </c>
    </row>
    <row r="42" spans="1:43">
      <c r="A42" s="109"/>
      <c r="B42" s="280" t="s">
        <v>181</v>
      </c>
      <c r="C42" s="281" t="s">
        <v>544</v>
      </c>
      <c r="D42" s="188">
        <v>93</v>
      </c>
      <c r="E42" s="114">
        <v>0</v>
      </c>
      <c r="F42" s="239" t="s">
        <v>458</v>
      </c>
      <c r="G42" s="315"/>
      <c r="H42" s="264"/>
      <c r="I42" s="282">
        <v>52</v>
      </c>
      <c r="J42" s="282">
        <v>72</v>
      </c>
      <c r="K42" s="282">
        <v>95</v>
      </c>
      <c r="L42" s="282">
        <v>112</v>
      </c>
      <c r="M42" s="283">
        <v>145</v>
      </c>
      <c r="N42" s="284"/>
      <c r="O42" s="282">
        <v>97</v>
      </c>
      <c r="P42" s="282">
        <v>127</v>
      </c>
      <c r="Q42" s="282">
        <v>176</v>
      </c>
      <c r="R42" s="282">
        <v>173</v>
      </c>
      <c r="S42" s="283">
        <v>173</v>
      </c>
      <c r="T42" s="109"/>
      <c r="U42" s="282">
        <v>0</v>
      </c>
      <c r="V42" s="282">
        <v>0</v>
      </c>
      <c r="W42" s="282">
        <v>0</v>
      </c>
      <c r="X42" s="282">
        <v>0</v>
      </c>
      <c r="Y42" s="282">
        <v>0</v>
      </c>
      <c r="Z42" s="282">
        <v>0</v>
      </c>
      <c r="AA42" s="282">
        <v>0</v>
      </c>
      <c r="AB42" s="282">
        <v>0</v>
      </c>
      <c r="AC42" s="282">
        <v>0</v>
      </c>
      <c r="AD42" s="282">
        <v>0</v>
      </c>
      <c r="AE42" s="282">
        <v>0</v>
      </c>
      <c r="AF42" s="153"/>
      <c r="AG42" s="282">
        <v>41</v>
      </c>
      <c r="AH42" s="282">
        <v>21</v>
      </c>
      <c r="AI42" s="282">
        <v>-2.0000000000001137</v>
      </c>
      <c r="AJ42" s="282">
        <v>-19</v>
      </c>
      <c r="AK42" s="283">
        <v>-52</v>
      </c>
      <c r="AL42" s="284"/>
      <c r="AM42" s="282">
        <v>-3.9999999999999432</v>
      </c>
      <c r="AN42" s="282">
        <v>-34</v>
      </c>
      <c r="AO42" s="282">
        <v>-83</v>
      </c>
      <c r="AP42" s="282">
        <v>-79.78</v>
      </c>
      <c r="AQ42" s="283">
        <v>-79.78</v>
      </c>
    </row>
    <row r="43" spans="1:43">
      <c r="B43" s="273" t="s">
        <v>421</v>
      </c>
      <c r="C43" s="286" t="s">
        <v>422</v>
      </c>
      <c r="D43" s="189">
        <v>48</v>
      </c>
      <c r="E43" s="115">
        <v>0</v>
      </c>
      <c r="F43" s="237" t="s">
        <v>460</v>
      </c>
      <c r="G43" s="314"/>
      <c r="I43" s="267">
        <v>48</v>
      </c>
      <c r="J43" s="267">
        <v>48</v>
      </c>
      <c r="K43" s="267">
        <v>48</v>
      </c>
      <c r="L43" s="267">
        <v>48</v>
      </c>
      <c r="M43" s="268">
        <v>48</v>
      </c>
      <c r="O43" s="267">
        <v>48</v>
      </c>
      <c r="P43" s="267">
        <v>48</v>
      </c>
      <c r="Q43" s="267">
        <v>48</v>
      </c>
      <c r="R43" s="267">
        <v>48</v>
      </c>
      <c r="S43" s="268">
        <v>48</v>
      </c>
      <c r="U43" s="282">
        <v>0</v>
      </c>
      <c r="V43" s="282">
        <v>0</v>
      </c>
      <c r="W43" s="282">
        <v>0</v>
      </c>
      <c r="X43" s="282">
        <v>0</v>
      </c>
      <c r="Y43" s="282">
        <v>0</v>
      </c>
      <c r="Z43" s="282">
        <v>0</v>
      </c>
      <c r="AA43" s="282">
        <v>0</v>
      </c>
      <c r="AB43" s="282">
        <v>0</v>
      </c>
      <c r="AC43" s="282">
        <v>0</v>
      </c>
      <c r="AD43" s="282">
        <v>0</v>
      </c>
      <c r="AE43" s="282">
        <v>0</v>
      </c>
      <c r="AF43" s="153"/>
      <c r="AG43" s="282">
        <v>0</v>
      </c>
      <c r="AH43" s="282">
        <v>0</v>
      </c>
      <c r="AI43" s="282">
        <v>0</v>
      </c>
      <c r="AJ43" s="282">
        <v>0</v>
      </c>
      <c r="AK43" s="283">
        <v>0</v>
      </c>
      <c r="AL43" s="284"/>
      <c r="AM43" s="282">
        <v>0</v>
      </c>
      <c r="AN43" s="282">
        <v>0</v>
      </c>
      <c r="AO43" s="282">
        <v>0</v>
      </c>
      <c r="AP43" s="282">
        <v>0</v>
      </c>
      <c r="AQ43" s="283">
        <v>0</v>
      </c>
    </row>
    <row r="44" spans="1:43">
      <c r="A44" s="109"/>
      <c r="B44" s="280" t="s">
        <v>423</v>
      </c>
      <c r="C44" s="281" t="s">
        <v>535</v>
      </c>
      <c r="D44" s="188">
        <v>520</v>
      </c>
      <c r="E44" s="114">
        <v>3.25</v>
      </c>
      <c r="F44" s="239" t="s">
        <v>190</v>
      </c>
      <c r="G44" s="315"/>
      <c r="I44" s="265">
        <v>229</v>
      </c>
      <c r="J44" s="265">
        <v>249</v>
      </c>
      <c r="K44" s="265">
        <v>272</v>
      </c>
      <c r="L44" s="265">
        <v>289</v>
      </c>
      <c r="M44" s="266">
        <v>322</v>
      </c>
      <c r="O44" s="265">
        <v>274</v>
      </c>
      <c r="P44" s="265">
        <v>334</v>
      </c>
      <c r="Q44" s="265">
        <v>403</v>
      </c>
      <c r="R44" s="265">
        <v>458</v>
      </c>
      <c r="S44" s="266">
        <v>583</v>
      </c>
      <c r="U44" s="282">
        <v>0</v>
      </c>
      <c r="V44" s="282">
        <v>0</v>
      </c>
      <c r="W44" s="282">
        <v>0</v>
      </c>
      <c r="X44" s="282">
        <v>0</v>
      </c>
      <c r="Y44" s="282">
        <v>0</v>
      </c>
      <c r="Z44" s="282">
        <v>0</v>
      </c>
      <c r="AA44" s="282">
        <v>0</v>
      </c>
      <c r="AB44" s="282">
        <v>-30</v>
      </c>
      <c r="AC44" s="282">
        <v>-50</v>
      </c>
      <c r="AD44" s="282">
        <v>-40</v>
      </c>
      <c r="AE44" s="282">
        <v>-53</v>
      </c>
      <c r="AF44" s="153"/>
      <c r="AG44" s="282">
        <v>290.88</v>
      </c>
      <c r="AH44" s="282">
        <v>270.88</v>
      </c>
      <c r="AI44" s="282">
        <v>247.87999999999988</v>
      </c>
      <c r="AJ44" s="282">
        <v>230.88</v>
      </c>
      <c r="AK44" s="283">
        <v>197.88</v>
      </c>
      <c r="AL44" s="284"/>
      <c r="AM44" s="282">
        <v>245.88000000000005</v>
      </c>
      <c r="AN44" s="282">
        <v>185.88</v>
      </c>
      <c r="AO44" s="282">
        <v>116.88</v>
      </c>
      <c r="AP44" s="282">
        <v>61.879999999999995</v>
      </c>
      <c r="AQ44" s="283">
        <v>-63</v>
      </c>
    </row>
    <row r="45" spans="1:43">
      <c r="B45" s="273" t="s">
        <v>423</v>
      </c>
      <c r="C45" s="286" t="s">
        <v>536</v>
      </c>
      <c r="D45" s="189">
        <v>564</v>
      </c>
      <c r="E45" s="115">
        <v>3.25</v>
      </c>
      <c r="F45" s="237" t="s">
        <v>190</v>
      </c>
      <c r="G45" s="314"/>
      <c r="I45" s="267">
        <v>208</v>
      </c>
      <c r="J45" s="267">
        <v>228</v>
      </c>
      <c r="K45" s="267">
        <v>251</v>
      </c>
      <c r="L45" s="267">
        <v>268</v>
      </c>
      <c r="M45" s="268">
        <v>301</v>
      </c>
      <c r="O45" s="267">
        <v>253</v>
      </c>
      <c r="P45" s="267">
        <v>313</v>
      </c>
      <c r="Q45" s="267">
        <v>382</v>
      </c>
      <c r="R45" s="267">
        <v>437</v>
      </c>
      <c r="S45" s="268">
        <v>569</v>
      </c>
      <c r="U45" s="282">
        <v>0</v>
      </c>
      <c r="V45" s="282">
        <v>0</v>
      </c>
      <c r="W45" s="282">
        <v>0</v>
      </c>
      <c r="X45" s="282">
        <v>0</v>
      </c>
      <c r="Y45" s="282">
        <v>0</v>
      </c>
      <c r="Z45" s="282">
        <v>0</v>
      </c>
      <c r="AA45" s="282">
        <v>0</v>
      </c>
      <c r="AB45" s="282">
        <v>-30</v>
      </c>
      <c r="AC45" s="282">
        <v>-50</v>
      </c>
      <c r="AD45" s="282">
        <v>-40</v>
      </c>
      <c r="AE45" s="282">
        <v>-60</v>
      </c>
      <c r="AF45" s="153"/>
      <c r="AG45" s="282">
        <v>356.01</v>
      </c>
      <c r="AH45" s="282">
        <v>336.01</v>
      </c>
      <c r="AI45" s="282">
        <v>313.00999999999988</v>
      </c>
      <c r="AJ45" s="282">
        <v>296.01</v>
      </c>
      <c r="AK45" s="283">
        <v>263.01</v>
      </c>
      <c r="AL45" s="284"/>
      <c r="AM45" s="282">
        <v>311.01000000000005</v>
      </c>
      <c r="AN45" s="282">
        <v>251.01</v>
      </c>
      <c r="AO45" s="282">
        <v>182.01</v>
      </c>
      <c r="AP45" s="282">
        <v>127.00999999999999</v>
      </c>
      <c r="AQ45" s="283">
        <v>-4.9900000000000091</v>
      </c>
    </row>
    <row r="46" spans="1:43">
      <c r="A46" s="109"/>
      <c r="B46" s="280" t="s">
        <v>423</v>
      </c>
      <c r="C46" s="281" t="s">
        <v>578</v>
      </c>
      <c r="D46" s="188">
        <v>823</v>
      </c>
      <c r="E46" s="114">
        <v>3.25</v>
      </c>
      <c r="F46" s="239" t="s">
        <v>190</v>
      </c>
      <c r="G46" s="315"/>
      <c r="I46" s="282">
        <v>52</v>
      </c>
      <c r="J46" s="282">
        <v>304</v>
      </c>
      <c r="K46" s="282">
        <v>327</v>
      </c>
      <c r="L46" s="282">
        <v>344</v>
      </c>
      <c r="M46" s="283">
        <v>377</v>
      </c>
      <c r="O46" s="282">
        <v>97</v>
      </c>
      <c r="P46" s="282">
        <v>389</v>
      </c>
      <c r="Q46" s="282">
        <v>458</v>
      </c>
      <c r="R46" s="282">
        <v>513</v>
      </c>
      <c r="S46" s="283">
        <v>645</v>
      </c>
      <c r="U46" s="282">
        <v>0</v>
      </c>
      <c r="V46" s="282">
        <v>0</v>
      </c>
      <c r="W46" s="282">
        <v>0</v>
      </c>
      <c r="X46" s="282">
        <v>0</v>
      </c>
      <c r="Y46" s="282">
        <v>0</v>
      </c>
      <c r="Z46" s="282">
        <v>0</v>
      </c>
      <c r="AA46" s="282">
        <v>0</v>
      </c>
      <c r="AB46" s="282">
        <v>-30</v>
      </c>
      <c r="AC46" s="282">
        <v>-50</v>
      </c>
      <c r="AD46" s="282">
        <v>-40</v>
      </c>
      <c r="AE46" s="282">
        <v>-60</v>
      </c>
      <c r="AF46" s="153"/>
      <c r="AG46" s="282">
        <v>771</v>
      </c>
      <c r="AH46" s="282">
        <v>519.11</v>
      </c>
      <c r="AI46" s="282">
        <v>496.1099999999999</v>
      </c>
      <c r="AJ46" s="282">
        <v>479.11</v>
      </c>
      <c r="AK46" s="283">
        <v>446.11</v>
      </c>
      <c r="AL46" s="284"/>
      <c r="AM46" s="282">
        <v>726</v>
      </c>
      <c r="AN46" s="282">
        <v>434.11</v>
      </c>
      <c r="AO46" s="282">
        <v>365.11</v>
      </c>
      <c r="AP46" s="282">
        <v>310.11</v>
      </c>
      <c r="AQ46" s="283">
        <v>178.11</v>
      </c>
    </row>
    <row r="47" spans="1:43">
      <c r="B47" s="273" t="s">
        <v>423</v>
      </c>
      <c r="C47" s="286" t="s">
        <v>579</v>
      </c>
      <c r="D47" s="189">
        <v>1062</v>
      </c>
      <c r="E47" s="115">
        <v>3.25</v>
      </c>
      <c r="F47" s="237" t="s">
        <v>190</v>
      </c>
      <c r="G47" s="314"/>
      <c r="I47" s="267">
        <v>52</v>
      </c>
      <c r="J47" s="267">
        <v>377</v>
      </c>
      <c r="K47" s="267">
        <v>400</v>
      </c>
      <c r="L47" s="267">
        <v>417</v>
      </c>
      <c r="M47" s="268">
        <v>450</v>
      </c>
      <c r="O47" s="267">
        <v>97</v>
      </c>
      <c r="P47" s="267">
        <v>462</v>
      </c>
      <c r="Q47" s="267">
        <v>531</v>
      </c>
      <c r="R47" s="267">
        <v>586</v>
      </c>
      <c r="S47" s="268">
        <v>718</v>
      </c>
      <c r="U47" s="282">
        <v>0</v>
      </c>
      <c r="V47" s="282">
        <v>0</v>
      </c>
      <c r="W47" s="282">
        <v>0</v>
      </c>
      <c r="X47" s="282">
        <v>0</v>
      </c>
      <c r="Y47" s="282">
        <v>0</v>
      </c>
      <c r="Z47" s="282">
        <v>0</v>
      </c>
      <c r="AA47" s="282">
        <v>0</v>
      </c>
      <c r="AB47" s="282">
        <v>-30</v>
      </c>
      <c r="AC47" s="282">
        <v>-50</v>
      </c>
      <c r="AD47" s="282">
        <v>-40</v>
      </c>
      <c r="AE47" s="282">
        <v>-60</v>
      </c>
      <c r="AF47" s="153"/>
      <c r="AG47" s="282">
        <v>1010</v>
      </c>
      <c r="AH47" s="282">
        <v>684.73</v>
      </c>
      <c r="AI47" s="282">
        <v>661.7299999999999</v>
      </c>
      <c r="AJ47" s="282">
        <v>644.73</v>
      </c>
      <c r="AK47" s="283">
        <v>611.73</v>
      </c>
      <c r="AL47" s="284"/>
      <c r="AM47" s="282">
        <v>965</v>
      </c>
      <c r="AN47" s="282">
        <v>599.73</v>
      </c>
      <c r="AO47" s="282">
        <v>530.73</v>
      </c>
      <c r="AP47" s="282">
        <v>475.73</v>
      </c>
      <c r="AQ47" s="283">
        <v>343.73</v>
      </c>
    </row>
    <row r="48" spans="1:43">
      <c r="A48" s="109"/>
      <c r="B48" s="280" t="s">
        <v>423</v>
      </c>
      <c r="C48" s="281" t="s">
        <v>580</v>
      </c>
      <c r="D48" s="188">
        <v>1234</v>
      </c>
      <c r="E48" s="114">
        <v>3.25</v>
      </c>
      <c r="F48" s="239" t="s">
        <v>190</v>
      </c>
      <c r="G48" s="315"/>
      <c r="I48" s="282">
        <v>52</v>
      </c>
      <c r="J48" s="282">
        <v>406</v>
      </c>
      <c r="K48" s="282">
        <v>429</v>
      </c>
      <c r="L48" s="282">
        <v>446</v>
      </c>
      <c r="M48" s="283">
        <v>479</v>
      </c>
      <c r="O48" s="282">
        <v>97</v>
      </c>
      <c r="P48" s="282">
        <v>491</v>
      </c>
      <c r="Q48" s="282">
        <v>560</v>
      </c>
      <c r="R48" s="282">
        <v>615</v>
      </c>
      <c r="S48" s="283">
        <v>747</v>
      </c>
      <c r="U48" s="282">
        <v>0</v>
      </c>
      <c r="V48" s="282">
        <v>0</v>
      </c>
      <c r="W48" s="282">
        <v>0</v>
      </c>
      <c r="X48" s="282">
        <v>0</v>
      </c>
      <c r="Y48" s="282">
        <v>0</v>
      </c>
      <c r="Z48" s="282">
        <v>0</v>
      </c>
      <c r="AA48" s="282">
        <v>0</v>
      </c>
      <c r="AB48" s="282">
        <v>-30</v>
      </c>
      <c r="AC48" s="282">
        <v>-50</v>
      </c>
      <c r="AD48" s="282">
        <v>-40</v>
      </c>
      <c r="AE48" s="282">
        <v>-60</v>
      </c>
      <c r="AF48" s="153"/>
      <c r="AG48" s="282">
        <v>1182</v>
      </c>
      <c r="AH48" s="282">
        <v>827.7</v>
      </c>
      <c r="AI48" s="282">
        <v>804.7</v>
      </c>
      <c r="AJ48" s="282">
        <v>787.7</v>
      </c>
      <c r="AK48" s="283">
        <v>754.7</v>
      </c>
      <c r="AL48" s="284"/>
      <c r="AM48" s="282">
        <v>1137</v>
      </c>
      <c r="AN48" s="282">
        <v>742.7</v>
      </c>
      <c r="AO48" s="282">
        <v>673.7</v>
      </c>
      <c r="AP48" s="282">
        <v>618.70000000000005</v>
      </c>
      <c r="AQ48" s="283">
        <v>486.70000000000005</v>
      </c>
    </row>
    <row r="49" spans="1:43">
      <c r="B49" s="273" t="s">
        <v>318</v>
      </c>
      <c r="C49" s="286" t="s">
        <v>545</v>
      </c>
      <c r="D49" s="189">
        <v>539</v>
      </c>
      <c r="E49" s="115">
        <v>3.25</v>
      </c>
      <c r="F49" s="237" t="s">
        <v>190</v>
      </c>
      <c r="G49" s="314"/>
      <c r="I49" s="267">
        <v>324</v>
      </c>
      <c r="J49" s="267">
        <v>344</v>
      </c>
      <c r="K49" s="267">
        <v>367</v>
      </c>
      <c r="L49" s="267">
        <v>384</v>
      </c>
      <c r="M49" s="268">
        <v>417</v>
      </c>
      <c r="O49" s="267">
        <v>369</v>
      </c>
      <c r="P49" s="267">
        <v>399</v>
      </c>
      <c r="Q49" s="267">
        <v>448</v>
      </c>
      <c r="R49" s="267">
        <v>539</v>
      </c>
      <c r="S49" s="268">
        <v>625</v>
      </c>
      <c r="U49" s="282">
        <v>0</v>
      </c>
      <c r="V49" s="282">
        <v>0</v>
      </c>
      <c r="W49" s="282">
        <v>0</v>
      </c>
      <c r="X49" s="282">
        <v>0</v>
      </c>
      <c r="Y49" s="282">
        <v>0</v>
      </c>
      <c r="Z49" s="282">
        <v>0</v>
      </c>
      <c r="AA49" s="282">
        <v>0</v>
      </c>
      <c r="AB49" s="282">
        <v>0</v>
      </c>
      <c r="AC49" s="282">
        <v>0</v>
      </c>
      <c r="AD49" s="282">
        <v>0</v>
      </c>
      <c r="AE49" s="282">
        <v>0</v>
      </c>
      <c r="AF49" s="153"/>
      <c r="AG49" s="282">
        <v>215.25</v>
      </c>
      <c r="AH49" s="282">
        <v>195.25</v>
      </c>
      <c r="AI49" s="282">
        <v>172.24999999999989</v>
      </c>
      <c r="AJ49" s="282">
        <v>155.25</v>
      </c>
      <c r="AK49" s="283">
        <v>122.25</v>
      </c>
      <c r="AL49" s="284"/>
      <c r="AM49" s="282">
        <v>170.25000000000006</v>
      </c>
      <c r="AN49" s="282">
        <v>140.25</v>
      </c>
      <c r="AO49" s="282">
        <v>91.25</v>
      </c>
      <c r="AP49" s="282">
        <v>0.25</v>
      </c>
      <c r="AQ49" s="283">
        <v>-85.75</v>
      </c>
    </row>
    <row r="50" spans="1:43">
      <c r="A50" s="109"/>
      <c r="B50" s="280" t="s">
        <v>318</v>
      </c>
      <c r="C50" s="281" t="s">
        <v>546</v>
      </c>
      <c r="D50" s="188">
        <v>309</v>
      </c>
      <c r="E50" s="114">
        <v>3.25</v>
      </c>
      <c r="F50" s="239" t="s">
        <v>190</v>
      </c>
      <c r="G50" s="315"/>
      <c r="I50" s="265">
        <v>171</v>
      </c>
      <c r="J50" s="265">
        <v>191</v>
      </c>
      <c r="K50" s="265">
        <v>214</v>
      </c>
      <c r="L50" s="265">
        <v>231</v>
      </c>
      <c r="M50" s="266">
        <v>264</v>
      </c>
      <c r="O50" s="265">
        <v>216</v>
      </c>
      <c r="P50" s="265">
        <v>246</v>
      </c>
      <c r="Q50" s="265">
        <v>295</v>
      </c>
      <c r="R50" s="265">
        <v>360</v>
      </c>
      <c r="S50" s="266">
        <v>377</v>
      </c>
      <c r="U50" s="282">
        <v>0</v>
      </c>
      <c r="V50" s="282">
        <v>0</v>
      </c>
      <c r="W50" s="282">
        <v>0</v>
      </c>
      <c r="X50" s="282">
        <v>0</v>
      </c>
      <c r="Y50" s="282">
        <v>0</v>
      </c>
      <c r="Z50" s="282">
        <v>0</v>
      </c>
      <c r="AA50" s="282">
        <v>0</v>
      </c>
      <c r="AB50" s="282">
        <v>0</v>
      </c>
      <c r="AC50" s="282">
        <v>0</v>
      </c>
      <c r="AD50" s="282">
        <v>0</v>
      </c>
      <c r="AE50" s="282">
        <v>0</v>
      </c>
      <c r="AF50" s="153"/>
      <c r="AG50" s="282">
        <v>138.25</v>
      </c>
      <c r="AH50" s="282">
        <v>118.25</v>
      </c>
      <c r="AI50" s="282">
        <v>95.249999999999886</v>
      </c>
      <c r="AJ50" s="282">
        <v>78.25</v>
      </c>
      <c r="AK50" s="283">
        <v>45.25</v>
      </c>
      <c r="AL50" s="284"/>
      <c r="AM50" s="282">
        <v>93.250000000000057</v>
      </c>
      <c r="AN50" s="282">
        <v>63.25</v>
      </c>
      <c r="AO50" s="282">
        <v>14.25</v>
      </c>
      <c r="AP50" s="282">
        <v>-50.75</v>
      </c>
      <c r="AQ50" s="283">
        <v>-68.125</v>
      </c>
    </row>
    <row r="51" spans="1:43">
      <c r="B51" s="273" t="s">
        <v>318</v>
      </c>
      <c r="C51" s="286" t="s">
        <v>547</v>
      </c>
      <c r="D51" s="189">
        <v>661</v>
      </c>
      <c r="E51" s="115">
        <v>3.25</v>
      </c>
      <c r="F51" s="237" t="s">
        <v>190</v>
      </c>
      <c r="G51" s="314"/>
      <c r="I51" s="267">
        <v>331</v>
      </c>
      <c r="J51" s="267">
        <v>351</v>
      </c>
      <c r="K51" s="267">
        <v>374</v>
      </c>
      <c r="L51" s="267">
        <v>391</v>
      </c>
      <c r="M51" s="268">
        <v>424</v>
      </c>
      <c r="O51" s="267">
        <v>376</v>
      </c>
      <c r="P51" s="267">
        <v>436</v>
      </c>
      <c r="Q51" s="267">
        <v>505</v>
      </c>
      <c r="R51" s="267">
        <v>560</v>
      </c>
      <c r="S51" s="268">
        <v>721</v>
      </c>
      <c r="U51" s="282">
        <v>0</v>
      </c>
      <c r="V51" s="282">
        <v>0</v>
      </c>
      <c r="W51" s="282">
        <v>0</v>
      </c>
      <c r="X51" s="282">
        <v>0</v>
      </c>
      <c r="Y51" s="282">
        <v>0</v>
      </c>
      <c r="Z51" s="282">
        <v>0</v>
      </c>
      <c r="AA51" s="282">
        <v>0</v>
      </c>
      <c r="AB51" s="282">
        <v>-30</v>
      </c>
      <c r="AC51" s="282">
        <v>-50</v>
      </c>
      <c r="AD51" s="282">
        <v>-40</v>
      </c>
      <c r="AE51" s="282">
        <v>-60</v>
      </c>
      <c r="AF51" s="153"/>
      <c r="AG51" s="282">
        <v>330.25</v>
      </c>
      <c r="AH51" s="282">
        <v>310.25</v>
      </c>
      <c r="AI51" s="282">
        <v>287.24999999999989</v>
      </c>
      <c r="AJ51" s="282">
        <v>270.25</v>
      </c>
      <c r="AK51" s="283">
        <v>237.25</v>
      </c>
      <c r="AL51" s="284"/>
      <c r="AM51" s="282">
        <v>285.25</v>
      </c>
      <c r="AN51" s="282">
        <v>225.25</v>
      </c>
      <c r="AO51" s="282">
        <v>156.25</v>
      </c>
      <c r="AP51" s="282">
        <v>101.25</v>
      </c>
      <c r="AQ51" s="283">
        <v>-59.75</v>
      </c>
    </row>
    <row r="52" spans="1:43">
      <c r="A52" s="109"/>
      <c r="B52" s="280" t="s">
        <v>318</v>
      </c>
      <c r="C52" s="281" t="s">
        <v>588</v>
      </c>
      <c r="D52" s="188">
        <v>181</v>
      </c>
      <c r="E52" s="114">
        <v>3.25</v>
      </c>
      <c r="F52" s="239" t="s">
        <v>190</v>
      </c>
      <c r="G52" s="315"/>
      <c r="I52" s="282">
        <v>101</v>
      </c>
      <c r="J52" s="282">
        <v>121</v>
      </c>
      <c r="K52" s="282">
        <v>144</v>
      </c>
      <c r="L52" s="282">
        <v>161</v>
      </c>
      <c r="M52" s="283">
        <v>194</v>
      </c>
      <c r="O52" s="282">
        <v>146</v>
      </c>
      <c r="P52" s="282">
        <v>176</v>
      </c>
      <c r="Q52" s="282">
        <v>225</v>
      </c>
      <c r="R52" s="282">
        <v>248</v>
      </c>
      <c r="S52" s="283">
        <v>248</v>
      </c>
      <c r="U52" s="282">
        <v>0</v>
      </c>
      <c r="V52" s="282">
        <v>0</v>
      </c>
      <c r="W52" s="282">
        <v>0</v>
      </c>
      <c r="X52" s="282">
        <v>0</v>
      </c>
      <c r="Y52" s="282">
        <v>0</v>
      </c>
      <c r="Z52" s="282">
        <v>0</v>
      </c>
      <c r="AA52" s="282">
        <v>0</v>
      </c>
      <c r="AB52" s="282">
        <v>0</v>
      </c>
      <c r="AC52" s="282">
        <v>0</v>
      </c>
      <c r="AD52" s="282">
        <v>0</v>
      </c>
      <c r="AE52" s="282">
        <v>0</v>
      </c>
      <c r="AF52" s="153"/>
      <c r="AG52" s="282">
        <v>80.25</v>
      </c>
      <c r="AH52" s="282">
        <v>60.25</v>
      </c>
      <c r="AI52" s="282">
        <v>37.249999999999886</v>
      </c>
      <c r="AJ52" s="282">
        <v>20.25</v>
      </c>
      <c r="AK52" s="283">
        <v>-12.75</v>
      </c>
      <c r="AL52" s="284"/>
      <c r="AM52" s="282">
        <v>35.250000000000057</v>
      </c>
      <c r="AN52" s="282">
        <v>5.25</v>
      </c>
      <c r="AO52" s="282">
        <v>-43.75</v>
      </c>
      <c r="AP52" s="282">
        <v>-67.125</v>
      </c>
      <c r="AQ52" s="283">
        <v>-67.125</v>
      </c>
    </row>
    <row r="53" spans="1:43">
      <c r="B53" s="273" t="s">
        <v>318</v>
      </c>
      <c r="C53" s="286" t="s">
        <v>581</v>
      </c>
      <c r="D53" s="189">
        <v>1653</v>
      </c>
      <c r="E53" s="115">
        <v>3.25</v>
      </c>
      <c r="F53" s="237" t="s">
        <v>190</v>
      </c>
      <c r="G53" s="314"/>
      <c r="I53" s="267">
        <v>52</v>
      </c>
      <c r="J53" s="267">
        <v>562</v>
      </c>
      <c r="K53" s="267">
        <v>585</v>
      </c>
      <c r="L53" s="267">
        <v>602</v>
      </c>
      <c r="M53" s="268">
        <v>635</v>
      </c>
      <c r="O53" s="267">
        <v>97</v>
      </c>
      <c r="P53" s="267">
        <v>647</v>
      </c>
      <c r="Q53" s="267">
        <v>716</v>
      </c>
      <c r="R53" s="267">
        <v>771</v>
      </c>
      <c r="S53" s="268">
        <v>903</v>
      </c>
      <c r="U53" s="282">
        <v>0</v>
      </c>
      <c r="V53" s="282">
        <v>0</v>
      </c>
      <c r="W53" s="282">
        <v>0</v>
      </c>
      <c r="X53" s="282">
        <v>0</v>
      </c>
      <c r="Y53" s="282">
        <v>0</v>
      </c>
      <c r="Z53" s="282">
        <v>0</v>
      </c>
      <c r="AA53" s="282">
        <v>0</v>
      </c>
      <c r="AB53" s="282">
        <v>-30</v>
      </c>
      <c r="AC53" s="282">
        <v>-50</v>
      </c>
      <c r="AD53" s="282">
        <v>-40</v>
      </c>
      <c r="AE53" s="282">
        <v>-60</v>
      </c>
      <c r="AF53" s="153"/>
      <c r="AG53" s="282">
        <v>1601</v>
      </c>
      <c r="AH53" s="282">
        <v>1091.25</v>
      </c>
      <c r="AI53" s="282">
        <v>1068.25</v>
      </c>
      <c r="AJ53" s="282">
        <v>1051.25</v>
      </c>
      <c r="AK53" s="283">
        <v>1018.25</v>
      </c>
      <c r="AL53" s="284"/>
      <c r="AM53" s="282">
        <v>1556</v>
      </c>
      <c r="AN53" s="282">
        <v>1006.25</v>
      </c>
      <c r="AO53" s="282">
        <v>937.25</v>
      </c>
      <c r="AP53" s="282">
        <v>882.25</v>
      </c>
      <c r="AQ53" s="283">
        <v>750.25</v>
      </c>
    </row>
    <row r="54" spans="1:43">
      <c r="A54" s="109"/>
      <c r="B54" s="280" t="s">
        <v>318</v>
      </c>
      <c r="C54" s="281" t="s">
        <v>461</v>
      </c>
      <c r="D54" s="188">
        <v>358</v>
      </c>
      <c r="E54" s="114">
        <v>3.25</v>
      </c>
      <c r="F54" s="239" t="s">
        <v>190</v>
      </c>
      <c r="G54" s="315"/>
      <c r="I54" s="282">
        <v>148</v>
      </c>
      <c r="J54" s="282">
        <v>168</v>
      </c>
      <c r="K54" s="282">
        <v>191</v>
      </c>
      <c r="L54" s="282">
        <v>208</v>
      </c>
      <c r="M54" s="283">
        <v>241</v>
      </c>
      <c r="O54" s="282">
        <v>193</v>
      </c>
      <c r="P54" s="282">
        <v>223</v>
      </c>
      <c r="Q54" s="282">
        <v>272</v>
      </c>
      <c r="R54" s="282">
        <v>358</v>
      </c>
      <c r="S54" s="283">
        <v>449</v>
      </c>
      <c r="U54" s="282">
        <v>0</v>
      </c>
      <c r="V54" s="282">
        <v>0</v>
      </c>
      <c r="W54" s="282">
        <v>0</v>
      </c>
      <c r="X54" s="282">
        <v>0</v>
      </c>
      <c r="Y54" s="282">
        <v>0</v>
      </c>
      <c r="Z54" s="282">
        <v>0</v>
      </c>
      <c r="AA54" s="282">
        <v>0</v>
      </c>
      <c r="AB54" s="282">
        <v>0</v>
      </c>
      <c r="AC54" s="282">
        <v>0</v>
      </c>
      <c r="AD54" s="282">
        <v>0</v>
      </c>
      <c r="AE54" s="282">
        <v>0</v>
      </c>
      <c r="AF54" s="153"/>
      <c r="AG54" s="282">
        <v>210.25</v>
      </c>
      <c r="AH54" s="282">
        <v>190.25</v>
      </c>
      <c r="AI54" s="282">
        <v>167.24999999999989</v>
      </c>
      <c r="AJ54" s="282">
        <v>150.25</v>
      </c>
      <c r="AK54" s="283">
        <v>117.25</v>
      </c>
      <c r="AL54" s="284"/>
      <c r="AM54" s="282">
        <v>165.25000000000006</v>
      </c>
      <c r="AN54" s="282">
        <v>135.25</v>
      </c>
      <c r="AO54" s="282">
        <v>86.25</v>
      </c>
      <c r="AP54" s="282">
        <v>0.25</v>
      </c>
      <c r="AQ54" s="283">
        <v>-90.75</v>
      </c>
    </row>
    <row r="55" spans="1:43">
      <c r="B55" s="273" t="s">
        <v>318</v>
      </c>
      <c r="C55" s="286" t="s">
        <v>508</v>
      </c>
      <c r="D55" s="189">
        <v>1074</v>
      </c>
      <c r="E55" s="115">
        <v>3.25</v>
      </c>
      <c r="F55" s="237" t="s">
        <v>190</v>
      </c>
      <c r="G55" s="314"/>
      <c r="I55" s="267">
        <v>52</v>
      </c>
      <c r="J55" s="267">
        <v>444</v>
      </c>
      <c r="K55" s="267">
        <v>467</v>
      </c>
      <c r="L55" s="267">
        <v>484</v>
      </c>
      <c r="M55" s="268">
        <v>517</v>
      </c>
      <c r="O55" s="267">
        <v>97</v>
      </c>
      <c r="P55" s="267">
        <v>529</v>
      </c>
      <c r="Q55" s="267">
        <v>598</v>
      </c>
      <c r="R55" s="267">
        <v>653</v>
      </c>
      <c r="S55" s="268">
        <v>785</v>
      </c>
      <c r="U55" s="282">
        <v>0</v>
      </c>
      <c r="V55" s="282">
        <v>0</v>
      </c>
      <c r="W55" s="282">
        <v>0</v>
      </c>
      <c r="X55" s="282">
        <v>0</v>
      </c>
      <c r="Y55" s="282">
        <v>0</v>
      </c>
      <c r="Z55" s="282">
        <v>0</v>
      </c>
      <c r="AA55" s="282">
        <v>0</v>
      </c>
      <c r="AB55" s="282">
        <v>-30</v>
      </c>
      <c r="AC55" s="282">
        <v>-50</v>
      </c>
      <c r="AD55" s="282">
        <v>-40</v>
      </c>
      <c r="AE55" s="282">
        <v>-60</v>
      </c>
      <c r="AF55" s="153"/>
      <c r="AG55" s="282">
        <v>1022</v>
      </c>
      <c r="AH55" s="282">
        <v>630.25</v>
      </c>
      <c r="AI55" s="282">
        <v>607.24999999999989</v>
      </c>
      <c r="AJ55" s="282">
        <v>590.25</v>
      </c>
      <c r="AK55" s="283">
        <v>557.25</v>
      </c>
      <c r="AL55" s="284"/>
      <c r="AM55" s="282">
        <v>977</v>
      </c>
      <c r="AN55" s="282">
        <v>545.25</v>
      </c>
      <c r="AO55" s="282">
        <v>476.25</v>
      </c>
      <c r="AP55" s="282">
        <v>421.25</v>
      </c>
      <c r="AQ55" s="283">
        <v>289.25</v>
      </c>
    </row>
    <row r="56" spans="1:43">
      <c r="A56" s="109"/>
      <c r="B56" s="280" t="s">
        <v>318</v>
      </c>
      <c r="C56" s="118" t="s">
        <v>630</v>
      </c>
      <c r="D56" s="188">
        <v>137</v>
      </c>
      <c r="E56" s="114">
        <v>3.75</v>
      </c>
      <c r="F56" s="239" t="s">
        <v>210</v>
      </c>
      <c r="G56" s="315"/>
      <c r="I56" s="282">
        <v>52</v>
      </c>
      <c r="J56" s="282">
        <v>72</v>
      </c>
      <c r="K56" s="282">
        <v>95</v>
      </c>
      <c r="L56" s="282">
        <v>112</v>
      </c>
      <c r="M56" s="283">
        <v>145</v>
      </c>
      <c r="O56" s="282">
        <v>97</v>
      </c>
      <c r="P56" s="282">
        <v>127</v>
      </c>
      <c r="Q56" s="282">
        <v>176</v>
      </c>
      <c r="R56" s="282">
        <v>223</v>
      </c>
      <c r="S56" s="283">
        <v>223</v>
      </c>
      <c r="U56" s="282">
        <v>0</v>
      </c>
      <c r="V56" s="282">
        <v>0</v>
      </c>
      <c r="W56" s="282">
        <v>0</v>
      </c>
      <c r="X56" s="282">
        <v>0</v>
      </c>
      <c r="Y56" s="282">
        <v>0</v>
      </c>
      <c r="Z56" s="282">
        <v>0</v>
      </c>
      <c r="AA56" s="282">
        <v>0</v>
      </c>
      <c r="AB56" s="282">
        <v>0</v>
      </c>
      <c r="AC56" s="282">
        <v>0</v>
      </c>
      <c r="AD56" s="282">
        <v>0</v>
      </c>
      <c r="AE56" s="282">
        <v>0</v>
      </c>
      <c r="AF56" s="153"/>
      <c r="AG56" s="282">
        <v>85</v>
      </c>
      <c r="AH56" s="282">
        <v>65</v>
      </c>
      <c r="AI56" s="282">
        <v>41.999999999999886</v>
      </c>
      <c r="AJ56" s="282">
        <v>25</v>
      </c>
      <c r="AK56" s="283">
        <v>-8</v>
      </c>
      <c r="AL56" s="284"/>
      <c r="AM56" s="282">
        <v>40.000000000000057</v>
      </c>
      <c r="AN56" s="282">
        <v>10</v>
      </c>
      <c r="AO56" s="282">
        <v>-39</v>
      </c>
      <c r="AP56" s="282">
        <v>-86.375</v>
      </c>
      <c r="AQ56" s="283">
        <v>-86.375</v>
      </c>
    </row>
    <row r="57" spans="1:43">
      <c r="B57" s="273" t="s">
        <v>318</v>
      </c>
      <c r="C57" s="286" t="s">
        <v>537</v>
      </c>
      <c r="D57" s="189">
        <v>204</v>
      </c>
      <c r="E57" s="115">
        <v>3.75</v>
      </c>
      <c r="F57" s="237" t="s">
        <v>191</v>
      </c>
      <c r="G57" s="314"/>
      <c r="I57" s="267">
        <v>81</v>
      </c>
      <c r="J57" s="267">
        <v>101</v>
      </c>
      <c r="K57" s="267">
        <v>124</v>
      </c>
      <c r="L57" s="267">
        <v>141</v>
      </c>
      <c r="M57" s="268">
        <v>174</v>
      </c>
      <c r="O57" s="267">
        <v>126</v>
      </c>
      <c r="P57" s="267">
        <v>156</v>
      </c>
      <c r="Q57" s="267">
        <v>205</v>
      </c>
      <c r="R57" s="267">
        <v>270</v>
      </c>
      <c r="S57" s="268">
        <v>270</v>
      </c>
      <c r="U57" s="282">
        <v>0</v>
      </c>
      <c r="V57" s="282">
        <v>0</v>
      </c>
      <c r="W57" s="282">
        <v>0</v>
      </c>
      <c r="X57" s="282">
        <v>0</v>
      </c>
      <c r="Y57" s="282">
        <v>0</v>
      </c>
      <c r="Z57" s="282">
        <v>0</v>
      </c>
      <c r="AA57" s="282">
        <v>0</v>
      </c>
      <c r="AB57" s="282">
        <v>0</v>
      </c>
      <c r="AC57" s="282">
        <v>0</v>
      </c>
      <c r="AD57" s="282">
        <v>0</v>
      </c>
      <c r="AE57" s="282">
        <v>0</v>
      </c>
      <c r="AF57" s="153"/>
      <c r="AG57" s="282">
        <v>122.75</v>
      </c>
      <c r="AH57" s="282">
        <v>102.75</v>
      </c>
      <c r="AI57" s="282">
        <v>79.749999999999886</v>
      </c>
      <c r="AJ57" s="282">
        <v>62.75</v>
      </c>
      <c r="AK57" s="283">
        <v>29.75</v>
      </c>
      <c r="AL57" s="284"/>
      <c r="AM57" s="282">
        <v>77.750000000000057</v>
      </c>
      <c r="AN57" s="282">
        <v>47.75</v>
      </c>
      <c r="AO57" s="282">
        <v>-1.25</v>
      </c>
      <c r="AP57" s="282">
        <v>-66.25</v>
      </c>
      <c r="AQ57" s="283">
        <v>-66.25</v>
      </c>
    </row>
    <row r="58" spans="1:43">
      <c r="A58" s="109"/>
      <c r="B58" s="280" t="s">
        <v>61</v>
      </c>
      <c r="C58" s="281" t="s">
        <v>482</v>
      </c>
      <c r="D58" s="188">
        <v>751</v>
      </c>
      <c r="E58" s="114">
        <v>5.33</v>
      </c>
      <c r="F58" s="239" t="s">
        <v>193</v>
      </c>
      <c r="G58" s="315"/>
      <c r="I58" s="282">
        <v>52</v>
      </c>
      <c r="J58" s="282">
        <v>268</v>
      </c>
      <c r="K58" s="282">
        <v>291</v>
      </c>
      <c r="L58" s="282">
        <v>308</v>
      </c>
      <c r="M58" s="283">
        <v>341</v>
      </c>
      <c r="O58" s="282">
        <v>97</v>
      </c>
      <c r="P58" s="282">
        <v>353</v>
      </c>
      <c r="Q58" s="282">
        <v>422</v>
      </c>
      <c r="R58" s="282">
        <v>477</v>
      </c>
      <c r="S58" s="283">
        <v>609</v>
      </c>
      <c r="U58" s="282">
        <v>0</v>
      </c>
      <c r="V58" s="282">
        <v>0</v>
      </c>
      <c r="W58" s="282">
        <v>0</v>
      </c>
      <c r="X58" s="282">
        <v>0</v>
      </c>
      <c r="Y58" s="282">
        <v>0</v>
      </c>
      <c r="Z58" s="282">
        <v>0</v>
      </c>
      <c r="AA58" s="282">
        <v>0</v>
      </c>
      <c r="AB58" s="282">
        <v>-30</v>
      </c>
      <c r="AC58" s="282">
        <v>-50</v>
      </c>
      <c r="AD58" s="282">
        <v>-40</v>
      </c>
      <c r="AE58" s="282">
        <v>-60</v>
      </c>
      <c r="AF58" s="153"/>
      <c r="AG58" s="282">
        <v>699</v>
      </c>
      <c r="AH58" s="282">
        <v>483.33000000000004</v>
      </c>
      <c r="AI58" s="282">
        <v>460.32999999999993</v>
      </c>
      <c r="AJ58" s="282">
        <v>443.33000000000004</v>
      </c>
      <c r="AK58" s="283">
        <v>410.33000000000004</v>
      </c>
      <c r="AL58" s="284"/>
      <c r="AM58" s="282">
        <v>654</v>
      </c>
      <c r="AN58" s="282">
        <v>398.33000000000004</v>
      </c>
      <c r="AO58" s="282">
        <v>329.33000000000004</v>
      </c>
      <c r="AP58" s="282">
        <v>274.33000000000004</v>
      </c>
      <c r="AQ58" s="283">
        <v>142.33000000000004</v>
      </c>
    </row>
    <row r="59" spans="1:43">
      <c r="B59" s="273" t="s">
        <v>61</v>
      </c>
      <c r="C59" s="286" t="s">
        <v>509</v>
      </c>
      <c r="D59" s="189">
        <v>915</v>
      </c>
      <c r="E59" s="115">
        <v>5.33</v>
      </c>
      <c r="F59" s="237" t="s">
        <v>193</v>
      </c>
      <c r="G59" s="314"/>
      <c r="I59" s="267">
        <v>52</v>
      </c>
      <c r="J59" s="267">
        <v>372</v>
      </c>
      <c r="K59" s="267">
        <v>395</v>
      </c>
      <c r="L59" s="267">
        <v>412</v>
      </c>
      <c r="M59" s="268">
        <v>445</v>
      </c>
      <c r="O59" s="267">
        <v>97</v>
      </c>
      <c r="P59" s="267">
        <v>457</v>
      </c>
      <c r="Q59" s="267">
        <v>526</v>
      </c>
      <c r="R59" s="267">
        <v>601</v>
      </c>
      <c r="S59" s="268">
        <v>733</v>
      </c>
      <c r="U59" s="282">
        <v>0</v>
      </c>
      <c r="V59" s="282">
        <v>0</v>
      </c>
      <c r="W59" s="282">
        <v>0</v>
      </c>
      <c r="X59" s="282">
        <v>0</v>
      </c>
      <c r="Y59" s="282">
        <v>0</v>
      </c>
      <c r="Z59" s="282">
        <v>0</v>
      </c>
      <c r="AA59" s="282">
        <v>0</v>
      </c>
      <c r="AB59" s="282">
        <v>-30</v>
      </c>
      <c r="AC59" s="282">
        <v>-50</v>
      </c>
      <c r="AD59" s="282">
        <v>-40</v>
      </c>
      <c r="AE59" s="282">
        <v>-60</v>
      </c>
      <c r="AF59" s="153"/>
      <c r="AG59" s="282">
        <v>863</v>
      </c>
      <c r="AH59" s="282">
        <v>543.33000000000004</v>
      </c>
      <c r="AI59" s="282">
        <v>520.32999999999993</v>
      </c>
      <c r="AJ59" s="282">
        <v>503.33000000000004</v>
      </c>
      <c r="AK59" s="283">
        <v>470.33000000000004</v>
      </c>
      <c r="AL59" s="284"/>
      <c r="AM59" s="282">
        <v>818</v>
      </c>
      <c r="AN59" s="282">
        <v>458.33000000000004</v>
      </c>
      <c r="AO59" s="282">
        <v>389.33000000000004</v>
      </c>
      <c r="AP59" s="282">
        <v>314.33000000000004</v>
      </c>
      <c r="AQ59" s="283">
        <v>182.33000000000004</v>
      </c>
    </row>
    <row r="60" spans="1:43">
      <c r="A60" s="109"/>
      <c r="B60" s="280" t="s">
        <v>62</v>
      </c>
      <c r="C60" s="118" t="s">
        <v>631</v>
      </c>
      <c r="D60" s="191">
        <v>367</v>
      </c>
      <c r="E60" s="300">
        <v>3.75</v>
      </c>
      <c r="F60" s="239" t="s">
        <v>210</v>
      </c>
      <c r="G60" s="315"/>
      <c r="I60" s="265">
        <v>88</v>
      </c>
      <c r="J60" s="265">
        <v>108</v>
      </c>
      <c r="K60" s="265">
        <v>131</v>
      </c>
      <c r="L60" s="265">
        <v>148</v>
      </c>
      <c r="M60" s="266">
        <v>181</v>
      </c>
      <c r="O60" s="265">
        <v>133</v>
      </c>
      <c r="P60" s="265">
        <v>193</v>
      </c>
      <c r="Q60" s="265">
        <v>253</v>
      </c>
      <c r="R60" s="265">
        <v>317</v>
      </c>
      <c r="S60" s="266">
        <v>430</v>
      </c>
      <c r="U60" s="282">
        <v>0</v>
      </c>
      <c r="V60" s="282">
        <v>0</v>
      </c>
      <c r="W60" s="282">
        <v>0</v>
      </c>
      <c r="X60" s="282">
        <v>0</v>
      </c>
      <c r="Y60" s="282">
        <v>0</v>
      </c>
      <c r="Z60" s="282">
        <v>0</v>
      </c>
      <c r="AA60" s="282">
        <v>0</v>
      </c>
      <c r="AB60" s="282">
        <v>-30</v>
      </c>
      <c r="AC60" s="282">
        <v>-41</v>
      </c>
      <c r="AD60" s="282">
        <v>-40</v>
      </c>
      <c r="AE60" s="282">
        <v>-41</v>
      </c>
      <c r="AF60" s="153"/>
      <c r="AG60" s="282">
        <v>278.95</v>
      </c>
      <c r="AH60" s="282">
        <v>258.95</v>
      </c>
      <c r="AI60" s="282">
        <v>235.94999999999987</v>
      </c>
      <c r="AJ60" s="282">
        <v>218.95</v>
      </c>
      <c r="AK60" s="283">
        <v>185.95</v>
      </c>
      <c r="AL60" s="284"/>
      <c r="AM60" s="282">
        <v>233.95000000000005</v>
      </c>
      <c r="AN60" s="282">
        <v>173.95</v>
      </c>
      <c r="AO60" s="282">
        <v>114</v>
      </c>
      <c r="AP60" s="282">
        <v>49.949999999999989</v>
      </c>
      <c r="AQ60" s="283">
        <v>-63</v>
      </c>
    </row>
    <row r="61" spans="1:43">
      <c r="B61" s="273" t="s">
        <v>62</v>
      </c>
      <c r="C61" s="286" t="s">
        <v>538</v>
      </c>
      <c r="D61" s="189">
        <v>623</v>
      </c>
      <c r="E61" s="115">
        <v>3.75</v>
      </c>
      <c r="F61" s="237" t="s">
        <v>191</v>
      </c>
      <c r="G61" s="314"/>
      <c r="I61" s="267">
        <v>52</v>
      </c>
      <c r="J61" s="267">
        <v>139</v>
      </c>
      <c r="K61" s="267">
        <v>162</v>
      </c>
      <c r="L61" s="267">
        <v>179</v>
      </c>
      <c r="M61" s="268">
        <v>212</v>
      </c>
      <c r="O61" s="267">
        <v>97</v>
      </c>
      <c r="P61" s="267">
        <v>224</v>
      </c>
      <c r="Q61" s="267">
        <v>293</v>
      </c>
      <c r="R61" s="267">
        <v>348</v>
      </c>
      <c r="S61" s="268">
        <v>480</v>
      </c>
      <c r="U61" s="282">
        <v>0</v>
      </c>
      <c r="V61" s="282">
        <v>0</v>
      </c>
      <c r="W61" s="282">
        <v>0</v>
      </c>
      <c r="X61" s="282">
        <v>0</v>
      </c>
      <c r="Y61" s="282">
        <v>0</v>
      </c>
      <c r="Z61" s="282">
        <v>0</v>
      </c>
      <c r="AA61" s="282">
        <v>0</v>
      </c>
      <c r="AB61" s="282">
        <v>-30</v>
      </c>
      <c r="AC61" s="282">
        <v>-50</v>
      </c>
      <c r="AD61" s="282">
        <v>-40</v>
      </c>
      <c r="AE61" s="282">
        <v>-60</v>
      </c>
      <c r="AF61" s="153"/>
      <c r="AG61" s="282">
        <v>571</v>
      </c>
      <c r="AH61" s="282">
        <v>483.99</v>
      </c>
      <c r="AI61" s="282">
        <v>460.9899999999999</v>
      </c>
      <c r="AJ61" s="282">
        <v>443.99</v>
      </c>
      <c r="AK61" s="283">
        <v>410.99</v>
      </c>
      <c r="AL61" s="284"/>
      <c r="AM61" s="282">
        <v>526</v>
      </c>
      <c r="AN61" s="282">
        <v>398.99</v>
      </c>
      <c r="AO61" s="282">
        <v>329.99</v>
      </c>
      <c r="AP61" s="282">
        <v>274.99</v>
      </c>
      <c r="AQ61" s="283">
        <v>142.99</v>
      </c>
    </row>
    <row r="62" spans="1:43">
      <c r="A62" s="109"/>
      <c r="B62" s="280" t="s">
        <v>62</v>
      </c>
      <c r="C62" s="281" t="s">
        <v>539</v>
      </c>
      <c r="D62" s="188">
        <v>847</v>
      </c>
      <c r="E62" s="114">
        <v>3.75</v>
      </c>
      <c r="F62" s="239" t="s">
        <v>191</v>
      </c>
      <c r="G62" s="315"/>
      <c r="I62" s="282">
        <v>52</v>
      </c>
      <c r="J62" s="282">
        <v>179</v>
      </c>
      <c r="K62" s="282">
        <v>202</v>
      </c>
      <c r="L62" s="282">
        <v>219</v>
      </c>
      <c r="M62" s="283">
        <v>252</v>
      </c>
      <c r="O62" s="282">
        <v>97</v>
      </c>
      <c r="P62" s="282">
        <v>264</v>
      </c>
      <c r="Q62" s="282">
        <v>333</v>
      </c>
      <c r="R62" s="282">
        <v>388</v>
      </c>
      <c r="S62" s="283">
        <v>520</v>
      </c>
      <c r="U62" s="282">
        <v>0</v>
      </c>
      <c r="V62" s="282">
        <v>0</v>
      </c>
      <c r="W62" s="282">
        <v>0</v>
      </c>
      <c r="X62" s="282">
        <v>0</v>
      </c>
      <c r="Y62" s="282">
        <v>0</v>
      </c>
      <c r="Z62" s="282">
        <v>0</v>
      </c>
      <c r="AA62" s="282">
        <v>0</v>
      </c>
      <c r="AB62" s="282">
        <v>-30</v>
      </c>
      <c r="AC62" s="282">
        <v>-50</v>
      </c>
      <c r="AD62" s="282">
        <v>-40</v>
      </c>
      <c r="AE62" s="282">
        <v>-60</v>
      </c>
      <c r="AF62" s="153"/>
      <c r="AG62" s="282">
        <v>795</v>
      </c>
      <c r="AH62" s="282">
        <v>668.39</v>
      </c>
      <c r="AI62" s="282">
        <v>645.38999999999987</v>
      </c>
      <c r="AJ62" s="282">
        <v>628.39</v>
      </c>
      <c r="AK62" s="283">
        <v>595.39</v>
      </c>
      <c r="AL62" s="284"/>
      <c r="AM62" s="282">
        <v>750</v>
      </c>
      <c r="AN62" s="282">
        <v>583.39</v>
      </c>
      <c r="AO62" s="282">
        <v>514.39</v>
      </c>
      <c r="AP62" s="282">
        <v>459.39</v>
      </c>
      <c r="AQ62" s="283">
        <v>327.39</v>
      </c>
    </row>
    <row r="63" spans="1:43">
      <c r="B63" s="273" t="s">
        <v>62</v>
      </c>
      <c r="C63" s="286" t="s">
        <v>540</v>
      </c>
      <c r="D63" s="189">
        <v>1044</v>
      </c>
      <c r="E63" s="115">
        <v>3.75</v>
      </c>
      <c r="F63" s="237" t="s">
        <v>191</v>
      </c>
      <c r="G63" s="314"/>
      <c r="I63" s="267">
        <v>52</v>
      </c>
      <c r="J63" s="267">
        <v>191</v>
      </c>
      <c r="K63" s="267">
        <v>214</v>
      </c>
      <c r="L63" s="267">
        <v>231</v>
      </c>
      <c r="M63" s="268">
        <v>264</v>
      </c>
      <c r="O63" s="267">
        <v>97</v>
      </c>
      <c r="P63" s="267">
        <v>276</v>
      </c>
      <c r="Q63" s="267">
        <v>345</v>
      </c>
      <c r="R63" s="267">
        <v>400</v>
      </c>
      <c r="S63" s="268">
        <v>532</v>
      </c>
      <c r="U63" s="282">
        <v>0</v>
      </c>
      <c r="V63" s="282">
        <v>0</v>
      </c>
      <c r="W63" s="282">
        <v>0</v>
      </c>
      <c r="X63" s="282">
        <v>0</v>
      </c>
      <c r="Y63" s="282">
        <v>0</v>
      </c>
      <c r="Z63" s="282">
        <v>0</v>
      </c>
      <c r="AA63" s="282">
        <v>0</v>
      </c>
      <c r="AB63" s="282">
        <v>-30</v>
      </c>
      <c r="AC63" s="282">
        <v>-50</v>
      </c>
      <c r="AD63" s="282">
        <v>-40</v>
      </c>
      <c r="AE63" s="282">
        <v>-60</v>
      </c>
      <c r="AF63" s="153"/>
      <c r="AG63" s="282">
        <v>992</v>
      </c>
      <c r="AH63" s="282">
        <v>852.79</v>
      </c>
      <c r="AI63" s="282">
        <v>829.78999999999985</v>
      </c>
      <c r="AJ63" s="282">
        <v>812.79</v>
      </c>
      <c r="AK63" s="283">
        <v>779.79</v>
      </c>
      <c r="AL63" s="284"/>
      <c r="AM63" s="282">
        <v>947</v>
      </c>
      <c r="AN63" s="282">
        <v>767.79</v>
      </c>
      <c r="AO63" s="282">
        <v>698.79</v>
      </c>
      <c r="AP63" s="282">
        <v>643.79</v>
      </c>
      <c r="AQ63" s="283">
        <v>511.78999999999996</v>
      </c>
    </row>
    <row r="64" spans="1:43">
      <c r="A64" s="109"/>
      <c r="B64" s="280" t="s">
        <v>62</v>
      </c>
      <c r="C64" s="281" t="s">
        <v>330</v>
      </c>
      <c r="D64" s="188">
        <v>920</v>
      </c>
      <c r="E64" s="114">
        <v>3.25</v>
      </c>
      <c r="F64" s="239" t="s">
        <v>190</v>
      </c>
      <c r="G64" s="315"/>
      <c r="I64" s="265">
        <v>52</v>
      </c>
      <c r="J64" s="265">
        <v>397</v>
      </c>
      <c r="K64" s="265">
        <v>420</v>
      </c>
      <c r="L64" s="265">
        <v>437</v>
      </c>
      <c r="M64" s="266">
        <v>470</v>
      </c>
      <c r="O64" s="265">
        <v>97</v>
      </c>
      <c r="P64" s="265">
        <v>482</v>
      </c>
      <c r="Q64" s="265">
        <v>546</v>
      </c>
      <c r="R64" s="265">
        <v>596</v>
      </c>
      <c r="S64" s="266">
        <v>723</v>
      </c>
      <c r="U64" s="282">
        <v>0</v>
      </c>
      <c r="V64" s="282">
        <v>0</v>
      </c>
      <c r="W64" s="282">
        <v>0</v>
      </c>
      <c r="X64" s="282">
        <v>0</v>
      </c>
      <c r="Y64" s="282">
        <v>0</v>
      </c>
      <c r="Z64" s="282">
        <v>0</v>
      </c>
      <c r="AA64" s="282">
        <v>0</v>
      </c>
      <c r="AB64" s="282">
        <v>-30</v>
      </c>
      <c r="AC64" s="282">
        <v>-50</v>
      </c>
      <c r="AD64" s="282">
        <v>-40</v>
      </c>
      <c r="AE64" s="282">
        <v>-60</v>
      </c>
      <c r="AF64" s="153"/>
      <c r="AG64" s="282">
        <v>868</v>
      </c>
      <c r="AH64" s="282">
        <v>523.25</v>
      </c>
      <c r="AI64" s="282">
        <v>500.24999999999989</v>
      </c>
      <c r="AJ64" s="282">
        <v>483.25</v>
      </c>
      <c r="AK64" s="283">
        <v>450.25</v>
      </c>
      <c r="AL64" s="284"/>
      <c r="AM64" s="282">
        <v>823</v>
      </c>
      <c r="AN64" s="282">
        <v>438.25</v>
      </c>
      <c r="AO64" s="282">
        <v>374.25</v>
      </c>
      <c r="AP64" s="282">
        <v>324.25</v>
      </c>
      <c r="AQ64" s="283">
        <v>197.25</v>
      </c>
    </row>
    <row r="65" spans="1:43">
      <c r="B65" s="273" t="s">
        <v>62</v>
      </c>
      <c r="C65" s="286" t="s">
        <v>424</v>
      </c>
      <c r="D65" s="189">
        <v>883</v>
      </c>
      <c r="E65" s="115">
        <v>3.25</v>
      </c>
      <c r="F65" s="237" t="s">
        <v>190</v>
      </c>
      <c r="G65" s="314"/>
      <c r="I65" s="267">
        <v>52</v>
      </c>
      <c r="J65" s="267">
        <v>306</v>
      </c>
      <c r="K65" s="267">
        <v>329</v>
      </c>
      <c r="L65" s="267">
        <v>346</v>
      </c>
      <c r="M65" s="268">
        <v>379</v>
      </c>
      <c r="O65" s="267">
        <v>97</v>
      </c>
      <c r="P65" s="267">
        <v>391</v>
      </c>
      <c r="Q65" s="267">
        <v>460</v>
      </c>
      <c r="R65" s="267">
        <v>505</v>
      </c>
      <c r="S65" s="268">
        <v>632</v>
      </c>
      <c r="U65" s="282">
        <v>0</v>
      </c>
      <c r="V65" s="282">
        <v>0</v>
      </c>
      <c r="W65" s="282">
        <v>0</v>
      </c>
      <c r="X65" s="282">
        <v>0</v>
      </c>
      <c r="Y65" s="282">
        <v>0</v>
      </c>
      <c r="Z65" s="282">
        <v>0</v>
      </c>
      <c r="AA65" s="282">
        <v>0</v>
      </c>
      <c r="AB65" s="282">
        <v>-30</v>
      </c>
      <c r="AC65" s="282">
        <v>-50</v>
      </c>
      <c r="AD65" s="282">
        <v>-40</v>
      </c>
      <c r="AE65" s="282">
        <v>-60</v>
      </c>
      <c r="AF65" s="153"/>
      <c r="AG65" s="282">
        <v>831</v>
      </c>
      <c r="AH65" s="282">
        <v>577.25</v>
      </c>
      <c r="AI65" s="282">
        <v>554.24999999999989</v>
      </c>
      <c r="AJ65" s="282">
        <v>537.25</v>
      </c>
      <c r="AK65" s="283">
        <v>504.25</v>
      </c>
      <c r="AL65" s="284"/>
      <c r="AM65" s="282">
        <v>786</v>
      </c>
      <c r="AN65" s="282">
        <v>492.25</v>
      </c>
      <c r="AO65" s="282">
        <v>423.25</v>
      </c>
      <c r="AP65" s="282">
        <v>378.25</v>
      </c>
      <c r="AQ65" s="283">
        <v>251.25</v>
      </c>
    </row>
    <row r="66" spans="1:43">
      <c r="A66" s="109"/>
      <c r="B66" s="280" t="s">
        <v>62</v>
      </c>
      <c r="C66" s="281" t="s">
        <v>589</v>
      </c>
      <c r="D66" s="188">
        <v>883</v>
      </c>
      <c r="E66" s="114">
        <v>3.25</v>
      </c>
      <c r="F66" s="239" t="s">
        <v>190</v>
      </c>
      <c r="G66" s="315"/>
      <c r="I66" s="282">
        <v>52</v>
      </c>
      <c r="J66" s="282">
        <v>230</v>
      </c>
      <c r="K66" s="282">
        <v>253</v>
      </c>
      <c r="L66" s="282">
        <v>270</v>
      </c>
      <c r="M66" s="283">
        <v>303</v>
      </c>
      <c r="O66" s="282">
        <v>97</v>
      </c>
      <c r="P66" s="282">
        <v>315</v>
      </c>
      <c r="Q66" s="282">
        <v>379</v>
      </c>
      <c r="R66" s="282">
        <v>429</v>
      </c>
      <c r="S66" s="283">
        <v>556</v>
      </c>
      <c r="U66" s="282">
        <v>0</v>
      </c>
      <c r="V66" s="282">
        <v>0</v>
      </c>
      <c r="W66" s="282">
        <v>0</v>
      </c>
      <c r="X66" s="282">
        <v>0</v>
      </c>
      <c r="Y66" s="282">
        <v>0</v>
      </c>
      <c r="Z66" s="282">
        <v>0</v>
      </c>
      <c r="AA66" s="282">
        <v>0</v>
      </c>
      <c r="AB66" s="282">
        <v>-30</v>
      </c>
      <c r="AC66" s="282">
        <v>-50</v>
      </c>
      <c r="AD66" s="282">
        <v>-40</v>
      </c>
      <c r="AE66" s="282">
        <v>-60</v>
      </c>
      <c r="AF66" s="153"/>
      <c r="AG66" s="282">
        <v>831</v>
      </c>
      <c r="AH66" s="282">
        <v>653.25</v>
      </c>
      <c r="AI66" s="282">
        <v>630.24999999999989</v>
      </c>
      <c r="AJ66" s="282">
        <v>613.25</v>
      </c>
      <c r="AK66" s="283">
        <v>580.25</v>
      </c>
      <c r="AL66" s="284"/>
      <c r="AM66" s="282">
        <v>786</v>
      </c>
      <c r="AN66" s="282">
        <v>568.25</v>
      </c>
      <c r="AO66" s="282">
        <v>504.25</v>
      </c>
      <c r="AP66" s="282">
        <v>454.25</v>
      </c>
      <c r="AQ66" s="283">
        <v>327.25</v>
      </c>
    </row>
    <row r="67" spans="1:43">
      <c r="B67" s="273" t="s">
        <v>62</v>
      </c>
      <c r="C67" s="286" t="s">
        <v>590</v>
      </c>
      <c r="D67" s="189">
        <v>983</v>
      </c>
      <c r="E67" s="115">
        <v>3.25</v>
      </c>
      <c r="F67" s="237" t="s">
        <v>190</v>
      </c>
      <c r="G67" s="314"/>
      <c r="I67" s="267">
        <v>52</v>
      </c>
      <c r="J67" s="267">
        <v>230</v>
      </c>
      <c r="K67" s="267">
        <v>253</v>
      </c>
      <c r="L67" s="267">
        <v>270</v>
      </c>
      <c r="M67" s="268">
        <v>303</v>
      </c>
      <c r="O67" s="267">
        <v>97</v>
      </c>
      <c r="P67" s="267">
        <v>315</v>
      </c>
      <c r="Q67" s="267">
        <v>379</v>
      </c>
      <c r="R67" s="267">
        <v>429</v>
      </c>
      <c r="S67" s="268">
        <v>556</v>
      </c>
      <c r="U67" s="282">
        <v>0</v>
      </c>
      <c r="V67" s="282">
        <v>0</v>
      </c>
      <c r="W67" s="282">
        <v>0</v>
      </c>
      <c r="X67" s="282">
        <v>0</v>
      </c>
      <c r="Y67" s="282">
        <v>0</v>
      </c>
      <c r="Z67" s="282">
        <v>0</v>
      </c>
      <c r="AA67" s="282">
        <v>0</v>
      </c>
      <c r="AB67" s="282">
        <v>-30</v>
      </c>
      <c r="AC67" s="282">
        <v>-50</v>
      </c>
      <c r="AD67" s="282">
        <v>-40</v>
      </c>
      <c r="AE67" s="282">
        <v>-60</v>
      </c>
      <c r="AF67" s="153"/>
      <c r="AG67" s="282">
        <v>931</v>
      </c>
      <c r="AH67" s="282">
        <v>753.25</v>
      </c>
      <c r="AI67" s="282">
        <v>730.24999999999989</v>
      </c>
      <c r="AJ67" s="282">
        <v>713.25</v>
      </c>
      <c r="AK67" s="283">
        <v>680.25</v>
      </c>
      <c r="AL67" s="284"/>
      <c r="AM67" s="282">
        <v>886</v>
      </c>
      <c r="AN67" s="282">
        <v>668.25</v>
      </c>
      <c r="AO67" s="282">
        <v>604.25</v>
      </c>
      <c r="AP67" s="282">
        <v>554.25</v>
      </c>
      <c r="AQ67" s="283">
        <v>427.25</v>
      </c>
    </row>
    <row r="68" spans="1:43">
      <c r="A68" s="109"/>
      <c r="B68" s="280" t="s">
        <v>62</v>
      </c>
      <c r="C68" s="281" t="s">
        <v>591</v>
      </c>
      <c r="D68" s="188">
        <v>998</v>
      </c>
      <c r="E68" s="114">
        <v>3.25</v>
      </c>
      <c r="F68" s="239" t="s">
        <v>190</v>
      </c>
      <c r="G68" s="315"/>
      <c r="I68" s="265">
        <v>52</v>
      </c>
      <c r="J68" s="265">
        <v>230</v>
      </c>
      <c r="K68" s="265">
        <v>253</v>
      </c>
      <c r="L68" s="265">
        <v>270</v>
      </c>
      <c r="M68" s="266">
        <v>303</v>
      </c>
      <c r="O68" s="265">
        <v>97</v>
      </c>
      <c r="P68" s="265">
        <v>315</v>
      </c>
      <c r="Q68" s="265">
        <v>379</v>
      </c>
      <c r="R68" s="265">
        <v>429</v>
      </c>
      <c r="S68" s="266">
        <v>556</v>
      </c>
      <c r="U68" s="282">
        <v>0</v>
      </c>
      <c r="V68" s="282">
        <v>0</v>
      </c>
      <c r="W68" s="282">
        <v>0</v>
      </c>
      <c r="X68" s="282">
        <v>0</v>
      </c>
      <c r="Y68" s="282">
        <v>0</v>
      </c>
      <c r="Z68" s="282">
        <v>0</v>
      </c>
      <c r="AA68" s="282">
        <v>0</v>
      </c>
      <c r="AB68" s="282">
        <v>-30</v>
      </c>
      <c r="AC68" s="282">
        <v>-50</v>
      </c>
      <c r="AD68" s="282">
        <v>-40</v>
      </c>
      <c r="AE68" s="282">
        <v>-60</v>
      </c>
      <c r="AF68" s="153"/>
      <c r="AG68" s="282">
        <v>946</v>
      </c>
      <c r="AH68" s="282">
        <v>768.25</v>
      </c>
      <c r="AI68" s="282">
        <v>745.24999999999989</v>
      </c>
      <c r="AJ68" s="282">
        <v>728.25</v>
      </c>
      <c r="AK68" s="283">
        <v>695.25</v>
      </c>
      <c r="AL68" s="284"/>
      <c r="AM68" s="282">
        <v>901</v>
      </c>
      <c r="AN68" s="282">
        <v>683.25</v>
      </c>
      <c r="AO68" s="282">
        <v>619.25</v>
      </c>
      <c r="AP68" s="282">
        <v>569.25</v>
      </c>
      <c r="AQ68" s="283">
        <v>442.25</v>
      </c>
    </row>
    <row r="69" spans="1:43">
      <c r="B69" s="273" t="s">
        <v>62</v>
      </c>
      <c r="C69" s="286" t="s">
        <v>592</v>
      </c>
      <c r="D69" s="189">
        <v>1097</v>
      </c>
      <c r="E69" s="115">
        <v>3.25</v>
      </c>
      <c r="F69" s="237" t="s">
        <v>190</v>
      </c>
      <c r="G69" s="314"/>
      <c r="I69" s="267">
        <v>52</v>
      </c>
      <c r="J69" s="267">
        <v>230</v>
      </c>
      <c r="K69" s="267">
        <v>253</v>
      </c>
      <c r="L69" s="267">
        <v>270</v>
      </c>
      <c r="M69" s="268">
        <v>303</v>
      </c>
      <c r="O69" s="267">
        <v>97</v>
      </c>
      <c r="P69" s="267">
        <v>315</v>
      </c>
      <c r="Q69" s="267">
        <v>379</v>
      </c>
      <c r="R69" s="267">
        <v>429</v>
      </c>
      <c r="S69" s="268">
        <v>556</v>
      </c>
      <c r="U69" s="282">
        <v>0</v>
      </c>
      <c r="V69" s="282">
        <v>0</v>
      </c>
      <c r="W69" s="282">
        <v>0</v>
      </c>
      <c r="X69" s="282">
        <v>0</v>
      </c>
      <c r="Y69" s="282">
        <v>0</v>
      </c>
      <c r="Z69" s="282">
        <v>0</v>
      </c>
      <c r="AA69" s="282">
        <v>0</v>
      </c>
      <c r="AB69" s="282">
        <v>-30</v>
      </c>
      <c r="AC69" s="282">
        <v>-50</v>
      </c>
      <c r="AD69" s="282">
        <v>-40</v>
      </c>
      <c r="AE69" s="282">
        <v>-60</v>
      </c>
      <c r="AF69" s="153"/>
      <c r="AG69" s="282">
        <v>1045</v>
      </c>
      <c r="AH69" s="282">
        <v>867.25</v>
      </c>
      <c r="AI69" s="282">
        <v>844.24999999999989</v>
      </c>
      <c r="AJ69" s="282">
        <v>827.25</v>
      </c>
      <c r="AK69" s="283">
        <v>794.25</v>
      </c>
      <c r="AL69" s="284"/>
      <c r="AM69" s="282">
        <v>1000</v>
      </c>
      <c r="AN69" s="282">
        <v>782.25</v>
      </c>
      <c r="AO69" s="282">
        <v>718.25</v>
      </c>
      <c r="AP69" s="282">
        <v>668.25</v>
      </c>
      <c r="AQ69" s="283">
        <v>541.25</v>
      </c>
    </row>
    <row r="70" spans="1:43">
      <c r="A70" s="109"/>
      <c r="B70" s="280" t="s">
        <v>62</v>
      </c>
      <c r="C70" s="281" t="s">
        <v>593</v>
      </c>
      <c r="D70" s="188">
        <v>1074</v>
      </c>
      <c r="E70" s="114">
        <v>3.25</v>
      </c>
      <c r="F70" s="239" t="s">
        <v>190</v>
      </c>
      <c r="G70" s="315"/>
      <c r="I70" s="282">
        <v>52</v>
      </c>
      <c r="J70" s="282">
        <v>232</v>
      </c>
      <c r="K70" s="282">
        <v>255</v>
      </c>
      <c r="L70" s="282">
        <v>272</v>
      </c>
      <c r="M70" s="283">
        <v>305</v>
      </c>
      <c r="O70" s="282">
        <v>97</v>
      </c>
      <c r="P70" s="282">
        <v>317</v>
      </c>
      <c r="Q70" s="282">
        <v>381</v>
      </c>
      <c r="R70" s="282">
        <v>431</v>
      </c>
      <c r="S70" s="283">
        <v>558</v>
      </c>
      <c r="U70" s="282">
        <v>0</v>
      </c>
      <c r="V70" s="282">
        <v>0</v>
      </c>
      <c r="W70" s="282">
        <v>0</v>
      </c>
      <c r="X70" s="282">
        <v>0</v>
      </c>
      <c r="Y70" s="282">
        <v>0</v>
      </c>
      <c r="Z70" s="282">
        <v>0</v>
      </c>
      <c r="AA70" s="282">
        <v>0</v>
      </c>
      <c r="AB70" s="282">
        <v>-30</v>
      </c>
      <c r="AC70" s="282">
        <v>-50</v>
      </c>
      <c r="AD70" s="282">
        <v>-40</v>
      </c>
      <c r="AE70" s="282">
        <v>-60</v>
      </c>
      <c r="AF70" s="153"/>
      <c r="AG70" s="282">
        <v>1022</v>
      </c>
      <c r="AH70" s="282">
        <v>842.25</v>
      </c>
      <c r="AI70" s="282">
        <v>819.24999999999989</v>
      </c>
      <c r="AJ70" s="282">
        <v>802.25</v>
      </c>
      <c r="AK70" s="283">
        <v>769.25</v>
      </c>
      <c r="AL70" s="284"/>
      <c r="AM70" s="282">
        <v>977</v>
      </c>
      <c r="AN70" s="282">
        <v>757.25</v>
      </c>
      <c r="AO70" s="282">
        <v>693.25</v>
      </c>
      <c r="AP70" s="282">
        <v>643.25</v>
      </c>
      <c r="AQ70" s="283">
        <v>516.25</v>
      </c>
    </row>
    <row r="71" spans="1:43">
      <c r="B71" s="273" t="s">
        <v>62</v>
      </c>
      <c r="C71" s="286" t="s">
        <v>594</v>
      </c>
      <c r="D71" s="189">
        <v>1174</v>
      </c>
      <c r="E71" s="115">
        <v>3.25</v>
      </c>
      <c r="F71" s="237" t="s">
        <v>190</v>
      </c>
      <c r="G71" s="314"/>
      <c r="I71" s="267">
        <v>52</v>
      </c>
      <c r="J71" s="267">
        <v>232</v>
      </c>
      <c r="K71" s="267">
        <v>255</v>
      </c>
      <c r="L71" s="267">
        <v>272</v>
      </c>
      <c r="M71" s="268">
        <v>305</v>
      </c>
      <c r="O71" s="267">
        <v>97</v>
      </c>
      <c r="P71" s="267">
        <v>317</v>
      </c>
      <c r="Q71" s="267">
        <v>381</v>
      </c>
      <c r="R71" s="267">
        <v>431</v>
      </c>
      <c r="S71" s="268">
        <v>558</v>
      </c>
      <c r="U71" s="282">
        <v>0</v>
      </c>
      <c r="V71" s="282">
        <v>0</v>
      </c>
      <c r="W71" s="282">
        <v>0</v>
      </c>
      <c r="X71" s="282">
        <v>0</v>
      </c>
      <c r="Y71" s="282">
        <v>0</v>
      </c>
      <c r="Z71" s="282">
        <v>0</v>
      </c>
      <c r="AA71" s="282">
        <v>0</v>
      </c>
      <c r="AB71" s="282">
        <v>-30</v>
      </c>
      <c r="AC71" s="282">
        <v>-50</v>
      </c>
      <c r="AD71" s="282">
        <v>-40</v>
      </c>
      <c r="AE71" s="282">
        <v>-60</v>
      </c>
      <c r="AF71" s="153"/>
      <c r="AG71" s="282">
        <v>1122</v>
      </c>
      <c r="AH71" s="282">
        <v>942.25</v>
      </c>
      <c r="AI71" s="282">
        <v>919.25</v>
      </c>
      <c r="AJ71" s="282">
        <v>902.25</v>
      </c>
      <c r="AK71" s="283">
        <v>869.25</v>
      </c>
      <c r="AL71" s="284"/>
      <c r="AM71" s="282">
        <v>1077</v>
      </c>
      <c r="AN71" s="282">
        <v>857.25</v>
      </c>
      <c r="AO71" s="282">
        <v>793.25</v>
      </c>
      <c r="AP71" s="282">
        <v>743.25</v>
      </c>
      <c r="AQ71" s="283">
        <v>616.25</v>
      </c>
    </row>
    <row r="72" spans="1:43">
      <c r="A72" s="109"/>
      <c r="B72" s="280" t="s">
        <v>62</v>
      </c>
      <c r="C72" s="281" t="s">
        <v>595</v>
      </c>
      <c r="D72" s="188">
        <v>1265</v>
      </c>
      <c r="E72" s="114">
        <v>3.25</v>
      </c>
      <c r="F72" s="239" t="s">
        <v>190</v>
      </c>
      <c r="G72" s="315"/>
      <c r="I72" s="265">
        <v>52</v>
      </c>
      <c r="J72" s="265">
        <v>232</v>
      </c>
      <c r="K72" s="265">
        <v>255</v>
      </c>
      <c r="L72" s="265">
        <v>272</v>
      </c>
      <c r="M72" s="266">
        <v>305</v>
      </c>
      <c r="O72" s="265">
        <v>97</v>
      </c>
      <c r="P72" s="265">
        <v>317</v>
      </c>
      <c r="Q72" s="265">
        <v>381</v>
      </c>
      <c r="R72" s="265">
        <v>431</v>
      </c>
      <c r="S72" s="266">
        <v>558</v>
      </c>
      <c r="U72" s="282">
        <v>0</v>
      </c>
      <c r="V72" s="282">
        <v>0</v>
      </c>
      <c r="W72" s="282">
        <v>0</v>
      </c>
      <c r="X72" s="282">
        <v>0</v>
      </c>
      <c r="Y72" s="282">
        <v>0</v>
      </c>
      <c r="Z72" s="282">
        <v>0</v>
      </c>
      <c r="AA72" s="282">
        <v>0</v>
      </c>
      <c r="AB72" s="282">
        <v>-30</v>
      </c>
      <c r="AC72" s="282">
        <v>-50</v>
      </c>
      <c r="AD72" s="282">
        <v>-40</v>
      </c>
      <c r="AE72" s="282">
        <v>-60</v>
      </c>
      <c r="AF72" s="153"/>
      <c r="AG72" s="282">
        <v>1213</v>
      </c>
      <c r="AH72" s="282">
        <v>1033.25</v>
      </c>
      <c r="AI72" s="282">
        <v>1010.25</v>
      </c>
      <c r="AJ72" s="282">
        <v>993.25</v>
      </c>
      <c r="AK72" s="283">
        <v>960.25</v>
      </c>
      <c r="AL72" s="284"/>
      <c r="AM72" s="282">
        <v>1168</v>
      </c>
      <c r="AN72" s="282">
        <v>948.25</v>
      </c>
      <c r="AO72" s="282">
        <v>884.25</v>
      </c>
      <c r="AP72" s="282">
        <v>834.25</v>
      </c>
      <c r="AQ72" s="283">
        <v>707.25</v>
      </c>
    </row>
    <row r="73" spans="1:43">
      <c r="B73" s="273" t="s">
        <v>62</v>
      </c>
      <c r="C73" s="286" t="s">
        <v>596</v>
      </c>
      <c r="D73" s="189">
        <v>1456</v>
      </c>
      <c r="E73" s="115">
        <v>3.25</v>
      </c>
      <c r="F73" s="237" t="s">
        <v>190</v>
      </c>
      <c r="G73" s="314"/>
      <c r="I73" s="267">
        <v>52</v>
      </c>
      <c r="J73" s="267">
        <v>232</v>
      </c>
      <c r="K73" s="267">
        <v>255</v>
      </c>
      <c r="L73" s="267">
        <v>272</v>
      </c>
      <c r="M73" s="268">
        <v>305</v>
      </c>
      <c r="O73" s="267">
        <v>97</v>
      </c>
      <c r="P73" s="267">
        <v>317</v>
      </c>
      <c r="Q73" s="267">
        <v>381</v>
      </c>
      <c r="R73" s="267">
        <v>431</v>
      </c>
      <c r="S73" s="268">
        <v>558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Z73" s="282">
        <v>0</v>
      </c>
      <c r="AA73" s="282">
        <v>0</v>
      </c>
      <c r="AB73" s="282">
        <v>-30</v>
      </c>
      <c r="AC73" s="282">
        <v>-50</v>
      </c>
      <c r="AD73" s="282">
        <v>-40</v>
      </c>
      <c r="AE73" s="282">
        <v>-60</v>
      </c>
      <c r="AF73" s="153"/>
      <c r="AG73" s="282">
        <v>1404</v>
      </c>
      <c r="AH73" s="282">
        <v>1224.25</v>
      </c>
      <c r="AI73" s="282">
        <v>1201.25</v>
      </c>
      <c r="AJ73" s="282">
        <v>1184.25</v>
      </c>
      <c r="AK73" s="283">
        <v>1151.25</v>
      </c>
      <c r="AL73" s="284"/>
      <c r="AM73" s="282">
        <v>1359</v>
      </c>
      <c r="AN73" s="282">
        <v>1139.25</v>
      </c>
      <c r="AO73" s="282">
        <v>1075.25</v>
      </c>
      <c r="AP73" s="282">
        <v>1025.25</v>
      </c>
      <c r="AQ73" s="283">
        <v>898.25</v>
      </c>
    </row>
    <row r="74" spans="1:43">
      <c r="A74" s="109"/>
      <c r="B74" s="280" t="s">
        <v>167</v>
      </c>
      <c r="C74" s="281" t="s">
        <v>425</v>
      </c>
      <c r="D74" s="188">
        <v>462</v>
      </c>
      <c r="E74" s="114">
        <v>5.33</v>
      </c>
      <c r="F74" s="239" t="s">
        <v>193</v>
      </c>
      <c r="G74" s="315"/>
      <c r="I74" s="282">
        <v>129</v>
      </c>
      <c r="J74" s="282">
        <v>149</v>
      </c>
      <c r="K74" s="282">
        <v>172</v>
      </c>
      <c r="L74" s="282">
        <v>189</v>
      </c>
      <c r="M74" s="283">
        <v>222</v>
      </c>
      <c r="O74" s="282">
        <v>174</v>
      </c>
      <c r="P74" s="282">
        <v>234</v>
      </c>
      <c r="Q74" s="282">
        <v>303</v>
      </c>
      <c r="R74" s="282">
        <v>358</v>
      </c>
      <c r="S74" s="283">
        <v>490</v>
      </c>
      <c r="U74" s="282">
        <v>0</v>
      </c>
      <c r="V74" s="282">
        <v>0</v>
      </c>
      <c r="W74" s="282">
        <v>0</v>
      </c>
      <c r="X74" s="282">
        <v>0</v>
      </c>
      <c r="Y74" s="282">
        <v>0</v>
      </c>
      <c r="Z74" s="282">
        <v>0</v>
      </c>
      <c r="AA74" s="282">
        <v>0</v>
      </c>
      <c r="AB74" s="282">
        <v>-30</v>
      </c>
      <c r="AC74" s="282">
        <v>-50</v>
      </c>
      <c r="AD74" s="282">
        <v>-40</v>
      </c>
      <c r="AE74" s="282">
        <v>-60</v>
      </c>
      <c r="AF74" s="153"/>
      <c r="AG74" s="282">
        <v>333.33</v>
      </c>
      <c r="AH74" s="282">
        <v>313.33</v>
      </c>
      <c r="AI74" s="282">
        <v>290.32999999999987</v>
      </c>
      <c r="AJ74" s="282">
        <v>273.33</v>
      </c>
      <c r="AK74" s="283">
        <v>240.32999999999998</v>
      </c>
      <c r="AL74" s="284"/>
      <c r="AM74" s="282">
        <v>288.33000000000004</v>
      </c>
      <c r="AN74" s="282">
        <v>228.32999999999998</v>
      </c>
      <c r="AO74" s="282">
        <v>159.32999999999998</v>
      </c>
      <c r="AP74" s="282">
        <v>104.32999999999998</v>
      </c>
      <c r="AQ74" s="283">
        <v>-27.670000000000016</v>
      </c>
    </row>
    <row r="75" spans="1:43">
      <c r="B75" s="273" t="s">
        <v>167</v>
      </c>
      <c r="C75" s="286" t="s">
        <v>620</v>
      </c>
      <c r="D75" s="189">
        <v>620</v>
      </c>
      <c r="E75" s="115">
        <v>5.33</v>
      </c>
      <c r="F75" s="237" t="s">
        <v>193</v>
      </c>
      <c r="G75" s="314"/>
      <c r="I75" s="267">
        <v>52</v>
      </c>
      <c r="J75" s="267">
        <v>188</v>
      </c>
      <c r="K75" s="267">
        <v>211</v>
      </c>
      <c r="L75" s="267">
        <v>228</v>
      </c>
      <c r="M75" s="268">
        <v>261</v>
      </c>
      <c r="O75" s="267">
        <v>97</v>
      </c>
      <c r="P75" s="267">
        <v>273</v>
      </c>
      <c r="Q75" s="267">
        <v>342</v>
      </c>
      <c r="R75" s="267">
        <v>397</v>
      </c>
      <c r="S75" s="268">
        <v>529</v>
      </c>
      <c r="U75" s="282">
        <v>0</v>
      </c>
      <c r="V75" s="282">
        <v>0</v>
      </c>
      <c r="W75" s="282">
        <v>0</v>
      </c>
      <c r="X75" s="282">
        <v>0</v>
      </c>
      <c r="Y75" s="282">
        <v>0</v>
      </c>
      <c r="Z75" s="282">
        <v>0</v>
      </c>
      <c r="AA75" s="282">
        <v>0</v>
      </c>
      <c r="AB75" s="282">
        <v>-30</v>
      </c>
      <c r="AC75" s="282">
        <v>-50</v>
      </c>
      <c r="AD75" s="282">
        <v>-40</v>
      </c>
      <c r="AE75" s="282">
        <v>-60</v>
      </c>
      <c r="AF75" s="153"/>
      <c r="AG75" s="282">
        <v>568</v>
      </c>
      <c r="AH75" s="282">
        <v>431.59000000000003</v>
      </c>
      <c r="AI75" s="282">
        <v>408.58999999999992</v>
      </c>
      <c r="AJ75" s="282">
        <v>391.59000000000003</v>
      </c>
      <c r="AK75" s="283">
        <v>358.59000000000003</v>
      </c>
      <c r="AL75" s="284"/>
      <c r="AM75" s="282">
        <v>523</v>
      </c>
      <c r="AN75" s="282">
        <v>346.59000000000003</v>
      </c>
      <c r="AO75" s="282">
        <v>277.59000000000003</v>
      </c>
      <c r="AP75" s="282">
        <v>222.59000000000003</v>
      </c>
      <c r="AQ75" s="283">
        <v>90.590000000000032</v>
      </c>
    </row>
    <row r="76" spans="1:43">
      <c r="A76" s="109"/>
      <c r="B76" s="280" t="s">
        <v>167</v>
      </c>
      <c r="C76" s="281" t="s">
        <v>410</v>
      </c>
      <c r="D76" s="188">
        <v>638</v>
      </c>
      <c r="E76" s="114">
        <v>5.33</v>
      </c>
      <c r="F76" s="239" t="s">
        <v>193</v>
      </c>
      <c r="G76" s="315"/>
      <c r="I76" s="265">
        <v>52</v>
      </c>
      <c r="J76" s="265">
        <v>156</v>
      </c>
      <c r="K76" s="265">
        <v>179</v>
      </c>
      <c r="L76" s="265">
        <v>196</v>
      </c>
      <c r="M76" s="266">
        <v>229</v>
      </c>
      <c r="O76" s="265">
        <v>97</v>
      </c>
      <c r="P76" s="265">
        <v>241</v>
      </c>
      <c r="Q76" s="265">
        <v>310</v>
      </c>
      <c r="R76" s="265">
        <v>459</v>
      </c>
      <c r="S76" s="266">
        <v>589</v>
      </c>
      <c r="U76" s="282">
        <v>0</v>
      </c>
      <c r="V76" s="282">
        <v>0</v>
      </c>
      <c r="W76" s="282">
        <v>0</v>
      </c>
      <c r="X76" s="282">
        <v>0</v>
      </c>
      <c r="Y76" s="282">
        <v>0</v>
      </c>
      <c r="Z76" s="282">
        <v>0</v>
      </c>
      <c r="AA76" s="282">
        <v>0</v>
      </c>
      <c r="AB76" s="282">
        <v>-30</v>
      </c>
      <c r="AC76" s="282">
        <v>-50</v>
      </c>
      <c r="AD76" s="282">
        <v>-40</v>
      </c>
      <c r="AE76" s="282">
        <v>-60</v>
      </c>
      <c r="AF76" s="153"/>
      <c r="AG76" s="282">
        <v>586</v>
      </c>
      <c r="AH76" s="282">
        <v>481.59000000000003</v>
      </c>
      <c r="AI76" s="282">
        <v>458.58999999999992</v>
      </c>
      <c r="AJ76" s="282">
        <v>441.59000000000003</v>
      </c>
      <c r="AK76" s="283">
        <v>408.59000000000003</v>
      </c>
      <c r="AL76" s="284"/>
      <c r="AM76" s="282">
        <v>541</v>
      </c>
      <c r="AN76" s="282">
        <v>396.59000000000003</v>
      </c>
      <c r="AO76" s="282">
        <v>327.59000000000003</v>
      </c>
      <c r="AP76" s="282">
        <v>178.59000000000003</v>
      </c>
      <c r="AQ76" s="283">
        <v>48.590000000000032</v>
      </c>
    </row>
    <row r="77" spans="1:43">
      <c r="B77" s="273" t="s">
        <v>167</v>
      </c>
      <c r="C77" s="286" t="s">
        <v>597</v>
      </c>
      <c r="D77" s="189">
        <v>915</v>
      </c>
      <c r="E77" s="115">
        <v>5.33</v>
      </c>
      <c r="F77" s="237" t="s">
        <v>193</v>
      </c>
      <c r="G77" s="314"/>
      <c r="I77" s="267">
        <v>52</v>
      </c>
      <c r="J77" s="267">
        <v>243</v>
      </c>
      <c r="K77" s="267">
        <v>266</v>
      </c>
      <c r="L77" s="267">
        <v>283</v>
      </c>
      <c r="M77" s="268">
        <v>316</v>
      </c>
      <c r="O77" s="267">
        <v>97</v>
      </c>
      <c r="P77" s="267">
        <v>328</v>
      </c>
      <c r="Q77" s="267">
        <v>397</v>
      </c>
      <c r="R77" s="267">
        <v>452</v>
      </c>
      <c r="S77" s="268">
        <v>584</v>
      </c>
      <c r="U77" s="282">
        <v>0</v>
      </c>
      <c r="V77" s="282">
        <v>0</v>
      </c>
      <c r="W77" s="282">
        <v>0</v>
      </c>
      <c r="X77" s="282">
        <v>0</v>
      </c>
      <c r="Y77" s="282">
        <v>0</v>
      </c>
      <c r="Z77" s="282">
        <v>0</v>
      </c>
      <c r="AA77" s="282">
        <v>0</v>
      </c>
      <c r="AB77" s="282">
        <v>-30</v>
      </c>
      <c r="AC77" s="282">
        <v>-50</v>
      </c>
      <c r="AD77" s="282">
        <v>-40</v>
      </c>
      <c r="AE77" s="282">
        <v>-60</v>
      </c>
      <c r="AF77" s="153"/>
      <c r="AG77" s="282">
        <v>863</v>
      </c>
      <c r="AH77" s="282">
        <v>672.33</v>
      </c>
      <c r="AI77" s="282">
        <v>649.32999999999993</v>
      </c>
      <c r="AJ77" s="282">
        <v>632.33000000000004</v>
      </c>
      <c r="AK77" s="283">
        <v>599.33000000000004</v>
      </c>
      <c r="AL77" s="284"/>
      <c r="AM77" s="282">
        <v>818</v>
      </c>
      <c r="AN77" s="282">
        <v>587.33000000000004</v>
      </c>
      <c r="AO77" s="282">
        <v>518.33000000000004</v>
      </c>
      <c r="AP77" s="282">
        <v>463.33000000000004</v>
      </c>
      <c r="AQ77" s="283">
        <v>331.33000000000004</v>
      </c>
    </row>
    <row r="78" spans="1:43">
      <c r="A78" s="109"/>
      <c r="B78" s="280" t="s">
        <v>167</v>
      </c>
      <c r="C78" s="281" t="s">
        <v>450</v>
      </c>
      <c r="D78" s="188">
        <v>948</v>
      </c>
      <c r="E78" s="114">
        <v>5.33</v>
      </c>
      <c r="F78" s="239" t="s">
        <v>193</v>
      </c>
      <c r="G78" s="315"/>
      <c r="I78" s="282">
        <v>52</v>
      </c>
      <c r="J78" s="282">
        <v>190</v>
      </c>
      <c r="K78" s="282">
        <v>213</v>
      </c>
      <c r="L78" s="282">
        <v>230</v>
      </c>
      <c r="M78" s="283">
        <v>263</v>
      </c>
      <c r="O78" s="282">
        <v>97</v>
      </c>
      <c r="P78" s="282">
        <v>275</v>
      </c>
      <c r="Q78" s="282">
        <v>344</v>
      </c>
      <c r="R78" s="282">
        <v>399</v>
      </c>
      <c r="S78" s="283">
        <v>531</v>
      </c>
      <c r="U78" s="282">
        <v>0</v>
      </c>
      <c r="V78" s="282">
        <v>0</v>
      </c>
      <c r="W78" s="282">
        <v>0</v>
      </c>
      <c r="X78" s="282">
        <v>0</v>
      </c>
      <c r="Y78" s="282">
        <v>0</v>
      </c>
      <c r="Z78" s="282">
        <v>0</v>
      </c>
      <c r="AA78" s="282">
        <v>0</v>
      </c>
      <c r="AB78" s="282">
        <v>-30</v>
      </c>
      <c r="AC78" s="282">
        <v>-50</v>
      </c>
      <c r="AD78" s="282">
        <v>-40</v>
      </c>
      <c r="AE78" s="282">
        <v>-60</v>
      </c>
      <c r="AF78" s="153"/>
      <c r="AG78" s="282">
        <v>896</v>
      </c>
      <c r="AH78" s="282">
        <v>758.33</v>
      </c>
      <c r="AI78" s="282">
        <v>735.32999999999993</v>
      </c>
      <c r="AJ78" s="282">
        <v>718.33</v>
      </c>
      <c r="AK78" s="283">
        <v>685.33</v>
      </c>
      <c r="AL78" s="284"/>
      <c r="AM78" s="282">
        <v>851</v>
      </c>
      <c r="AN78" s="282">
        <v>673.33</v>
      </c>
      <c r="AO78" s="282">
        <v>604.33000000000004</v>
      </c>
      <c r="AP78" s="282">
        <v>549.33000000000004</v>
      </c>
      <c r="AQ78" s="283">
        <v>417.33000000000004</v>
      </c>
    </row>
    <row r="79" spans="1:43">
      <c r="B79" s="273" t="s">
        <v>63</v>
      </c>
      <c r="C79" s="286" t="s">
        <v>351</v>
      </c>
      <c r="D79" s="189">
        <v>215</v>
      </c>
      <c r="E79" s="115">
        <v>0</v>
      </c>
      <c r="F79" s="237" t="s">
        <v>195</v>
      </c>
      <c r="G79" s="314"/>
      <c r="I79" s="267">
        <v>84</v>
      </c>
      <c r="J79" s="267">
        <v>104</v>
      </c>
      <c r="K79" s="267">
        <v>127</v>
      </c>
      <c r="L79" s="267">
        <v>144</v>
      </c>
      <c r="M79" s="268">
        <v>177</v>
      </c>
      <c r="O79" s="267">
        <v>129</v>
      </c>
      <c r="P79" s="267">
        <v>159</v>
      </c>
      <c r="Q79" s="267">
        <v>208</v>
      </c>
      <c r="R79" s="267">
        <v>273</v>
      </c>
      <c r="S79" s="268">
        <v>280</v>
      </c>
      <c r="U79" s="282">
        <v>0</v>
      </c>
      <c r="V79" s="282">
        <v>0</v>
      </c>
      <c r="W79" s="282">
        <v>0</v>
      </c>
      <c r="X79" s="282">
        <v>0</v>
      </c>
      <c r="Y79" s="282">
        <v>0</v>
      </c>
      <c r="Z79" s="282">
        <v>0</v>
      </c>
      <c r="AA79" s="282">
        <v>0</v>
      </c>
      <c r="AB79" s="282">
        <v>0</v>
      </c>
      <c r="AC79" s="282">
        <v>0</v>
      </c>
      <c r="AD79" s="282">
        <v>0</v>
      </c>
      <c r="AE79" s="282">
        <v>0</v>
      </c>
      <c r="AF79" s="153"/>
      <c r="AG79" s="282">
        <v>131</v>
      </c>
      <c r="AH79" s="282">
        <v>111</v>
      </c>
      <c r="AI79" s="282">
        <v>87.999999999999886</v>
      </c>
      <c r="AJ79" s="282">
        <v>71</v>
      </c>
      <c r="AK79" s="283">
        <v>38</v>
      </c>
      <c r="AL79" s="284"/>
      <c r="AM79" s="282">
        <v>86.000000000000057</v>
      </c>
      <c r="AN79" s="282">
        <v>56</v>
      </c>
      <c r="AO79" s="282">
        <v>7</v>
      </c>
      <c r="AP79" s="282">
        <v>-58</v>
      </c>
      <c r="AQ79" s="283">
        <v>-64.5</v>
      </c>
    </row>
    <row r="80" spans="1:43">
      <c r="A80" s="109"/>
      <c r="B80" s="280" t="s">
        <v>63</v>
      </c>
      <c r="C80" s="281" t="s">
        <v>409</v>
      </c>
      <c r="D80" s="188">
        <v>396</v>
      </c>
      <c r="E80" s="114">
        <v>0</v>
      </c>
      <c r="F80" s="239" t="s">
        <v>195</v>
      </c>
      <c r="G80" s="315"/>
      <c r="I80" s="282">
        <v>161</v>
      </c>
      <c r="J80" s="282">
        <v>181</v>
      </c>
      <c r="K80" s="282">
        <v>204</v>
      </c>
      <c r="L80" s="282">
        <v>221</v>
      </c>
      <c r="M80" s="283">
        <v>254</v>
      </c>
      <c r="O80" s="282">
        <v>206</v>
      </c>
      <c r="P80" s="282">
        <v>236</v>
      </c>
      <c r="Q80" s="282">
        <v>285</v>
      </c>
      <c r="R80" s="282">
        <v>350</v>
      </c>
      <c r="S80" s="283">
        <v>462</v>
      </c>
      <c r="U80" s="282">
        <v>0</v>
      </c>
      <c r="V80" s="282">
        <v>0</v>
      </c>
      <c r="W80" s="282">
        <v>0</v>
      </c>
      <c r="X80" s="282">
        <v>0</v>
      </c>
      <c r="Y80" s="282">
        <v>0</v>
      </c>
      <c r="Z80" s="282">
        <v>0</v>
      </c>
      <c r="AA80" s="282">
        <v>0</v>
      </c>
      <c r="AB80" s="282">
        <v>0</v>
      </c>
      <c r="AC80" s="282">
        <v>0</v>
      </c>
      <c r="AD80" s="282">
        <v>0</v>
      </c>
      <c r="AE80" s="282">
        <v>0</v>
      </c>
      <c r="AF80" s="153"/>
      <c r="AG80" s="282">
        <v>235</v>
      </c>
      <c r="AH80" s="282">
        <v>215</v>
      </c>
      <c r="AI80" s="282">
        <v>191.99999999999989</v>
      </c>
      <c r="AJ80" s="282">
        <v>175</v>
      </c>
      <c r="AK80" s="283">
        <v>142</v>
      </c>
      <c r="AL80" s="284"/>
      <c r="AM80" s="282">
        <v>190.00000000000006</v>
      </c>
      <c r="AN80" s="282">
        <v>160</v>
      </c>
      <c r="AO80" s="282">
        <v>111</v>
      </c>
      <c r="AP80" s="282">
        <v>46</v>
      </c>
      <c r="AQ80" s="283">
        <v>-66</v>
      </c>
    </row>
    <row r="81" spans="1:43">
      <c r="B81" s="273" t="s">
        <v>63</v>
      </c>
      <c r="C81" s="286" t="s">
        <v>411</v>
      </c>
      <c r="D81" s="189">
        <v>479</v>
      </c>
      <c r="E81" s="115">
        <v>0</v>
      </c>
      <c r="F81" s="237" t="s">
        <v>195</v>
      </c>
      <c r="G81" s="314"/>
      <c r="I81" s="267">
        <v>171</v>
      </c>
      <c r="J81" s="267">
        <v>191</v>
      </c>
      <c r="K81" s="267">
        <v>214</v>
      </c>
      <c r="L81" s="267">
        <v>231</v>
      </c>
      <c r="M81" s="268">
        <v>264</v>
      </c>
      <c r="O81" s="267">
        <v>216</v>
      </c>
      <c r="P81" s="267">
        <v>276</v>
      </c>
      <c r="Q81" s="267">
        <v>345</v>
      </c>
      <c r="R81" s="267">
        <v>400</v>
      </c>
      <c r="S81" s="268">
        <v>532</v>
      </c>
      <c r="U81" s="282">
        <v>0</v>
      </c>
      <c r="V81" s="282">
        <v>0</v>
      </c>
      <c r="W81" s="282">
        <v>0</v>
      </c>
      <c r="X81" s="282">
        <v>0</v>
      </c>
      <c r="Y81" s="282">
        <v>0</v>
      </c>
      <c r="Z81" s="282">
        <v>0</v>
      </c>
      <c r="AA81" s="282">
        <v>0</v>
      </c>
      <c r="AB81" s="282">
        <v>-30</v>
      </c>
      <c r="AC81" s="282">
        <v>-50</v>
      </c>
      <c r="AD81" s="282">
        <v>-40</v>
      </c>
      <c r="AE81" s="282">
        <v>-60</v>
      </c>
      <c r="AF81" s="153"/>
      <c r="AG81" s="282">
        <v>308</v>
      </c>
      <c r="AH81" s="282">
        <v>288</v>
      </c>
      <c r="AI81" s="282">
        <v>264.99999999999989</v>
      </c>
      <c r="AJ81" s="282">
        <v>248</v>
      </c>
      <c r="AK81" s="283">
        <v>215</v>
      </c>
      <c r="AL81" s="284"/>
      <c r="AM81" s="282">
        <v>263.00000000000006</v>
      </c>
      <c r="AN81" s="282">
        <v>203</v>
      </c>
      <c r="AO81" s="282">
        <v>134</v>
      </c>
      <c r="AP81" s="282">
        <v>79</v>
      </c>
      <c r="AQ81" s="283">
        <v>-53</v>
      </c>
    </row>
    <row r="82" spans="1:43">
      <c r="A82" s="109"/>
      <c r="B82" s="280" t="s">
        <v>63</v>
      </c>
      <c r="C82" s="281" t="s">
        <v>510</v>
      </c>
      <c r="D82" s="188">
        <v>1735</v>
      </c>
      <c r="E82" s="114">
        <v>0</v>
      </c>
      <c r="F82" s="239" t="s">
        <v>195</v>
      </c>
      <c r="G82" s="315"/>
      <c r="I82" s="282">
        <v>52</v>
      </c>
      <c r="J82" s="282">
        <v>72</v>
      </c>
      <c r="K82" s="282">
        <v>875</v>
      </c>
      <c r="L82" s="282">
        <v>892</v>
      </c>
      <c r="M82" s="283">
        <v>925</v>
      </c>
      <c r="O82" s="282">
        <v>97</v>
      </c>
      <c r="P82" s="282">
        <v>157</v>
      </c>
      <c r="Q82" s="282">
        <v>1006</v>
      </c>
      <c r="R82" s="282">
        <v>1061</v>
      </c>
      <c r="S82" s="283">
        <v>1193</v>
      </c>
      <c r="U82" s="282">
        <v>0</v>
      </c>
      <c r="V82" s="282">
        <v>0</v>
      </c>
      <c r="W82" s="282">
        <v>0</v>
      </c>
      <c r="X82" s="282">
        <v>0</v>
      </c>
      <c r="Y82" s="282">
        <v>0</v>
      </c>
      <c r="Z82" s="282">
        <v>0</v>
      </c>
      <c r="AA82" s="282">
        <v>0</v>
      </c>
      <c r="AB82" s="282">
        <v>-30</v>
      </c>
      <c r="AC82" s="282">
        <v>-50</v>
      </c>
      <c r="AD82" s="282">
        <v>-40</v>
      </c>
      <c r="AE82" s="282">
        <v>-60</v>
      </c>
      <c r="AF82" s="153"/>
      <c r="AG82" s="282">
        <v>1683</v>
      </c>
      <c r="AH82" s="282">
        <v>1663</v>
      </c>
      <c r="AI82" s="282">
        <v>859.8</v>
      </c>
      <c r="AJ82" s="282">
        <v>842.8</v>
      </c>
      <c r="AK82" s="283">
        <v>809.8</v>
      </c>
      <c r="AL82" s="284"/>
      <c r="AM82" s="282">
        <v>1638</v>
      </c>
      <c r="AN82" s="282">
        <v>1578</v>
      </c>
      <c r="AO82" s="282">
        <v>728.8</v>
      </c>
      <c r="AP82" s="282">
        <v>673.8</v>
      </c>
      <c r="AQ82" s="283">
        <v>541.79999999999995</v>
      </c>
    </row>
    <row r="83" spans="1:43">
      <c r="B83" s="273" t="s">
        <v>63</v>
      </c>
      <c r="C83" s="286" t="s">
        <v>412</v>
      </c>
      <c r="D83" s="189">
        <v>537</v>
      </c>
      <c r="E83" s="115">
        <v>0</v>
      </c>
      <c r="F83" s="237" t="s">
        <v>195</v>
      </c>
      <c r="G83" s="314"/>
      <c r="I83" s="267">
        <v>184</v>
      </c>
      <c r="J83" s="267">
        <v>204</v>
      </c>
      <c r="K83" s="267">
        <v>227</v>
      </c>
      <c r="L83" s="267">
        <v>244</v>
      </c>
      <c r="M83" s="268">
        <v>277</v>
      </c>
      <c r="O83" s="267">
        <v>229</v>
      </c>
      <c r="P83" s="267">
        <v>289</v>
      </c>
      <c r="Q83" s="267">
        <v>358</v>
      </c>
      <c r="R83" s="267">
        <v>413</v>
      </c>
      <c r="S83" s="268">
        <v>545</v>
      </c>
      <c r="U83" s="282">
        <v>0</v>
      </c>
      <c r="V83" s="282">
        <v>0</v>
      </c>
      <c r="W83" s="282">
        <v>0</v>
      </c>
      <c r="X83" s="282">
        <v>0</v>
      </c>
      <c r="Y83" s="282">
        <v>0</v>
      </c>
      <c r="Z83" s="282">
        <v>0</v>
      </c>
      <c r="AA83" s="282">
        <v>0</v>
      </c>
      <c r="AB83" s="282">
        <v>-30</v>
      </c>
      <c r="AC83" s="282">
        <v>-50</v>
      </c>
      <c r="AD83" s="282">
        <v>-40</v>
      </c>
      <c r="AE83" s="282">
        <v>-60</v>
      </c>
      <c r="AF83" s="153"/>
      <c r="AG83" s="282">
        <v>352.8</v>
      </c>
      <c r="AH83" s="282">
        <v>332.8</v>
      </c>
      <c r="AI83" s="282">
        <v>309.7999999999999</v>
      </c>
      <c r="AJ83" s="282">
        <v>292.8</v>
      </c>
      <c r="AK83" s="283">
        <v>259.8</v>
      </c>
      <c r="AL83" s="284"/>
      <c r="AM83" s="282">
        <v>307.80000000000007</v>
      </c>
      <c r="AN83" s="282">
        <v>247.8</v>
      </c>
      <c r="AO83" s="282">
        <v>178.8</v>
      </c>
      <c r="AP83" s="282">
        <v>123.80000000000001</v>
      </c>
      <c r="AQ83" s="283">
        <v>-8.1999999999999886</v>
      </c>
    </row>
    <row r="84" spans="1:43">
      <c r="A84" s="109"/>
      <c r="B84" s="280" t="s">
        <v>63</v>
      </c>
      <c r="C84" s="281" t="s">
        <v>511</v>
      </c>
      <c r="D84" s="188">
        <v>2396</v>
      </c>
      <c r="E84" s="114">
        <v>0</v>
      </c>
      <c r="F84" s="239" t="s">
        <v>195</v>
      </c>
      <c r="G84" s="315"/>
      <c r="I84" s="265">
        <v>52</v>
      </c>
      <c r="J84" s="265">
        <v>72</v>
      </c>
      <c r="K84" s="265">
        <v>1211</v>
      </c>
      <c r="L84" s="265">
        <v>1228</v>
      </c>
      <c r="M84" s="266">
        <v>1261</v>
      </c>
      <c r="O84" s="265">
        <v>97</v>
      </c>
      <c r="P84" s="265">
        <v>157</v>
      </c>
      <c r="Q84" s="265">
        <v>1342</v>
      </c>
      <c r="R84" s="265">
        <v>1397</v>
      </c>
      <c r="S84" s="266">
        <v>1529</v>
      </c>
      <c r="U84" s="282">
        <v>0</v>
      </c>
      <c r="V84" s="282">
        <v>0</v>
      </c>
      <c r="W84" s="282">
        <v>0</v>
      </c>
      <c r="X84" s="282">
        <v>0</v>
      </c>
      <c r="Y84" s="282">
        <v>0</v>
      </c>
      <c r="Z84" s="282">
        <v>0</v>
      </c>
      <c r="AA84" s="282">
        <v>0</v>
      </c>
      <c r="AB84" s="282">
        <v>-30</v>
      </c>
      <c r="AC84" s="282">
        <v>-50</v>
      </c>
      <c r="AD84" s="282">
        <v>-40</v>
      </c>
      <c r="AE84" s="282">
        <v>-60</v>
      </c>
      <c r="AF84" s="153"/>
      <c r="AG84" s="282">
        <v>2344</v>
      </c>
      <c r="AH84" s="282">
        <v>2324</v>
      </c>
      <c r="AI84" s="282">
        <v>1184.8</v>
      </c>
      <c r="AJ84" s="282">
        <v>1167.8</v>
      </c>
      <c r="AK84" s="283">
        <v>1134.8</v>
      </c>
      <c r="AL84" s="284"/>
      <c r="AM84" s="282">
        <v>2299</v>
      </c>
      <c r="AN84" s="282">
        <v>2239</v>
      </c>
      <c r="AO84" s="282">
        <v>1053.8</v>
      </c>
      <c r="AP84" s="282">
        <v>998.8</v>
      </c>
      <c r="AQ84" s="283">
        <v>866.8</v>
      </c>
    </row>
    <row r="85" spans="1:43">
      <c r="B85" s="273" t="s">
        <v>63</v>
      </c>
      <c r="C85" s="286" t="s">
        <v>413</v>
      </c>
      <c r="D85" s="189">
        <v>686</v>
      </c>
      <c r="E85" s="115">
        <v>0</v>
      </c>
      <c r="F85" s="237" t="s">
        <v>195</v>
      </c>
      <c r="G85" s="314"/>
      <c r="I85" s="267">
        <v>52</v>
      </c>
      <c r="J85" s="267">
        <v>72</v>
      </c>
      <c r="K85" s="267">
        <v>301</v>
      </c>
      <c r="L85" s="267">
        <v>318</v>
      </c>
      <c r="M85" s="268">
        <v>351</v>
      </c>
      <c r="O85" s="267">
        <v>97</v>
      </c>
      <c r="P85" s="267">
        <v>157</v>
      </c>
      <c r="Q85" s="267">
        <v>432</v>
      </c>
      <c r="R85" s="267">
        <v>487</v>
      </c>
      <c r="S85" s="268">
        <v>619</v>
      </c>
      <c r="U85" s="282">
        <v>0</v>
      </c>
      <c r="V85" s="282">
        <v>0</v>
      </c>
      <c r="W85" s="282">
        <v>0</v>
      </c>
      <c r="X85" s="282">
        <v>0</v>
      </c>
      <c r="Y85" s="282">
        <v>0</v>
      </c>
      <c r="Z85" s="282">
        <v>0</v>
      </c>
      <c r="AA85" s="282">
        <v>0</v>
      </c>
      <c r="AB85" s="282">
        <v>-30</v>
      </c>
      <c r="AC85" s="282">
        <v>-50</v>
      </c>
      <c r="AD85" s="282">
        <v>-40</v>
      </c>
      <c r="AE85" s="282">
        <v>-60</v>
      </c>
      <c r="AF85" s="153"/>
      <c r="AG85" s="282">
        <v>634</v>
      </c>
      <c r="AH85" s="282">
        <v>614</v>
      </c>
      <c r="AI85" s="282">
        <v>384.7999999999999</v>
      </c>
      <c r="AJ85" s="282">
        <v>367.8</v>
      </c>
      <c r="AK85" s="283">
        <v>334.8</v>
      </c>
      <c r="AL85" s="284"/>
      <c r="AM85" s="282">
        <v>589</v>
      </c>
      <c r="AN85" s="282">
        <v>529</v>
      </c>
      <c r="AO85" s="282">
        <v>253.8</v>
      </c>
      <c r="AP85" s="282">
        <v>198.8</v>
      </c>
      <c r="AQ85" s="283">
        <v>66.800000000000011</v>
      </c>
    </row>
    <row r="86" spans="1:43">
      <c r="A86" s="109"/>
      <c r="B86" s="280" t="s">
        <v>63</v>
      </c>
      <c r="C86" s="281" t="s">
        <v>512</v>
      </c>
      <c r="D86" s="188">
        <v>1157</v>
      </c>
      <c r="E86" s="114">
        <v>0</v>
      </c>
      <c r="F86" s="239" t="s">
        <v>195</v>
      </c>
      <c r="G86" s="315"/>
      <c r="I86" s="282">
        <v>52</v>
      </c>
      <c r="J86" s="282">
        <v>72</v>
      </c>
      <c r="K86" s="282">
        <v>498</v>
      </c>
      <c r="L86" s="282">
        <v>515</v>
      </c>
      <c r="M86" s="283">
        <v>548</v>
      </c>
      <c r="O86" s="282">
        <v>97</v>
      </c>
      <c r="P86" s="282">
        <v>157</v>
      </c>
      <c r="Q86" s="282">
        <v>629</v>
      </c>
      <c r="R86" s="282">
        <v>684</v>
      </c>
      <c r="S86" s="283">
        <v>816</v>
      </c>
      <c r="U86" s="282">
        <v>0</v>
      </c>
      <c r="V86" s="282">
        <v>0</v>
      </c>
      <c r="W86" s="282">
        <v>0</v>
      </c>
      <c r="X86" s="282">
        <v>0</v>
      </c>
      <c r="Y86" s="282">
        <v>0</v>
      </c>
      <c r="Z86" s="282">
        <v>0</v>
      </c>
      <c r="AA86" s="282">
        <v>0</v>
      </c>
      <c r="AB86" s="282">
        <v>-30</v>
      </c>
      <c r="AC86" s="282">
        <v>-50</v>
      </c>
      <c r="AD86" s="282">
        <v>-40</v>
      </c>
      <c r="AE86" s="282">
        <v>-60</v>
      </c>
      <c r="AF86" s="153"/>
      <c r="AG86" s="282">
        <v>1105</v>
      </c>
      <c r="AH86" s="282">
        <v>1085</v>
      </c>
      <c r="AI86" s="282">
        <v>658.85</v>
      </c>
      <c r="AJ86" s="282">
        <v>641.85</v>
      </c>
      <c r="AK86" s="283">
        <v>608.85</v>
      </c>
      <c r="AL86" s="284"/>
      <c r="AM86" s="282">
        <v>1060</v>
      </c>
      <c r="AN86" s="282">
        <v>1000</v>
      </c>
      <c r="AO86" s="282">
        <v>527.85</v>
      </c>
      <c r="AP86" s="282">
        <v>472.85</v>
      </c>
      <c r="AQ86" s="283">
        <v>340.85</v>
      </c>
    </row>
    <row r="87" spans="1:43">
      <c r="B87" s="273" t="s">
        <v>63</v>
      </c>
      <c r="C87" s="286" t="s">
        <v>548</v>
      </c>
      <c r="D87" s="189">
        <v>867</v>
      </c>
      <c r="E87" s="115">
        <v>5.33</v>
      </c>
      <c r="F87" s="237" t="s">
        <v>193</v>
      </c>
      <c r="G87" s="314"/>
      <c r="I87" s="267">
        <v>52</v>
      </c>
      <c r="J87" s="267">
        <v>309</v>
      </c>
      <c r="K87" s="267">
        <v>332</v>
      </c>
      <c r="L87" s="267">
        <v>349</v>
      </c>
      <c r="M87" s="268">
        <v>382</v>
      </c>
      <c r="O87" s="267">
        <v>97</v>
      </c>
      <c r="P87" s="267">
        <v>394</v>
      </c>
      <c r="Q87" s="267">
        <v>463</v>
      </c>
      <c r="R87" s="267">
        <v>518</v>
      </c>
      <c r="S87" s="268">
        <v>650</v>
      </c>
      <c r="U87" s="282">
        <v>0</v>
      </c>
      <c r="V87" s="282">
        <v>0</v>
      </c>
      <c r="W87" s="282">
        <v>0</v>
      </c>
      <c r="X87" s="282">
        <v>0</v>
      </c>
      <c r="Y87" s="282">
        <v>0</v>
      </c>
      <c r="Z87" s="282">
        <v>0</v>
      </c>
      <c r="AA87" s="282">
        <v>0</v>
      </c>
      <c r="AB87" s="282">
        <v>-30</v>
      </c>
      <c r="AC87" s="282">
        <v>-50</v>
      </c>
      <c r="AD87" s="282">
        <v>-40</v>
      </c>
      <c r="AE87" s="282">
        <v>-60</v>
      </c>
      <c r="AF87" s="153"/>
      <c r="AG87" s="282">
        <v>815</v>
      </c>
      <c r="AH87" s="282">
        <v>557.64</v>
      </c>
      <c r="AI87" s="282">
        <v>534.63999999999987</v>
      </c>
      <c r="AJ87" s="282">
        <v>517.64</v>
      </c>
      <c r="AK87" s="283">
        <v>484.64</v>
      </c>
      <c r="AL87" s="284"/>
      <c r="AM87" s="282">
        <v>770</v>
      </c>
      <c r="AN87" s="282">
        <v>472.64</v>
      </c>
      <c r="AO87" s="282">
        <v>403.64</v>
      </c>
      <c r="AP87" s="282">
        <v>348.64</v>
      </c>
      <c r="AQ87" s="283">
        <v>216.64</v>
      </c>
    </row>
    <row r="88" spans="1:43">
      <c r="A88" s="109"/>
      <c r="B88" s="280" t="s">
        <v>167</v>
      </c>
      <c r="C88" s="281" t="s">
        <v>598</v>
      </c>
      <c r="D88" s="191">
        <v>140</v>
      </c>
      <c r="E88" s="300">
        <v>0</v>
      </c>
      <c r="F88" s="239" t="s">
        <v>599</v>
      </c>
      <c r="G88" s="315"/>
      <c r="I88" s="265">
        <v>52</v>
      </c>
      <c r="J88" s="265">
        <v>72</v>
      </c>
      <c r="K88" s="265">
        <v>95</v>
      </c>
      <c r="L88" s="265">
        <v>112</v>
      </c>
      <c r="M88" s="266">
        <v>145</v>
      </c>
      <c r="O88" s="265">
        <v>97</v>
      </c>
      <c r="P88" s="265">
        <v>127</v>
      </c>
      <c r="Q88" s="265">
        <v>176</v>
      </c>
      <c r="R88" s="265">
        <v>213</v>
      </c>
      <c r="S88" s="266">
        <v>213</v>
      </c>
      <c r="U88" s="282">
        <v>0</v>
      </c>
      <c r="V88" s="282">
        <v>0</v>
      </c>
      <c r="W88" s="282">
        <v>0</v>
      </c>
      <c r="X88" s="282">
        <v>0</v>
      </c>
      <c r="Y88" s="282">
        <v>0</v>
      </c>
      <c r="Z88" s="282">
        <v>0</v>
      </c>
      <c r="AA88" s="282">
        <v>0</v>
      </c>
      <c r="AB88" s="282">
        <v>0</v>
      </c>
      <c r="AC88" s="282">
        <v>0</v>
      </c>
      <c r="AD88" s="282">
        <v>0</v>
      </c>
      <c r="AE88" s="282">
        <v>0</v>
      </c>
      <c r="AF88" s="153"/>
      <c r="AG88" s="282">
        <v>88</v>
      </c>
      <c r="AH88" s="282">
        <v>68</v>
      </c>
      <c r="AI88" s="282">
        <v>44.999999999999886</v>
      </c>
      <c r="AJ88" s="282">
        <v>28</v>
      </c>
      <c r="AK88" s="283">
        <v>-5</v>
      </c>
      <c r="AL88" s="284"/>
      <c r="AM88" s="282">
        <v>43.000000000000057</v>
      </c>
      <c r="AN88" s="282">
        <v>13</v>
      </c>
      <c r="AO88" s="282">
        <v>-36</v>
      </c>
      <c r="AP88" s="282">
        <v>-73.34</v>
      </c>
      <c r="AQ88" s="283">
        <v>-73.34</v>
      </c>
    </row>
    <row r="89" spans="1:43">
      <c r="B89" s="273" t="s">
        <v>426</v>
      </c>
      <c r="C89" s="286" t="s">
        <v>582</v>
      </c>
      <c r="D89" s="189">
        <v>481</v>
      </c>
      <c r="E89" s="115">
        <v>3.25</v>
      </c>
      <c r="F89" s="237" t="s">
        <v>190</v>
      </c>
      <c r="G89" s="314"/>
      <c r="I89" s="267">
        <v>208</v>
      </c>
      <c r="J89" s="267">
        <v>228</v>
      </c>
      <c r="K89" s="267">
        <v>251</v>
      </c>
      <c r="L89" s="267">
        <v>268</v>
      </c>
      <c r="M89" s="268">
        <v>301</v>
      </c>
      <c r="O89" s="267">
        <v>253</v>
      </c>
      <c r="P89" s="267">
        <v>313</v>
      </c>
      <c r="Q89" s="267">
        <v>367</v>
      </c>
      <c r="R89" s="267">
        <v>432</v>
      </c>
      <c r="S89" s="268">
        <v>544</v>
      </c>
      <c r="U89" s="282">
        <v>0</v>
      </c>
      <c r="V89" s="282">
        <v>0</v>
      </c>
      <c r="W89" s="282">
        <v>0</v>
      </c>
      <c r="X89" s="282">
        <v>0</v>
      </c>
      <c r="Y89" s="282">
        <v>0</v>
      </c>
      <c r="Z89" s="282">
        <v>0</v>
      </c>
      <c r="AA89" s="282">
        <v>0</v>
      </c>
      <c r="AB89" s="282">
        <v>-30</v>
      </c>
      <c r="AC89" s="282">
        <v>-35</v>
      </c>
      <c r="AD89" s="282">
        <v>-35</v>
      </c>
      <c r="AE89" s="282">
        <v>-35</v>
      </c>
      <c r="AF89" s="153"/>
      <c r="AG89" s="282">
        <v>273.02999999999997</v>
      </c>
      <c r="AH89" s="282">
        <v>253.02999999999997</v>
      </c>
      <c r="AI89" s="282">
        <v>230.02999999999986</v>
      </c>
      <c r="AJ89" s="282">
        <v>213.02999999999997</v>
      </c>
      <c r="AK89" s="283">
        <v>180.02999999999997</v>
      </c>
      <c r="AL89" s="284"/>
      <c r="AM89" s="282">
        <v>228.03000000000003</v>
      </c>
      <c r="AN89" s="282">
        <v>168.02999999999997</v>
      </c>
      <c r="AO89" s="282">
        <v>114</v>
      </c>
      <c r="AP89" s="282">
        <v>49</v>
      </c>
      <c r="AQ89" s="283">
        <v>-63</v>
      </c>
    </row>
    <row r="90" spans="1:43">
      <c r="A90" s="109"/>
      <c r="B90" s="280" t="s">
        <v>426</v>
      </c>
      <c r="C90" s="281" t="s">
        <v>529</v>
      </c>
      <c r="D90" s="188">
        <v>658</v>
      </c>
      <c r="E90" s="114">
        <v>3.25</v>
      </c>
      <c r="F90" s="239" t="s">
        <v>190</v>
      </c>
      <c r="G90" s="315"/>
      <c r="I90" s="282">
        <v>326</v>
      </c>
      <c r="J90" s="282">
        <v>346</v>
      </c>
      <c r="K90" s="282">
        <v>369</v>
      </c>
      <c r="L90" s="282">
        <v>386</v>
      </c>
      <c r="M90" s="283">
        <v>419</v>
      </c>
      <c r="O90" s="282">
        <v>371</v>
      </c>
      <c r="P90" s="282">
        <v>431</v>
      </c>
      <c r="Q90" s="282">
        <v>500</v>
      </c>
      <c r="R90" s="282">
        <v>555</v>
      </c>
      <c r="S90" s="283">
        <v>718</v>
      </c>
      <c r="U90" s="282">
        <v>0</v>
      </c>
      <c r="V90" s="282">
        <v>0</v>
      </c>
      <c r="W90" s="282">
        <v>0</v>
      </c>
      <c r="X90" s="282">
        <v>0</v>
      </c>
      <c r="Y90" s="282">
        <v>0</v>
      </c>
      <c r="Z90" s="282">
        <v>0</v>
      </c>
      <c r="AA90" s="282">
        <v>0</v>
      </c>
      <c r="AB90" s="282">
        <v>-30</v>
      </c>
      <c r="AC90" s="282">
        <v>-50</v>
      </c>
      <c r="AD90" s="282">
        <v>-40</v>
      </c>
      <c r="AE90" s="282">
        <v>-60</v>
      </c>
      <c r="AF90" s="153"/>
      <c r="AG90" s="282">
        <v>332.04999999999995</v>
      </c>
      <c r="AH90" s="282">
        <v>312.04999999999995</v>
      </c>
      <c r="AI90" s="282">
        <v>289.04999999999984</v>
      </c>
      <c r="AJ90" s="282">
        <v>272.04999999999995</v>
      </c>
      <c r="AK90" s="283">
        <v>239.04999999999995</v>
      </c>
      <c r="AL90" s="284"/>
      <c r="AM90" s="282">
        <v>287.04999999999995</v>
      </c>
      <c r="AN90" s="282">
        <v>227.04999999999995</v>
      </c>
      <c r="AO90" s="282">
        <v>158.04999999999995</v>
      </c>
      <c r="AP90" s="282">
        <v>103.04999999999995</v>
      </c>
      <c r="AQ90" s="283">
        <v>-59.950000000000045</v>
      </c>
    </row>
    <row r="91" spans="1:43">
      <c r="B91" s="273" t="s">
        <v>426</v>
      </c>
      <c r="C91" s="286" t="s">
        <v>462</v>
      </c>
      <c r="D91" s="189">
        <v>177</v>
      </c>
      <c r="E91" s="115">
        <v>3.25</v>
      </c>
      <c r="F91" s="237" t="s">
        <v>190</v>
      </c>
      <c r="G91" s="314"/>
      <c r="I91" s="267">
        <v>109</v>
      </c>
      <c r="J91" s="267">
        <v>129</v>
      </c>
      <c r="K91" s="267">
        <v>152</v>
      </c>
      <c r="L91" s="267">
        <v>169</v>
      </c>
      <c r="M91" s="268">
        <v>202</v>
      </c>
      <c r="O91" s="267">
        <v>154</v>
      </c>
      <c r="P91" s="267">
        <v>184</v>
      </c>
      <c r="Q91" s="267">
        <v>233</v>
      </c>
      <c r="R91" s="267">
        <v>238</v>
      </c>
      <c r="S91" s="268">
        <v>238</v>
      </c>
      <c r="U91" s="282">
        <v>0</v>
      </c>
      <c r="V91" s="282">
        <v>0</v>
      </c>
      <c r="W91" s="282">
        <v>0</v>
      </c>
      <c r="X91" s="282">
        <v>0</v>
      </c>
      <c r="Y91" s="282">
        <v>0</v>
      </c>
      <c r="Z91" s="282">
        <v>0</v>
      </c>
      <c r="AA91" s="282">
        <v>0</v>
      </c>
      <c r="AB91" s="282">
        <v>0</v>
      </c>
      <c r="AC91" s="282">
        <v>0</v>
      </c>
      <c r="AD91" s="282">
        <v>0</v>
      </c>
      <c r="AE91" s="282">
        <v>0</v>
      </c>
      <c r="AF91" s="153"/>
      <c r="AG91" s="282">
        <v>67.710000000000008</v>
      </c>
      <c r="AH91" s="282">
        <v>47.710000000000008</v>
      </c>
      <c r="AI91" s="282">
        <v>24.709999999999894</v>
      </c>
      <c r="AJ91" s="282">
        <v>7.710000000000008</v>
      </c>
      <c r="AK91" s="283">
        <v>-25.289999999999992</v>
      </c>
      <c r="AL91" s="284"/>
      <c r="AM91" s="282">
        <v>22.710000000000065</v>
      </c>
      <c r="AN91" s="282">
        <v>-7.289999999999992</v>
      </c>
      <c r="AO91" s="282">
        <v>-56.289999999999992</v>
      </c>
      <c r="AP91" s="282">
        <v>-60.855000000000004</v>
      </c>
      <c r="AQ91" s="283">
        <v>-60.855000000000018</v>
      </c>
    </row>
    <row r="92" spans="1:43">
      <c r="A92" s="109"/>
      <c r="B92" s="280" t="s">
        <v>426</v>
      </c>
      <c r="C92" s="118" t="s">
        <v>632</v>
      </c>
      <c r="D92" s="188">
        <v>183</v>
      </c>
      <c r="E92" s="114">
        <v>3.25</v>
      </c>
      <c r="F92" s="239" t="s">
        <v>190</v>
      </c>
      <c r="G92" s="315"/>
      <c r="I92" s="282">
        <v>99</v>
      </c>
      <c r="J92" s="282">
        <v>119</v>
      </c>
      <c r="K92" s="282">
        <v>142</v>
      </c>
      <c r="L92" s="282">
        <v>159</v>
      </c>
      <c r="M92" s="283">
        <v>192</v>
      </c>
      <c r="O92" s="282">
        <v>144</v>
      </c>
      <c r="P92" s="282">
        <v>174</v>
      </c>
      <c r="Q92" s="282">
        <v>223</v>
      </c>
      <c r="R92" s="282">
        <v>252</v>
      </c>
      <c r="S92" s="283">
        <v>252</v>
      </c>
      <c r="U92" s="282">
        <v>0</v>
      </c>
      <c r="V92" s="282">
        <v>0</v>
      </c>
      <c r="W92" s="282">
        <v>0</v>
      </c>
      <c r="X92" s="282">
        <v>0</v>
      </c>
      <c r="Y92" s="282">
        <v>0</v>
      </c>
      <c r="Z92" s="282">
        <v>0</v>
      </c>
      <c r="AA92" s="282">
        <v>0</v>
      </c>
      <c r="AB92" s="282">
        <v>0</v>
      </c>
      <c r="AC92" s="282">
        <v>0</v>
      </c>
      <c r="AD92" s="282">
        <v>0</v>
      </c>
      <c r="AE92" s="282">
        <v>0</v>
      </c>
      <c r="AF92" s="153"/>
      <c r="AG92" s="282">
        <v>83.789999999999992</v>
      </c>
      <c r="AH92" s="282">
        <v>63.789999999999992</v>
      </c>
      <c r="AI92" s="282">
        <v>40.789999999999878</v>
      </c>
      <c r="AJ92" s="282">
        <v>23.789999999999992</v>
      </c>
      <c r="AK92" s="283">
        <v>-9.210000000000008</v>
      </c>
      <c r="AL92" s="284"/>
      <c r="AM92" s="282">
        <v>38.790000000000049</v>
      </c>
      <c r="AN92" s="282">
        <v>8.789999999999992</v>
      </c>
      <c r="AO92" s="282">
        <v>-40.210000000000008</v>
      </c>
      <c r="AP92" s="282">
        <v>-68.89500000000001</v>
      </c>
      <c r="AQ92" s="283">
        <v>-68.89500000000001</v>
      </c>
    </row>
    <row r="93" spans="1:43">
      <c r="B93" s="273" t="s">
        <v>426</v>
      </c>
      <c r="C93" s="286" t="s">
        <v>463</v>
      </c>
      <c r="D93" s="189">
        <v>199</v>
      </c>
      <c r="E93" s="115">
        <v>3.25</v>
      </c>
      <c r="F93" s="237" t="s">
        <v>190</v>
      </c>
      <c r="G93" s="314"/>
      <c r="I93" s="267">
        <v>91</v>
      </c>
      <c r="J93" s="267">
        <v>111</v>
      </c>
      <c r="K93" s="267">
        <v>134</v>
      </c>
      <c r="L93" s="267">
        <v>151</v>
      </c>
      <c r="M93" s="268">
        <v>184</v>
      </c>
      <c r="O93" s="267">
        <v>136</v>
      </c>
      <c r="P93" s="267">
        <v>166</v>
      </c>
      <c r="Q93" s="267">
        <v>215</v>
      </c>
      <c r="R93" s="267">
        <v>280</v>
      </c>
      <c r="S93" s="268">
        <v>280</v>
      </c>
      <c r="U93" s="282">
        <v>0</v>
      </c>
      <c r="V93" s="282">
        <v>0</v>
      </c>
      <c r="W93" s="282">
        <v>0</v>
      </c>
      <c r="X93" s="282">
        <v>0</v>
      </c>
      <c r="Y93" s="282">
        <v>0</v>
      </c>
      <c r="Z93" s="282">
        <v>0</v>
      </c>
      <c r="AA93" s="282">
        <v>0</v>
      </c>
      <c r="AB93" s="282">
        <v>0</v>
      </c>
      <c r="AC93" s="282">
        <v>0</v>
      </c>
      <c r="AD93" s="282">
        <v>0</v>
      </c>
      <c r="AE93" s="282">
        <v>0</v>
      </c>
      <c r="AF93" s="153"/>
      <c r="AG93" s="282">
        <v>108.49000000000001</v>
      </c>
      <c r="AH93" s="282">
        <v>88.490000000000009</v>
      </c>
      <c r="AI93" s="282">
        <v>65.489999999999895</v>
      </c>
      <c r="AJ93" s="282">
        <v>48.490000000000009</v>
      </c>
      <c r="AK93" s="283">
        <v>15.490000000000009</v>
      </c>
      <c r="AL93" s="284"/>
      <c r="AM93" s="282">
        <v>63.490000000000066</v>
      </c>
      <c r="AN93" s="282">
        <v>33.490000000000009</v>
      </c>
      <c r="AO93" s="282">
        <v>-15.509999999999991</v>
      </c>
      <c r="AP93" s="282">
        <v>-80.509999999999991</v>
      </c>
      <c r="AQ93" s="283">
        <v>-80.509999999999991</v>
      </c>
    </row>
    <row r="94" spans="1:43">
      <c r="A94" s="109"/>
      <c r="B94" s="280" t="s">
        <v>426</v>
      </c>
      <c r="C94" s="281" t="s">
        <v>621</v>
      </c>
      <c r="D94" s="188">
        <v>255</v>
      </c>
      <c r="E94" s="114">
        <v>3.25</v>
      </c>
      <c r="F94" s="239" t="s">
        <v>190</v>
      </c>
      <c r="G94" s="315"/>
      <c r="I94" s="282">
        <v>128</v>
      </c>
      <c r="J94" s="282">
        <v>148</v>
      </c>
      <c r="K94" s="282">
        <v>171</v>
      </c>
      <c r="L94" s="282">
        <v>188</v>
      </c>
      <c r="M94" s="283">
        <v>221</v>
      </c>
      <c r="O94" s="282">
        <v>173</v>
      </c>
      <c r="P94" s="282">
        <v>203</v>
      </c>
      <c r="Q94" s="282">
        <v>252</v>
      </c>
      <c r="R94" s="282">
        <v>317</v>
      </c>
      <c r="S94" s="283">
        <v>317</v>
      </c>
      <c r="U94" s="282">
        <v>0</v>
      </c>
      <c r="V94" s="282">
        <v>0</v>
      </c>
      <c r="W94" s="282">
        <v>0</v>
      </c>
      <c r="X94" s="282">
        <v>0</v>
      </c>
      <c r="Y94" s="282">
        <v>0</v>
      </c>
      <c r="Z94" s="282">
        <v>0</v>
      </c>
      <c r="AA94" s="282">
        <v>0</v>
      </c>
      <c r="AB94" s="282">
        <v>0</v>
      </c>
      <c r="AC94" s="282">
        <v>0</v>
      </c>
      <c r="AD94" s="282">
        <v>0</v>
      </c>
      <c r="AE94" s="282">
        <v>0</v>
      </c>
      <c r="AF94" s="153"/>
      <c r="AG94" s="282">
        <v>126.75</v>
      </c>
      <c r="AH94" s="282">
        <v>106.75</v>
      </c>
      <c r="AI94" s="282">
        <v>83.749999999999886</v>
      </c>
      <c r="AJ94" s="282">
        <v>66.75</v>
      </c>
      <c r="AK94" s="283">
        <v>33.75</v>
      </c>
      <c r="AL94" s="284"/>
      <c r="AM94" s="282">
        <v>81.750000000000057</v>
      </c>
      <c r="AN94" s="282">
        <v>51.75</v>
      </c>
      <c r="AO94" s="282">
        <v>2.75</v>
      </c>
      <c r="AP94" s="282">
        <v>-62.25</v>
      </c>
      <c r="AQ94" s="283">
        <v>-62.375</v>
      </c>
    </row>
    <row r="95" spans="1:43">
      <c r="B95" s="273" t="s">
        <v>426</v>
      </c>
      <c r="C95" s="286" t="s">
        <v>553</v>
      </c>
      <c r="D95" s="189">
        <v>353</v>
      </c>
      <c r="E95" s="115">
        <v>3.25</v>
      </c>
      <c r="F95" s="237" t="s">
        <v>190</v>
      </c>
      <c r="G95" s="314"/>
      <c r="I95" s="267">
        <v>128</v>
      </c>
      <c r="J95" s="267">
        <v>148</v>
      </c>
      <c r="K95" s="267">
        <v>171</v>
      </c>
      <c r="L95" s="267">
        <v>188</v>
      </c>
      <c r="M95" s="268">
        <v>221</v>
      </c>
      <c r="O95" s="267">
        <v>173</v>
      </c>
      <c r="P95" s="267">
        <v>203</v>
      </c>
      <c r="Q95" s="267">
        <v>252</v>
      </c>
      <c r="R95" s="267">
        <v>353</v>
      </c>
      <c r="S95" s="268">
        <v>429</v>
      </c>
      <c r="U95" s="282">
        <v>0</v>
      </c>
      <c r="V95" s="282">
        <v>0</v>
      </c>
      <c r="W95" s="282">
        <v>0</v>
      </c>
      <c r="X95" s="282">
        <v>0</v>
      </c>
      <c r="Y95" s="282">
        <v>0</v>
      </c>
      <c r="Z95" s="282">
        <v>0</v>
      </c>
      <c r="AA95" s="282">
        <v>0</v>
      </c>
      <c r="AB95" s="282">
        <v>0</v>
      </c>
      <c r="AC95" s="282">
        <v>0</v>
      </c>
      <c r="AD95" s="282">
        <v>0</v>
      </c>
      <c r="AE95" s="282">
        <v>0</v>
      </c>
      <c r="AF95" s="153"/>
      <c r="AG95" s="282">
        <v>225.26</v>
      </c>
      <c r="AH95" s="282">
        <v>205.26</v>
      </c>
      <c r="AI95" s="282">
        <v>182.25999999999988</v>
      </c>
      <c r="AJ95" s="282">
        <v>165.26</v>
      </c>
      <c r="AK95" s="283">
        <v>132.26</v>
      </c>
      <c r="AL95" s="284"/>
      <c r="AM95" s="282">
        <v>180.26000000000005</v>
      </c>
      <c r="AN95" s="282">
        <v>150.26</v>
      </c>
      <c r="AO95" s="282">
        <v>101.25999999999999</v>
      </c>
      <c r="AP95" s="282">
        <v>0.25999999999999091</v>
      </c>
      <c r="AQ95" s="283">
        <v>-75.740000000000009</v>
      </c>
    </row>
    <row r="96" spans="1:43">
      <c r="A96" s="109"/>
      <c r="B96" s="280" t="s">
        <v>426</v>
      </c>
      <c r="C96" s="281" t="s">
        <v>622</v>
      </c>
      <c r="D96" s="188">
        <v>481</v>
      </c>
      <c r="E96" s="114">
        <v>3.25</v>
      </c>
      <c r="F96" s="239" t="s">
        <v>190</v>
      </c>
      <c r="G96" s="315"/>
      <c r="I96" s="282">
        <v>198</v>
      </c>
      <c r="J96" s="282">
        <v>218</v>
      </c>
      <c r="K96" s="282">
        <v>241</v>
      </c>
      <c r="L96" s="282">
        <v>258</v>
      </c>
      <c r="M96" s="283">
        <v>291</v>
      </c>
      <c r="O96" s="282">
        <v>243</v>
      </c>
      <c r="P96" s="282">
        <v>303</v>
      </c>
      <c r="Q96" s="282">
        <v>367</v>
      </c>
      <c r="R96" s="282">
        <v>472</v>
      </c>
      <c r="S96" s="283">
        <v>544</v>
      </c>
      <c r="U96" s="282">
        <v>0</v>
      </c>
      <c r="V96" s="282">
        <v>0</v>
      </c>
      <c r="W96" s="282">
        <v>0</v>
      </c>
      <c r="X96" s="282">
        <v>0</v>
      </c>
      <c r="Y96" s="282">
        <v>0</v>
      </c>
      <c r="Z96" s="282">
        <v>0</v>
      </c>
      <c r="AA96" s="282">
        <v>0</v>
      </c>
      <c r="AB96" s="282">
        <v>-30</v>
      </c>
      <c r="AC96" s="282">
        <v>-45</v>
      </c>
      <c r="AD96" s="282">
        <v>-40</v>
      </c>
      <c r="AE96" s="282">
        <v>-45</v>
      </c>
      <c r="AF96" s="153"/>
      <c r="AG96" s="282">
        <v>283.02999999999997</v>
      </c>
      <c r="AH96" s="282">
        <v>263.02999999999997</v>
      </c>
      <c r="AI96" s="282">
        <v>240.02999999999986</v>
      </c>
      <c r="AJ96" s="282">
        <v>223.02999999999997</v>
      </c>
      <c r="AK96" s="283">
        <v>190.02999999999997</v>
      </c>
      <c r="AL96" s="284"/>
      <c r="AM96" s="282">
        <v>238.03000000000003</v>
      </c>
      <c r="AN96" s="282">
        <v>178.02999999999997</v>
      </c>
      <c r="AO96" s="282">
        <v>114</v>
      </c>
      <c r="AP96" s="282">
        <v>9.0299999999999727</v>
      </c>
      <c r="AQ96" s="283">
        <v>-63</v>
      </c>
    </row>
    <row r="97" spans="1:43">
      <c r="B97" s="273" t="s">
        <v>426</v>
      </c>
      <c r="C97" s="286" t="s">
        <v>549</v>
      </c>
      <c r="D97" s="189">
        <v>869</v>
      </c>
      <c r="E97" s="115">
        <v>3.25</v>
      </c>
      <c r="F97" s="237" t="s">
        <v>190</v>
      </c>
      <c r="G97" s="314"/>
      <c r="I97" s="267">
        <v>52</v>
      </c>
      <c r="J97" s="267">
        <v>351</v>
      </c>
      <c r="K97" s="267">
        <v>374</v>
      </c>
      <c r="L97" s="267">
        <v>391</v>
      </c>
      <c r="M97" s="268">
        <v>424</v>
      </c>
      <c r="O97" s="267">
        <v>97</v>
      </c>
      <c r="P97" s="267">
        <v>436</v>
      </c>
      <c r="Q97" s="267">
        <v>505</v>
      </c>
      <c r="R97" s="267">
        <v>560</v>
      </c>
      <c r="S97" s="268">
        <v>692</v>
      </c>
      <c r="U97" s="282">
        <v>0</v>
      </c>
      <c r="V97" s="282">
        <v>0</v>
      </c>
      <c r="W97" s="282">
        <v>0</v>
      </c>
      <c r="X97" s="282">
        <v>0</v>
      </c>
      <c r="Y97" s="282">
        <v>0</v>
      </c>
      <c r="Z97" s="282">
        <v>0</v>
      </c>
      <c r="AA97" s="282">
        <v>0</v>
      </c>
      <c r="AB97" s="282">
        <v>-30</v>
      </c>
      <c r="AC97" s="282">
        <v>-50</v>
      </c>
      <c r="AD97" s="282">
        <v>-40</v>
      </c>
      <c r="AE97" s="282">
        <v>-60</v>
      </c>
      <c r="AF97" s="153"/>
      <c r="AG97" s="282">
        <v>817</v>
      </c>
      <c r="AH97" s="282">
        <v>517.78</v>
      </c>
      <c r="AI97" s="282">
        <v>494.77999999999986</v>
      </c>
      <c r="AJ97" s="282">
        <v>477.78</v>
      </c>
      <c r="AK97" s="283">
        <v>444.78</v>
      </c>
      <c r="AL97" s="284"/>
      <c r="AM97" s="282">
        <v>772</v>
      </c>
      <c r="AN97" s="282">
        <v>432.78</v>
      </c>
      <c r="AO97" s="282">
        <v>363.78</v>
      </c>
      <c r="AP97" s="282">
        <v>308.77999999999997</v>
      </c>
      <c r="AQ97" s="283">
        <v>176.77999999999997</v>
      </c>
    </row>
    <row r="98" spans="1:43">
      <c r="A98" s="109"/>
      <c r="B98" s="280" t="s">
        <v>183</v>
      </c>
      <c r="C98" s="281" t="s">
        <v>613</v>
      </c>
      <c r="D98" s="188">
        <v>160</v>
      </c>
      <c r="E98" s="114">
        <v>3.25</v>
      </c>
      <c r="F98" s="239" t="s">
        <v>190</v>
      </c>
      <c r="G98" s="315"/>
      <c r="I98" s="282">
        <v>102</v>
      </c>
      <c r="J98" s="282">
        <v>122</v>
      </c>
      <c r="K98" s="282">
        <v>145</v>
      </c>
      <c r="L98" s="282">
        <v>162</v>
      </c>
      <c r="M98" s="283">
        <v>195</v>
      </c>
      <c r="O98" s="282">
        <v>147</v>
      </c>
      <c r="P98" s="282">
        <v>177</v>
      </c>
      <c r="Q98" s="282">
        <v>226</v>
      </c>
      <c r="R98" s="282">
        <v>216</v>
      </c>
      <c r="S98" s="283">
        <v>216</v>
      </c>
      <c r="U98" s="282">
        <v>0</v>
      </c>
      <c r="V98" s="282">
        <v>0</v>
      </c>
      <c r="W98" s="282">
        <v>0</v>
      </c>
      <c r="X98" s="282">
        <v>0</v>
      </c>
      <c r="Y98" s="282">
        <v>0</v>
      </c>
      <c r="Z98" s="282">
        <v>0</v>
      </c>
      <c r="AA98" s="282">
        <v>0</v>
      </c>
      <c r="AB98" s="282">
        <v>0</v>
      </c>
      <c r="AC98" s="282">
        <v>0</v>
      </c>
      <c r="AD98" s="282">
        <v>0</v>
      </c>
      <c r="AE98" s="282">
        <v>0</v>
      </c>
      <c r="AF98" s="153"/>
      <c r="AG98" s="282">
        <v>57.980000000000004</v>
      </c>
      <c r="AH98" s="282">
        <v>37.980000000000004</v>
      </c>
      <c r="AI98" s="282">
        <v>14.97999999999989</v>
      </c>
      <c r="AJ98" s="282">
        <v>-2.019999999999996</v>
      </c>
      <c r="AK98" s="283">
        <v>-35.019999999999996</v>
      </c>
      <c r="AL98" s="284"/>
      <c r="AM98" s="282">
        <v>12.980000000000061</v>
      </c>
      <c r="AN98" s="282">
        <v>-17.019999999999996</v>
      </c>
      <c r="AO98" s="282">
        <v>-66.02</v>
      </c>
      <c r="AP98" s="282">
        <v>-55.989999999999981</v>
      </c>
      <c r="AQ98" s="283">
        <v>-55.989999999999981</v>
      </c>
    </row>
    <row r="99" spans="1:43">
      <c r="B99" s="273" t="s">
        <v>183</v>
      </c>
      <c r="C99" s="286" t="s">
        <v>600</v>
      </c>
      <c r="D99" s="189">
        <v>176</v>
      </c>
      <c r="E99" s="115">
        <v>3.25</v>
      </c>
      <c r="F99" s="237" t="s">
        <v>190</v>
      </c>
      <c r="G99" s="314"/>
      <c r="I99" s="267">
        <v>108</v>
      </c>
      <c r="J99" s="267">
        <v>128</v>
      </c>
      <c r="K99" s="267">
        <v>151</v>
      </c>
      <c r="L99" s="267">
        <v>168</v>
      </c>
      <c r="M99" s="268">
        <v>201</v>
      </c>
      <c r="O99" s="267">
        <v>153</v>
      </c>
      <c r="P99" s="267">
        <v>183</v>
      </c>
      <c r="Q99" s="267">
        <v>232</v>
      </c>
      <c r="R99" s="267">
        <v>237</v>
      </c>
      <c r="S99" s="268">
        <v>237</v>
      </c>
      <c r="U99" s="282">
        <v>0</v>
      </c>
      <c r="V99" s="282">
        <v>0</v>
      </c>
      <c r="W99" s="282">
        <v>0</v>
      </c>
      <c r="X99" s="282">
        <v>0</v>
      </c>
      <c r="Y99" s="282">
        <v>0</v>
      </c>
      <c r="Z99" s="282">
        <v>0</v>
      </c>
      <c r="AA99" s="282">
        <v>0</v>
      </c>
      <c r="AB99" s="282">
        <v>0</v>
      </c>
      <c r="AC99" s="282">
        <v>0</v>
      </c>
      <c r="AD99" s="282">
        <v>0</v>
      </c>
      <c r="AE99" s="282">
        <v>0</v>
      </c>
      <c r="AF99" s="153"/>
      <c r="AG99" s="282">
        <v>68.180000000000007</v>
      </c>
      <c r="AH99" s="282">
        <v>48.180000000000007</v>
      </c>
      <c r="AI99" s="282">
        <v>25.179999999999893</v>
      </c>
      <c r="AJ99" s="282">
        <v>8.1800000000000068</v>
      </c>
      <c r="AK99" s="283">
        <v>-24.819999999999993</v>
      </c>
      <c r="AL99" s="284"/>
      <c r="AM99" s="282">
        <v>23.180000000000064</v>
      </c>
      <c r="AN99" s="282">
        <v>-6.8199999999999932</v>
      </c>
      <c r="AO99" s="282">
        <v>-55.819999999999993</v>
      </c>
      <c r="AP99" s="282">
        <v>-61.09</v>
      </c>
      <c r="AQ99" s="283">
        <v>-61.09</v>
      </c>
    </row>
    <row r="100" spans="1:43">
      <c r="A100" s="109"/>
      <c r="B100" s="280" t="s">
        <v>183</v>
      </c>
      <c r="C100" s="281" t="s">
        <v>554</v>
      </c>
      <c r="D100" s="188">
        <v>245</v>
      </c>
      <c r="E100" s="114">
        <v>3.25</v>
      </c>
      <c r="F100" s="239" t="s">
        <v>190</v>
      </c>
      <c r="G100" s="315"/>
      <c r="I100" s="282">
        <v>132</v>
      </c>
      <c r="J100" s="282">
        <v>152</v>
      </c>
      <c r="K100" s="282">
        <v>175</v>
      </c>
      <c r="L100" s="282">
        <v>192</v>
      </c>
      <c r="M100" s="283">
        <v>225</v>
      </c>
      <c r="O100" s="282">
        <v>177</v>
      </c>
      <c r="P100" s="282">
        <v>207</v>
      </c>
      <c r="Q100" s="282">
        <v>256</v>
      </c>
      <c r="R100" s="282">
        <v>321</v>
      </c>
      <c r="S100" s="283">
        <v>351</v>
      </c>
      <c r="U100" s="282">
        <v>0</v>
      </c>
      <c r="V100" s="282">
        <v>0</v>
      </c>
      <c r="W100" s="282">
        <v>0</v>
      </c>
      <c r="X100" s="282">
        <v>0</v>
      </c>
      <c r="Y100" s="282">
        <v>0</v>
      </c>
      <c r="Z100" s="282">
        <v>0</v>
      </c>
      <c r="AA100" s="282">
        <v>0</v>
      </c>
      <c r="AB100" s="282">
        <v>0</v>
      </c>
      <c r="AC100" s="282">
        <v>0</v>
      </c>
      <c r="AD100" s="282">
        <v>0</v>
      </c>
      <c r="AE100" s="282">
        <v>0</v>
      </c>
      <c r="AF100" s="153"/>
      <c r="AG100" s="282">
        <v>113.32</v>
      </c>
      <c r="AH100" s="282">
        <v>93.32</v>
      </c>
      <c r="AI100" s="282">
        <v>70.319999999999879</v>
      </c>
      <c r="AJ100" s="282">
        <v>53.319999999999993</v>
      </c>
      <c r="AK100" s="283">
        <v>20.319999999999993</v>
      </c>
      <c r="AL100" s="284"/>
      <c r="AM100" s="282">
        <v>68.32000000000005</v>
      </c>
      <c r="AN100" s="282">
        <v>38.319999999999993</v>
      </c>
      <c r="AO100" s="282">
        <v>-10.680000000000007</v>
      </c>
      <c r="AP100" s="282">
        <v>-75.680000000000007</v>
      </c>
      <c r="AQ100" s="283">
        <v>-105.68</v>
      </c>
    </row>
    <row r="101" spans="1:43">
      <c r="B101" s="273" t="s">
        <v>183</v>
      </c>
      <c r="C101" s="286" t="s">
        <v>623</v>
      </c>
      <c r="D101" s="189">
        <v>1072</v>
      </c>
      <c r="E101" s="115">
        <v>3.25</v>
      </c>
      <c r="F101" s="237" t="s">
        <v>190</v>
      </c>
      <c r="G101" s="314"/>
      <c r="I101" s="267">
        <v>52</v>
      </c>
      <c r="J101" s="267">
        <v>413</v>
      </c>
      <c r="K101" s="267">
        <v>436</v>
      </c>
      <c r="L101" s="267">
        <v>453</v>
      </c>
      <c r="M101" s="268">
        <v>486</v>
      </c>
      <c r="O101" s="267">
        <v>97</v>
      </c>
      <c r="P101" s="267">
        <v>498</v>
      </c>
      <c r="Q101" s="267">
        <v>567</v>
      </c>
      <c r="R101" s="267">
        <v>622</v>
      </c>
      <c r="S101" s="268">
        <v>754</v>
      </c>
      <c r="U101" s="282">
        <v>0</v>
      </c>
      <c r="V101" s="282">
        <v>0</v>
      </c>
      <c r="W101" s="282">
        <v>0</v>
      </c>
      <c r="X101" s="282">
        <v>0</v>
      </c>
      <c r="Y101" s="282">
        <v>0</v>
      </c>
      <c r="Z101" s="282">
        <v>0</v>
      </c>
      <c r="AA101" s="282">
        <v>0</v>
      </c>
      <c r="AB101" s="282">
        <v>-30</v>
      </c>
      <c r="AC101" s="282">
        <v>-50</v>
      </c>
      <c r="AD101" s="282">
        <v>-40</v>
      </c>
      <c r="AE101" s="282">
        <v>-60</v>
      </c>
      <c r="AF101" s="153"/>
      <c r="AG101" s="282">
        <v>1020</v>
      </c>
      <c r="AH101" s="282">
        <v>659.45</v>
      </c>
      <c r="AI101" s="282">
        <v>636.44999999999993</v>
      </c>
      <c r="AJ101" s="282">
        <v>619.45000000000005</v>
      </c>
      <c r="AK101" s="283">
        <v>586.45000000000005</v>
      </c>
      <c r="AL101" s="284"/>
      <c r="AM101" s="282">
        <v>975</v>
      </c>
      <c r="AN101" s="282">
        <v>574.45000000000005</v>
      </c>
      <c r="AO101" s="282">
        <v>505.45000000000005</v>
      </c>
      <c r="AP101" s="282">
        <v>450.45000000000005</v>
      </c>
      <c r="AQ101" s="283">
        <v>318.45000000000005</v>
      </c>
    </row>
    <row r="102" spans="1:43">
      <c r="A102" s="109"/>
      <c r="B102" s="280" t="s">
        <v>183</v>
      </c>
      <c r="C102" s="281" t="s">
        <v>550</v>
      </c>
      <c r="D102" s="188">
        <v>428</v>
      </c>
      <c r="E102" s="114">
        <v>3.25</v>
      </c>
      <c r="F102" s="239" t="s">
        <v>190</v>
      </c>
      <c r="G102" s="315"/>
      <c r="I102" s="282">
        <v>209</v>
      </c>
      <c r="J102" s="282">
        <v>229</v>
      </c>
      <c r="K102" s="282">
        <v>252</v>
      </c>
      <c r="L102" s="282">
        <v>269</v>
      </c>
      <c r="M102" s="283">
        <v>302</v>
      </c>
      <c r="O102" s="282">
        <v>254</v>
      </c>
      <c r="P102" s="282">
        <v>284</v>
      </c>
      <c r="Q102" s="282">
        <v>333</v>
      </c>
      <c r="R102" s="282">
        <v>428</v>
      </c>
      <c r="S102" s="283">
        <v>510</v>
      </c>
      <c r="U102" s="282">
        <v>0</v>
      </c>
      <c r="V102" s="282">
        <v>0</v>
      </c>
      <c r="W102" s="282">
        <v>0</v>
      </c>
      <c r="X102" s="282">
        <v>0</v>
      </c>
      <c r="Y102" s="282">
        <v>0</v>
      </c>
      <c r="Z102" s="282">
        <v>0</v>
      </c>
      <c r="AA102" s="282">
        <v>0</v>
      </c>
      <c r="AB102" s="282">
        <v>0</v>
      </c>
      <c r="AC102" s="282">
        <v>0</v>
      </c>
      <c r="AD102" s="282">
        <v>0</v>
      </c>
      <c r="AE102" s="282">
        <v>0</v>
      </c>
      <c r="AF102" s="153"/>
      <c r="AG102" s="282">
        <v>219.39</v>
      </c>
      <c r="AH102" s="282">
        <v>199.39</v>
      </c>
      <c r="AI102" s="282">
        <v>176.38999999999987</v>
      </c>
      <c r="AJ102" s="282">
        <v>159.38999999999999</v>
      </c>
      <c r="AK102" s="283">
        <v>126.38999999999999</v>
      </c>
      <c r="AL102" s="284"/>
      <c r="AM102" s="282">
        <v>174.39000000000004</v>
      </c>
      <c r="AN102" s="282">
        <v>144.38999999999999</v>
      </c>
      <c r="AO102" s="282">
        <v>95.389999999999986</v>
      </c>
      <c r="AP102" s="282">
        <v>0.38999999999998636</v>
      </c>
      <c r="AQ102" s="283">
        <v>-81.610000000000014</v>
      </c>
    </row>
    <row r="103" spans="1:43">
      <c r="B103" s="273" t="s">
        <v>183</v>
      </c>
      <c r="C103" s="286" t="s">
        <v>601</v>
      </c>
      <c r="D103" s="189">
        <v>364</v>
      </c>
      <c r="E103" s="115">
        <v>3.25</v>
      </c>
      <c r="F103" s="237" t="s">
        <v>190</v>
      </c>
      <c r="G103" s="314"/>
      <c r="I103" s="267">
        <v>158</v>
      </c>
      <c r="J103" s="267">
        <v>178</v>
      </c>
      <c r="K103" s="267">
        <v>201</v>
      </c>
      <c r="L103" s="267">
        <v>218</v>
      </c>
      <c r="M103" s="268">
        <v>251</v>
      </c>
      <c r="O103" s="267">
        <v>203</v>
      </c>
      <c r="P103" s="267">
        <v>233</v>
      </c>
      <c r="Q103" s="267">
        <v>282</v>
      </c>
      <c r="R103" s="267">
        <v>347</v>
      </c>
      <c r="S103" s="268">
        <v>459</v>
      </c>
      <c r="U103" s="282">
        <v>0</v>
      </c>
      <c r="V103" s="282">
        <v>0</v>
      </c>
      <c r="W103" s="282">
        <v>0</v>
      </c>
      <c r="X103" s="282">
        <v>0</v>
      </c>
      <c r="Y103" s="282">
        <v>0</v>
      </c>
      <c r="Z103" s="282">
        <v>0</v>
      </c>
      <c r="AA103" s="282">
        <v>0</v>
      </c>
      <c r="AB103" s="282">
        <v>0</v>
      </c>
      <c r="AC103" s="282">
        <v>0</v>
      </c>
      <c r="AD103" s="282">
        <v>0</v>
      </c>
      <c r="AE103" s="282">
        <v>0</v>
      </c>
      <c r="AF103" s="153"/>
      <c r="AG103" s="282">
        <v>206.2</v>
      </c>
      <c r="AH103" s="282">
        <v>186.2</v>
      </c>
      <c r="AI103" s="282">
        <v>163.19999999999987</v>
      </c>
      <c r="AJ103" s="282">
        <v>146.19999999999999</v>
      </c>
      <c r="AK103" s="283">
        <v>113.19999999999999</v>
      </c>
      <c r="AL103" s="284"/>
      <c r="AM103" s="282">
        <v>161.20000000000005</v>
      </c>
      <c r="AN103" s="282">
        <v>131.19999999999999</v>
      </c>
      <c r="AO103" s="282">
        <v>82.199999999999989</v>
      </c>
      <c r="AP103" s="282">
        <v>17.199999999999989</v>
      </c>
      <c r="AQ103" s="283">
        <v>-94.800000000000011</v>
      </c>
    </row>
    <row r="104" spans="1:43">
      <c r="A104" s="109"/>
      <c r="B104" s="280" t="s">
        <v>183</v>
      </c>
      <c r="C104" s="281" t="s">
        <v>551</v>
      </c>
      <c r="D104" s="188">
        <v>524</v>
      </c>
      <c r="E104" s="114">
        <v>3.25</v>
      </c>
      <c r="F104" s="239" t="s">
        <v>190</v>
      </c>
      <c r="G104" s="315"/>
      <c r="I104" s="282">
        <v>214</v>
      </c>
      <c r="J104" s="282">
        <v>234</v>
      </c>
      <c r="K104" s="282">
        <v>257</v>
      </c>
      <c r="L104" s="282">
        <v>274</v>
      </c>
      <c r="M104" s="283">
        <v>307</v>
      </c>
      <c r="O104" s="282">
        <v>259</v>
      </c>
      <c r="P104" s="282">
        <v>319</v>
      </c>
      <c r="Q104" s="282">
        <v>388</v>
      </c>
      <c r="R104" s="282">
        <v>443</v>
      </c>
      <c r="S104" s="283">
        <v>584</v>
      </c>
      <c r="U104" s="282">
        <v>0</v>
      </c>
      <c r="V104" s="282">
        <v>0</v>
      </c>
      <c r="W104" s="282">
        <v>0</v>
      </c>
      <c r="X104" s="282">
        <v>0</v>
      </c>
      <c r="Y104" s="282">
        <v>0</v>
      </c>
      <c r="Z104" s="282">
        <v>0</v>
      </c>
      <c r="AA104" s="282">
        <v>0</v>
      </c>
      <c r="AB104" s="282">
        <v>-30</v>
      </c>
      <c r="AC104" s="282">
        <v>-50</v>
      </c>
      <c r="AD104" s="282">
        <v>-40</v>
      </c>
      <c r="AE104" s="282">
        <v>-60</v>
      </c>
      <c r="AF104" s="153"/>
      <c r="AG104" s="282">
        <v>310.42</v>
      </c>
      <c r="AH104" s="282">
        <v>290.42</v>
      </c>
      <c r="AI104" s="282">
        <v>267.4199999999999</v>
      </c>
      <c r="AJ104" s="282">
        <v>250.42000000000002</v>
      </c>
      <c r="AK104" s="283">
        <v>217.42000000000002</v>
      </c>
      <c r="AL104" s="284"/>
      <c r="AM104" s="282">
        <v>265.42000000000007</v>
      </c>
      <c r="AN104" s="282">
        <v>205.42000000000002</v>
      </c>
      <c r="AO104" s="282">
        <v>136.42000000000002</v>
      </c>
      <c r="AP104" s="282">
        <v>81.420000000000016</v>
      </c>
      <c r="AQ104" s="283">
        <v>-59.579999999999984</v>
      </c>
    </row>
    <row r="105" spans="1:43">
      <c r="B105" s="273" t="s">
        <v>64</v>
      </c>
      <c r="C105" s="286" t="s">
        <v>383</v>
      </c>
      <c r="D105" s="189">
        <v>74</v>
      </c>
      <c r="E105" s="115">
        <v>1.1000000000000001</v>
      </c>
      <c r="F105" s="237" t="s">
        <v>284</v>
      </c>
      <c r="G105" s="314"/>
      <c r="I105" s="267">
        <v>74</v>
      </c>
      <c r="J105" s="267">
        <v>74</v>
      </c>
      <c r="K105" s="267">
        <v>74</v>
      </c>
      <c r="L105" s="267">
        <v>74</v>
      </c>
      <c r="M105" s="268">
        <v>74</v>
      </c>
      <c r="O105" s="267">
        <v>74</v>
      </c>
      <c r="P105" s="267">
        <v>0</v>
      </c>
      <c r="Q105" s="267">
        <v>0</v>
      </c>
      <c r="R105" s="267">
        <v>0</v>
      </c>
      <c r="S105" s="268">
        <v>0</v>
      </c>
      <c r="U105" s="282">
        <v>0</v>
      </c>
      <c r="V105" s="282">
        <v>0</v>
      </c>
      <c r="W105" s="282">
        <v>0</v>
      </c>
      <c r="X105" s="282">
        <v>0</v>
      </c>
      <c r="Y105" s="282">
        <v>0</v>
      </c>
      <c r="Z105" s="282">
        <v>0</v>
      </c>
      <c r="AA105" s="282">
        <v>0</v>
      </c>
      <c r="AB105" s="282">
        <v>0</v>
      </c>
      <c r="AC105" s="282">
        <v>0</v>
      </c>
      <c r="AD105" s="282">
        <v>0</v>
      </c>
      <c r="AE105" s="282">
        <v>0</v>
      </c>
      <c r="AF105" s="153"/>
      <c r="AG105" s="282">
        <v>0</v>
      </c>
      <c r="AH105" s="282">
        <v>0</v>
      </c>
      <c r="AI105" s="282">
        <v>0</v>
      </c>
      <c r="AJ105" s="282">
        <v>0</v>
      </c>
      <c r="AK105" s="283">
        <v>0</v>
      </c>
      <c r="AL105" s="284"/>
      <c r="AM105" s="282">
        <v>0</v>
      </c>
      <c r="AN105" s="282" t="s">
        <v>15</v>
      </c>
      <c r="AO105" s="282" t="s">
        <v>15</v>
      </c>
      <c r="AP105" s="282" t="s">
        <v>15</v>
      </c>
      <c r="AQ105" s="283" t="s">
        <v>15</v>
      </c>
    </row>
    <row r="106" spans="1:43">
      <c r="A106" s="109"/>
      <c r="B106" s="280" t="s">
        <v>64</v>
      </c>
      <c r="C106" s="281" t="s">
        <v>555</v>
      </c>
      <c r="D106" s="188">
        <v>70</v>
      </c>
      <c r="E106" s="114">
        <v>1.1000000000000001</v>
      </c>
      <c r="F106" s="239" t="s">
        <v>284</v>
      </c>
      <c r="G106" s="315"/>
      <c r="I106" s="282">
        <v>70</v>
      </c>
      <c r="J106" s="282">
        <v>0</v>
      </c>
      <c r="K106" s="282">
        <v>0</v>
      </c>
      <c r="L106" s="282">
        <v>0</v>
      </c>
      <c r="M106" s="283">
        <v>0</v>
      </c>
      <c r="O106" s="282">
        <v>70</v>
      </c>
      <c r="P106" s="282">
        <v>0</v>
      </c>
      <c r="Q106" s="282">
        <v>0</v>
      </c>
      <c r="R106" s="282">
        <v>0</v>
      </c>
      <c r="S106" s="283">
        <v>0</v>
      </c>
      <c r="U106" s="282">
        <v>0</v>
      </c>
      <c r="V106" s="282">
        <v>0</v>
      </c>
      <c r="W106" s="282">
        <v>0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153"/>
      <c r="AG106" s="282">
        <v>0</v>
      </c>
      <c r="AH106" s="282" t="s">
        <v>15</v>
      </c>
      <c r="AI106" s="282" t="s">
        <v>15</v>
      </c>
      <c r="AJ106" s="282" t="s">
        <v>15</v>
      </c>
      <c r="AK106" s="283" t="s">
        <v>15</v>
      </c>
      <c r="AL106" s="284"/>
      <c r="AM106" s="282">
        <v>0</v>
      </c>
      <c r="AN106" s="282" t="s">
        <v>15</v>
      </c>
      <c r="AO106" s="282" t="s">
        <v>15</v>
      </c>
      <c r="AP106" s="282" t="s">
        <v>15</v>
      </c>
      <c r="AQ106" s="283" t="s">
        <v>15</v>
      </c>
    </row>
    <row r="107" spans="1:43">
      <c r="B107" s="273" t="s">
        <v>64</v>
      </c>
      <c r="C107" s="286" t="s">
        <v>556</v>
      </c>
      <c r="D107" s="189">
        <v>0</v>
      </c>
      <c r="E107" s="115">
        <v>1.1000000000000001</v>
      </c>
      <c r="F107" s="237" t="s">
        <v>284</v>
      </c>
      <c r="G107" s="314"/>
      <c r="I107" s="267">
        <v>0</v>
      </c>
      <c r="J107" s="267">
        <v>0</v>
      </c>
      <c r="K107" s="267">
        <v>0</v>
      </c>
      <c r="L107" s="267">
        <v>0</v>
      </c>
      <c r="M107" s="268">
        <v>0</v>
      </c>
      <c r="O107" s="267">
        <v>0</v>
      </c>
      <c r="P107" s="267">
        <v>0</v>
      </c>
      <c r="Q107" s="267">
        <v>0</v>
      </c>
      <c r="R107" s="267">
        <v>0</v>
      </c>
      <c r="S107" s="268">
        <v>0</v>
      </c>
      <c r="U107" s="282">
        <v>0</v>
      </c>
      <c r="V107" s="282">
        <v>0</v>
      </c>
      <c r="W107" s="282">
        <v>0</v>
      </c>
      <c r="X107" s="282">
        <v>0</v>
      </c>
      <c r="Y107" s="282">
        <v>0</v>
      </c>
      <c r="Z107" s="282">
        <v>0</v>
      </c>
      <c r="AA107" s="282">
        <v>0</v>
      </c>
      <c r="AB107" s="282">
        <v>0</v>
      </c>
      <c r="AC107" s="282">
        <v>0</v>
      </c>
      <c r="AD107" s="282">
        <v>0</v>
      </c>
      <c r="AE107" s="282">
        <v>0</v>
      </c>
      <c r="AF107" s="153"/>
      <c r="AG107" s="282" t="s">
        <v>15</v>
      </c>
      <c r="AH107" s="282" t="s">
        <v>15</v>
      </c>
      <c r="AI107" s="282" t="s">
        <v>15</v>
      </c>
      <c r="AJ107" s="282" t="s">
        <v>15</v>
      </c>
      <c r="AK107" s="283" t="s">
        <v>15</v>
      </c>
      <c r="AL107" s="284"/>
      <c r="AM107" s="282" t="s">
        <v>15</v>
      </c>
      <c r="AN107" s="282" t="s">
        <v>15</v>
      </c>
      <c r="AO107" s="282" t="s">
        <v>15</v>
      </c>
      <c r="AP107" s="282" t="s">
        <v>15</v>
      </c>
      <c r="AQ107" s="283" t="s">
        <v>15</v>
      </c>
    </row>
    <row r="108" spans="1:43">
      <c r="A108" s="109"/>
      <c r="B108" s="280" t="s">
        <v>64</v>
      </c>
      <c r="C108" s="281" t="s">
        <v>331</v>
      </c>
      <c r="D108" s="191">
        <v>104</v>
      </c>
      <c r="E108" s="300">
        <v>1.1000000000000001</v>
      </c>
      <c r="F108" s="239" t="s">
        <v>284</v>
      </c>
      <c r="G108" s="315"/>
      <c r="I108" s="282">
        <v>80</v>
      </c>
      <c r="J108" s="282">
        <v>0</v>
      </c>
      <c r="K108" s="282">
        <v>0</v>
      </c>
      <c r="L108" s="282">
        <v>0</v>
      </c>
      <c r="M108" s="283">
        <v>0</v>
      </c>
      <c r="O108" s="282">
        <v>80</v>
      </c>
      <c r="P108" s="282">
        <v>0</v>
      </c>
      <c r="Q108" s="282">
        <v>0</v>
      </c>
      <c r="R108" s="282">
        <v>0</v>
      </c>
      <c r="S108" s="283">
        <v>0</v>
      </c>
      <c r="U108" s="282">
        <v>0</v>
      </c>
      <c r="V108" s="282">
        <v>0</v>
      </c>
      <c r="W108" s="282">
        <v>0</v>
      </c>
      <c r="X108" s="282">
        <v>0</v>
      </c>
      <c r="Y108" s="282">
        <v>0</v>
      </c>
      <c r="Z108" s="282">
        <v>0</v>
      </c>
      <c r="AA108" s="282">
        <v>0</v>
      </c>
      <c r="AB108" s="282">
        <v>0</v>
      </c>
      <c r="AC108" s="282">
        <v>0</v>
      </c>
      <c r="AD108" s="282">
        <v>0</v>
      </c>
      <c r="AE108" s="282">
        <v>0</v>
      </c>
      <c r="AF108" s="153"/>
      <c r="AG108" s="282">
        <v>24</v>
      </c>
      <c r="AH108" s="282" t="s">
        <v>15</v>
      </c>
      <c r="AI108" s="282" t="s">
        <v>15</v>
      </c>
      <c r="AJ108" s="282" t="s">
        <v>15</v>
      </c>
      <c r="AK108" s="283" t="s">
        <v>15</v>
      </c>
      <c r="AL108" s="284"/>
      <c r="AM108" s="282">
        <v>24</v>
      </c>
      <c r="AN108" s="282" t="s">
        <v>15</v>
      </c>
      <c r="AO108" s="282" t="s">
        <v>15</v>
      </c>
      <c r="AP108" s="282" t="s">
        <v>15</v>
      </c>
      <c r="AQ108" s="283" t="s">
        <v>15</v>
      </c>
    </row>
    <row r="109" spans="1:43">
      <c r="B109" s="273" t="s">
        <v>64</v>
      </c>
      <c r="C109" s="286" t="s">
        <v>332</v>
      </c>
      <c r="D109" s="189">
        <v>0</v>
      </c>
      <c r="E109" s="115">
        <v>1.1000000000000001</v>
      </c>
      <c r="F109" s="237" t="s">
        <v>284</v>
      </c>
      <c r="G109" s="314"/>
      <c r="I109" s="267">
        <v>0</v>
      </c>
      <c r="J109" s="267">
        <v>0</v>
      </c>
      <c r="K109" s="267">
        <v>0</v>
      </c>
      <c r="L109" s="267">
        <v>0</v>
      </c>
      <c r="M109" s="268">
        <v>0</v>
      </c>
      <c r="O109" s="267">
        <v>0</v>
      </c>
      <c r="P109" s="267">
        <v>0</v>
      </c>
      <c r="Q109" s="267">
        <v>0</v>
      </c>
      <c r="R109" s="267">
        <v>0</v>
      </c>
      <c r="S109" s="268">
        <v>0</v>
      </c>
      <c r="U109" s="282">
        <v>0</v>
      </c>
      <c r="V109" s="282">
        <v>0</v>
      </c>
      <c r="W109" s="282">
        <v>0</v>
      </c>
      <c r="X109" s="282">
        <v>0</v>
      </c>
      <c r="Y109" s="282">
        <v>0</v>
      </c>
      <c r="Z109" s="282">
        <v>0</v>
      </c>
      <c r="AA109" s="282">
        <v>0</v>
      </c>
      <c r="AB109" s="282">
        <v>0</v>
      </c>
      <c r="AC109" s="282">
        <v>0</v>
      </c>
      <c r="AD109" s="282">
        <v>0</v>
      </c>
      <c r="AE109" s="282">
        <v>0</v>
      </c>
      <c r="AF109" s="153"/>
      <c r="AG109" s="282" t="s">
        <v>15</v>
      </c>
      <c r="AH109" s="282" t="s">
        <v>15</v>
      </c>
      <c r="AI109" s="282" t="s">
        <v>15</v>
      </c>
      <c r="AJ109" s="282" t="s">
        <v>15</v>
      </c>
      <c r="AK109" s="283" t="s">
        <v>15</v>
      </c>
      <c r="AL109" s="284"/>
      <c r="AM109" s="282" t="s">
        <v>15</v>
      </c>
      <c r="AN109" s="282" t="s">
        <v>15</v>
      </c>
      <c r="AO109" s="282" t="s">
        <v>15</v>
      </c>
      <c r="AP109" s="282" t="s">
        <v>15</v>
      </c>
      <c r="AQ109" s="283" t="s">
        <v>15</v>
      </c>
    </row>
    <row r="110" spans="1:43">
      <c r="A110" s="109"/>
      <c r="B110" s="280" t="s">
        <v>64</v>
      </c>
      <c r="C110" s="281" t="s">
        <v>196</v>
      </c>
      <c r="D110" s="191">
        <v>0</v>
      </c>
      <c r="E110" s="300">
        <v>1.1000000000000001</v>
      </c>
      <c r="F110" s="239" t="s">
        <v>284</v>
      </c>
      <c r="G110" s="315"/>
      <c r="I110" s="282">
        <v>0</v>
      </c>
      <c r="J110" s="282">
        <v>0</v>
      </c>
      <c r="K110" s="282">
        <v>0</v>
      </c>
      <c r="L110" s="282">
        <v>0</v>
      </c>
      <c r="M110" s="283">
        <v>0</v>
      </c>
      <c r="O110" s="282">
        <v>0</v>
      </c>
      <c r="P110" s="282">
        <v>0</v>
      </c>
      <c r="Q110" s="282">
        <v>0</v>
      </c>
      <c r="R110" s="282">
        <v>0</v>
      </c>
      <c r="S110" s="283">
        <v>0</v>
      </c>
      <c r="U110" s="282">
        <v>0</v>
      </c>
      <c r="V110" s="282">
        <v>0</v>
      </c>
      <c r="W110" s="282">
        <v>0</v>
      </c>
      <c r="X110" s="282">
        <v>0</v>
      </c>
      <c r="Y110" s="282">
        <v>0</v>
      </c>
      <c r="Z110" s="282">
        <v>0</v>
      </c>
      <c r="AA110" s="282">
        <v>0</v>
      </c>
      <c r="AB110" s="282">
        <v>0</v>
      </c>
      <c r="AC110" s="282">
        <v>0</v>
      </c>
      <c r="AD110" s="282">
        <v>0</v>
      </c>
      <c r="AE110" s="282">
        <v>0</v>
      </c>
      <c r="AF110" s="153"/>
      <c r="AG110" s="282" t="s">
        <v>15</v>
      </c>
      <c r="AH110" s="282" t="s">
        <v>15</v>
      </c>
      <c r="AI110" s="282" t="s">
        <v>15</v>
      </c>
      <c r="AJ110" s="282" t="s">
        <v>15</v>
      </c>
      <c r="AK110" s="283" t="s">
        <v>15</v>
      </c>
      <c r="AL110" s="284"/>
      <c r="AM110" s="282" t="s">
        <v>15</v>
      </c>
      <c r="AN110" s="282" t="s">
        <v>15</v>
      </c>
      <c r="AO110" s="282" t="s">
        <v>15</v>
      </c>
      <c r="AP110" s="282" t="s">
        <v>15</v>
      </c>
      <c r="AQ110" s="283" t="s">
        <v>15</v>
      </c>
    </row>
    <row r="111" spans="1:43">
      <c r="B111" s="273" t="s">
        <v>64</v>
      </c>
      <c r="C111" s="123" t="s">
        <v>633</v>
      </c>
      <c r="D111" s="189">
        <v>115</v>
      </c>
      <c r="E111" s="115">
        <v>1.1000000000000001</v>
      </c>
      <c r="F111" s="237" t="s">
        <v>284</v>
      </c>
      <c r="G111" s="314"/>
      <c r="I111" s="267">
        <v>77</v>
      </c>
      <c r="J111" s="267">
        <v>0</v>
      </c>
      <c r="K111" s="267">
        <v>0</v>
      </c>
      <c r="L111" s="267">
        <v>0</v>
      </c>
      <c r="M111" s="268">
        <v>0</v>
      </c>
      <c r="O111" s="267">
        <v>77</v>
      </c>
      <c r="P111" s="267">
        <v>0</v>
      </c>
      <c r="Q111" s="267">
        <v>0</v>
      </c>
      <c r="R111" s="267">
        <v>0</v>
      </c>
      <c r="S111" s="268">
        <v>0</v>
      </c>
      <c r="U111" s="282">
        <v>0</v>
      </c>
      <c r="V111" s="282">
        <v>0</v>
      </c>
      <c r="W111" s="282">
        <v>0</v>
      </c>
      <c r="X111" s="282">
        <v>0</v>
      </c>
      <c r="Y111" s="282">
        <v>0</v>
      </c>
      <c r="Z111" s="282">
        <v>0</v>
      </c>
      <c r="AA111" s="282">
        <v>0</v>
      </c>
      <c r="AB111" s="282">
        <v>0</v>
      </c>
      <c r="AC111" s="282">
        <v>0</v>
      </c>
      <c r="AD111" s="282">
        <v>0</v>
      </c>
      <c r="AE111" s="282">
        <v>0</v>
      </c>
      <c r="AF111" s="153"/>
      <c r="AG111" s="282">
        <v>38</v>
      </c>
      <c r="AH111" s="282" t="s">
        <v>15</v>
      </c>
      <c r="AI111" s="282" t="s">
        <v>15</v>
      </c>
      <c r="AJ111" s="282" t="s">
        <v>15</v>
      </c>
      <c r="AK111" s="283" t="s">
        <v>15</v>
      </c>
      <c r="AL111" s="284"/>
      <c r="AM111" s="282">
        <v>38</v>
      </c>
      <c r="AN111" s="282" t="s">
        <v>15</v>
      </c>
      <c r="AO111" s="282" t="s">
        <v>15</v>
      </c>
      <c r="AP111" s="282" t="s">
        <v>15</v>
      </c>
      <c r="AQ111" s="283" t="s">
        <v>15</v>
      </c>
    </row>
    <row r="112" spans="1:43">
      <c r="A112" s="109"/>
      <c r="B112" s="280" t="s">
        <v>64</v>
      </c>
      <c r="C112" s="118" t="s">
        <v>634</v>
      </c>
      <c r="D112" s="191">
        <v>0</v>
      </c>
      <c r="E112" s="300">
        <v>1.1000000000000001</v>
      </c>
      <c r="F112" s="239" t="s">
        <v>284</v>
      </c>
      <c r="G112" s="315"/>
      <c r="I112" s="282">
        <v>0</v>
      </c>
      <c r="J112" s="282">
        <v>0</v>
      </c>
      <c r="K112" s="282">
        <v>0</v>
      </c>
      <c r="L112" s="282">
        <v>0</v>
      </c>
      <c r="M112" s="283">
        <v>0</v>
      </c>
      <c r="O112" s="282">
        <v>0</v>
      </c>
      <c r="P112" s="282">
        <v>0</v>
      </c>
      <c r="Q112" s="282">
        <v>0</v>
      </c>
      <c r="R112" s="282">
        <v>0</v>
      </c>
      <c r="S112" s="283">
        <v>0</v>
      </c>
      <c r="U112" s="282">
        <v>0</v>
      </c>
      <c r="V112" s="282">
        <v>0</v>
      </c>
      <c r="W112" s="282">
        <v>0</v>
      </c>
      <c r="X112" s="282">
        <v>0</v>
      </c>
      <c r="Y112" s="282">
        <v>0</v>
      </c>
      <c r="Z112" s="282">
        <v>0</v>
      </c>
      <c r="AA112" s="282">
        <v>0</v>
      </c>
      <c r="AB112" s="282">
        <v>0</v>
      </c>
      <c r="AC112" s="282">
        <v>0</v>
      </c>
      <c r="AD112" s="282">
        <v>0</v>
      </c>
      <c r="AE112" s="282">
        <v>0</v>
      </c>
      <c r="AF112" s="153"/>
      <c r="AG112" s="282" t="s">
        <v>15</v>
      </c>
      <c r="AH112" s="282" t="s">
        <v>15</v>
      </c>
      <c r="AI112" s="282" t="s">
        <v>15</v>
      </c>
      <c r="AJ112" s="282" t="s">
        <v>15</v>
      </c>
      <c r="AK112" s="283" t="s">
        <v>15</v>
      </c>
      <c r="AL112" s="284"/>
      <c r="AM112" s="282" t="s">
        <v>15</v>
      </c>
      <c r="AN112" s="282" t="s">
        <v>15</v>
      </c>
      <c r="AO112" s="282" t="s">
        <v>15</v>
      </c>
      <c r="AP112" s="282" t="s">
        <v>15</v>
      </c>
      <c r="AQ112" s="283" t="s">
        <v>15</v>
      </c>
    </row>
    <row r="113" spans="1:43">
      <c r="B113" s="273" t="s">
        <v>116</v>
      </c>
      <c r="C113" s="286" t="s">
        <v>329</v>
      </c>
      <c r="D113" s="189">
        <v>547</v>
      </c>
      <c r="E113" s="115">
        <v>0</v>
      </c>
      <c r="F113" s="237" t="s">
        <v>460</v>
      </c>
      <c r="G113" s="314"/>
      <c r="I113" s="267">
        <v>352</v>
      </c>
      <c r="J113" s="267">
        <v>352</v>
      </c>
      <c r="K113" s="267">
        <v>352</v>
      </c>
      <c r="L113" s="267">
        <v>352</v>
      </c>
      <c r="M113" s="268">
        <v>352</v>
      </c>
      <c r="O113" s="267">
        <v>352</v>
      </c>
      <c r="P113" s="267">
        <v>352</v>
      </c>
      <c r="Q113" s="267">
        <v>352</v>
      </c>
      <c r="R113" s="267">
        <v>352</v>
      </c>
      <c r="S113" s="268">
        <v>352</v>
      </c>
      <c r="U113" s="282">
        <v>0</v>
      </c>
      <c r="V113" s="282">
        <v>0</v>
      </c>
      <c r="W113" s="282">
        <v>0</v>
      </c>
      <c r="X113" s="282">
        <v>0</v>
      </c>
      <c r="Y113" s="282">
        <v>0</v>
      </c>
      <c r="Z113" s="282">
        <v>0</v>
      </c>
      <c r="AA113" s="282">
        <v>0</v>
      </c>
      <c r="AB113" s="282">
        <v>0</v>
      </c>
      <c r="AC113" s="282">
        <v>0</v>
      </c>
      <c r="AD113" s="282">
        <v>0</v>
      </c>
      <c r="AE113" s="282">
        <v>0</v>
      </c>
      <c r="AF113" s="153"/>
      <c r="AG113" s="282">
        <v>195</v>
      </c>
      <c r="AH113" s="282">
        <v>195</v>
      </c>
      <c r="AI113" s="282">
        <v>195</v>
      </c>
      <c r="AJ113" s="282">
        <v>195</v>
      </c>
      <c r="AK113" s="283">
        <v>195</v>
      </c>
      <c r="AL113" s="284"/>
      <c r="AM113" s="282">
        <v>195</v>
      </c>
      <c r="AN113" s="282">
        <v>195</v>
      </c>
      <c r="AO113" s="282">
        <v>195</v>
      </c>
      <c r="AP113" s="282">
        <v>195</v>
      </c>
      <c r="AQ113" s="283">
        <v>195</v>
      </c>
    </row>
    <row r="114" spans="1:43">
      <c r="A114" s="109"/>
      <c r="B114" s="280" t="s">
        <v>65</v>
      </c>
      <c r="C114" s="281" t="s">
        <v>499</v>
      </c>
      <c r="D114" s="191">
        <v>186</v>
      </c>
      <c r="E114" s="300">
        <v>3.25</v>
      </c>
      <c r="F114" s="239" t="s">
        <v>190</v>
      </c>
      <c r="G114" s="315"/>
      <c r="I114" s="282">
        <v>52</v>
      </c>
      <c r="J114" s="282">
        <v>72</v>
      </c>
      <c r="K114" s="282">
        <v>95</v>
      </c>
      <c r="L114" s="282">
        <v>112</v>
      </c>
      <c r="M114" s="283">
        <v>145</v>
      </c>
      <c r="O114" s="282">
        <v>97</v>
      </c>
      <c r="P114" s="282">
        <v>127</v>
      </c>
      <c r="Q114" s="282">
        <v>176</v>
      </c>
      <c r="R114" s="282">
        <v>241</v>
      </c>
      <c r="S114" s="283">
        <v>254</v>
      </c>
      <c r="U114" s="282">
        <v>0</v>
      </c>
      <c r="V114" s="282">
        <v>0</v>
      </c>
      <c r="W114" s="282">
        <v>0</v>
      </c>
      <c r="X114" s="282">
        <v>0</v>
      </c>
      <c r="Y114" s="282">
        <v>0</v>
      </c>
      <c r="Z114" s="282">
        <v>0</v>
      </c>
      <c r="AA114" s="282">
        <v>0</v>
      </c>
      <c r="AB114" s="282">
        <v>0</v>
      </c>
      <c r="AC114" s="282">
        <v>0</v>
      </c>
      <c r="AD114" s="282">
        <v>0</v>
      </c>
      <c r="AE114" s="282">
        <v>0</v>
      </c>
      <c r="AF114" s="153"/>
      <c r="AG114" s="282">
        <v>134</v>
      </c>
      <c r="AH114" s="282">
        <v>114</v>
      </c>
      <c r="AI114" s="282">
        <v>90.999999999999886</v>
      </c>
      <c r="AJ114" s="282">
        <v>74</v>
      </c>
      <c r="AK114" s="283">
        <v>41</v>
      </c>
      <c r="AL114" s="284"/>
      <c r="AM114" s="282">
        <v>89.000000000000057</v>
      </c>
      <c r="AN114" s="282">
        <v>59</v>
      </c>
      <c r="AO114" s="282">
        <v>10</v>
      </c>
      <c r="AP114" s="282">
        <v>-55</v>
      </c>
      <c r="AQ114" s="283">
        <v>-67.875</v>
      </c>
    </row>
    <row r="115" spans="1:43">
      <c r="B115" s="273" t="s">
        <v>65</v>
      </c>
      <c r="C115" s="286" t="s">
        <v>465</v>
      </c>
      <c r="D115" s="189">
        <v>215</v>
      </c>
      <c r="E115" s="115">
        <v>3.25</v>
      </c>
      <c r="F115" s="237" t="s">
        <v>190</v>
      </c>
      <c r="G115" s="314"/>
      <c r="I115" s="267">
        <v>52</v>
      </c>
      <c r="J115" s="267">
        <v>72</v>
      </c>
      <c r="K115" s="267">
        <v>95</v>
      </c>
      <c r="L115" s="267">
        <v>112</v>
      </c>
      <c r="M115" s="268">
        <v>145</v>
      </c>
      <c r="O115" s="267">
        <v>97</v>
      </c>
      <c r="P115" s="267">
        <v>127</v>
      </c>
      <c r="Q115" s="267">
        <v>176</v>
      </c>
      <c r="R115" s="267">
        <v>241</v>
      </c>
      <c r="S115" s="268">
        <v>291</v>
      </c>
      <c r="U115" s="282">
        <v>0</v>
      </c>
      <c r="V115" s="282">
        <v>0</v>
      </c>
      <c r="W115" s="282">
        <v>0</v>
      </c>
      <c r="X115" s="282">
        <v>0</v>
      </c>
      <c r="Y115" s="282">
        <v>0</v>
      </c>
      <c r="Z115" s="282">
        <v>0</v>
      </c>
      <c r="AA115" s="282">
        <v>0</v>
      </c>
      <c r="AB115" s="282">
        <v>0</v>
      </c>
      <c r="AC115" s="282">
        <v>0</v>
      </c>
      <c r="AD115" s="282">
        <v>0</v>
      </c>
      <c r="AE115" s="282">
        <v>0</v>
      </c>
      <c r="AF115" s="153"/>
      <c r="AG115" s="282">
        <v>163</v>
      </c>
      <c r="AH115" s="282">
        <v>143</v>
      </c>
      <c r="AI115" s="282">
        <v>119.99999999999989</v>
      </c>
      <c r="AJ115" s="282">
        <v>103</v>
      </c>
      <c r="AK115" s="283">
        <v>70</v>
      </c>
      <c r="AL115" s="284"/>
      <c r="AM115" s="282">
        <v>118.00000000000006</v>
      </c>
      <c r="AN115" s="282">
        <v>88</v>
      </c>
      <c r="AO115" s="282">
        <v>39</v>
      </c>
      <c r="AP115" s="282">
        <v>-26</v>
      </c>
      <c r="AQ115" s="283">
        <v>-76.375</v>
      </c>
    </row>
    <row r="116" spans="1:43">
      <c r="A116" s="109"/>
      <c r="B116" s="280" t="s">
        <v>65</v>
      </c>
      <c r="C116" s="281" t="s">
        <v>614</v>
      </c>
      <c r="D116" s="191">
        <v>186</v>
      </c>
      <c r="E116" s="300">
        <v>3.25</v>
      </c>
      <c r="F116" s="239" t="s">
        <v>190</v>
      </c>
      <c r="G116" s="315"/>
      <c r="I116" s="282">
        <v>101</v>
      </c>
      <c r="J116" s="282">
        <v>121</v>
      </c>
      <c r="K116" s="282">
        <v>144</v>
      </c>
      <c r="L116" s="282">
        <v>161</v>
      </c>
      <c r="M116" s="283">
        <v>194</v>
      </c>
      <c r="O116" s="282">
        <v>146</v>
      </c>
      <c r="P116" s="282">
        <v>176</v>
      </c>
      <c r="Q116" s="282">
        <v>225</v>
      </c>
      <c r="R116" s="282">
        <v>256</v>
      </c>
      <c r="S116" s="283">
        <v>256</v>
      </c>
      <c r="U116" s="282">
        <v>0</v>
      </c>
      <c r="V116" s="282">
        <v>0</v>
      </c>
      <c r="W116" s="282">
        <v>0</v>
      </c>
      <c r="X116" s="282">
        <v>0</v>
      </c>
      <c r="Y116" s="282">
        <v>0</v>
      </c>
      <c r="Z116" s="282">
        <v>0</v>
      </c>
      <c r="AA116" s="282">
        <v>0</v>
      </c>
      <c r="AB116" s="282">
        <v>0</v>
      </c>
      <c r="AC116" s="282">
        <v>0</v>
      </c>
      <c r="AD116" s="282">
        <v>0</v>
      </c>
      <c r="AE116" s="282">
        <v>0</v>
      </c>
      <c r="AF116" s="153"/>
      <c r="AG116" s="282">
        <v>85.25</v>
      </c>
      <c r="AH116" s="282">
        <v>65.25</v>
      </c>
      <c r="AI116" s="282">
        <v>42.249999999999886</v>
      </c>
      <c r="AJ116" s="282">
        <v>25.25</v>
      </c>
      <c r="AK116" s="283">
        <v>-7.75</v>
      </c>
      <c r="AL116" s="284"/>
      <c r="AM116" s="282">
        <v>40.250000000000057</v>
      </c>
      <c r="AN116" s="282">
        <v>10.25</v>
      </c>
      <c r="AO116" s="282">
        <v>-38.75</v>
      </c>
      <c r="AP116" s="282">
        <v>-69.625</v>
      </c>
      <c r="AQ116" s="283">
        <v>-69.625</v>
      </c>
    </row>
    <row r="117" spans="1:43">
      <c r="B117" s="273" t="s">
        <v>65</v>
      </c>
      <c r="C117" s="286" t="s">
        <v>615</v>
      </c>
      <c r="D117" s="189">
        <v>248</v>
      </c>
      <c r="E117" s="115">
        <v>3.25</v>
      </c>
      <c r="F117" s="237" t="s">
        <v>190</v>
      </c>
      <c r="G117" s="314"/>
      <c r="I117" s="267">
        <v>150</v>
      </c>
      <c r="J117" s="267">
        <v>170</v>
      </c>
      <c r="K117" s="267">
        <v>193</v>
      </c>
      <c r="L117" s="267">
        <v>210</v>
      </c>
      <c r="M117" s="268">
        <v>243</v>
      </c>
      <c r="O117" s="267">
        <v>195</v>
      </c>
      <c r="P117" s="267">
        <v>225</v>
      </c>
      <c r="Q117" s="267">
        <v>274</v>
      </c>
      <c r="R117" s="267">
        <v>324</v>
      </c>
      <c r="S117" s="268">
        <v>324</v>
      </c>
      <c r="U117" s="282">
        <v>0</v>
      </c>
      <c r="V117" s="282">
        <v>0</v>
      </c>
      <c r="W117" s="282">
        <v>0</v>
      </c>
      <c r="X117" s="282">
        <v>0</v>
      </c>
      <c r="Y117" s="282">
        <v>0</v>
      </c>
      <c r="Z117" s="282">
        <v>0</v>
      </c>
      <c r="AA117" s="282">
        <v>0</v>
      </c>
      <c r="AB117" s="282">
        <v>0</v>
      </c>
      <c r="AC117" s="282">
        <v>0</v>
      </c>
      <c r="AD117" s="282">
        <v>0</v>
      </c>
      <c r="AE117" s="282">
        <v>0</v>
      </c>
      <c r="AF117" s="153"/>
      <c r="AG117" s="282">
        <v>98</v>
      </c>
      <c r="AH117" s="282">
        <v>78</v>
      </c>
      <c r="AI117" s="282">
        <v>54.999999999999886</v>
      </c>
      <c r="AJ117" s="282">
        <v>38</v>
      </c>
      <c r="AK117" s="283">
        <v>5</v>
      </c>
      <c r="AL117" s="284"/>
      <c r="AM117" s="282">
        <v>53.000000000000057</v>
      </c>
      <c r="AN117" s="282">
        <v>23</v>
      </c>
      <c r="AO117" s="282">
        <v>-26</v>
      </c>
      <c r="AP117" s="282">
        <v>-76</v>
      </c>
      <c r="AQ117" s="283">
        <v>-76</v>
      </c>
    </row>
    <row r="118" spans="1:43">
      <c r="A118" s="109"/>
      <c r="B118" s="280" t="s">
        <v>65</v>
      </c>
      <c r="C118" s="281" t="s">
        <v>466</v>
      </c>
      <c r="D118" s="191">
        <v>299</v>
      </c>
      <c r="E118" s="300">
        <v>3.25</v>
      </c>
      <c r="F118" s="239" t="s">
        <v>190</v>
      </c>
      <c r="G118" s="315"/>
      <c r="I118" s="282">
        <v>108</v>
      </c>
      <c r="J118" s="282">
        <v>128</v>
      </c>
      <c r="K118" s="282">
        <v>151</v>
      </c>
      <c r="L118" s="282">
        <v>168</v>
      </c>
      <c r="M118" s="283">
        <v>201</v>
      </c>
      <c r="O118" s="282">
        <v>153</v>
      </c>
      <c r="P118" s="282">
        <v>183</v>
      </c>
      <c r="Q118" s="282">
        <v>232</v>
      </c>
      <c r="R118" s="282">
        <v>299</v>
      </c>
      <c r="S118" s="283">
        <v>394</v>
      </c>
      <c r="U118" s="282">
        <v>0</v>
      </c>
      <c r="V118" s="282">
        <v>0</v>
      </c>
      <c r="W118" s="282">
        <v>0</v>
      </c>
      <c r="X118" s="282">
        <v>0</v>
      </c>
      <c r="Y118" s="282">
        <v>0</v>
      </c>
      <c r="Z118" s="282">
        <v>0</v>
      </c>
      <c r="AA118" s="282">
        <v>0</v>
      </c>
      <c r="AB118" s="282">
        <v>0</v>
      </c>
      <c r="AC118" s="282">
        <v>0</v>
      </c>
      <c r="AD118" s="282">
        <v>0</v>
      </c>
      <c r="AE118" s="282">
        <v>0</v>
      </c>
      <c r="AF118" s="153"/>
      <c r="AG118" s="282">
        <v>191.25</v>
      </c>
      <c r="AH118" s="282">
        <v>171.25</v>
      </c>
      <c r="AI118" s="282">
        <v>148.24999999999989</v>
      </c>
      <c r="AJ118" s="282">
        <v>131.25</v>
      </c>
      <c r="AK118" s="283">
        <v>98.25</v>
      </c>
      <c r="AL118" s="284"/>
      <c r="AM118" s="282">
        <v>146.25000000000006</v>
      </c>
      <c r="AN118" s="282">
        <v>116.25</v>
      </c>
      <c r="AO118" s="282">
        <v>67.25</v>
      </c>
      <c r="AP118" s="282">
        <v>0.25</v>
      </c>
      <c r="AQ118" s="283">
        <v>-94.625</v>
      </c>
    </row>
    <row r="119" spans="1:43">
      <c r="B119" s="273" t="s">
        <v>65</v>
      </c>
      <c r="C119" s="286" t="s">
        <v>513</v>
      </c>
      <c r="D119" s="189">
        <v>358</v>
      </c>
      <c r="E119" s="115">
        <v>3.25</v>
      </c>
      <c r="F119" s="237" t="s">
        <v>190</v>
      </c>
      <c r="G119" s="314"/>
      <c r="I119" s="267">
        <v>124</v>
      </c>
      <c r="J119" s="267">
        <v>144</v>
      </c>
      <c r="K119" s="267">
        <v>167</v>
      </c>
      <c r="L119" s="267">
        <v>184</v>
      </c>
      <c r="M119" s="268">
        <v>217</v>
      </c>
      <c r="O119" s="267">
        <v>169</v>
      </c>
      <c r="P119" s="267">
        <v>199</v>
      </c>
      <c r="Q119" s="267">
        <v>248</v>
      </c>
      <c r="R119" s="267">
        <v>343</v>
      </c>
      <c r="S119" s="268">
        <v>425</v>
      </c>
      <c r="U119" s="282">
        <v>0</v>
      </c>
      <c r="V119" s="282">
        <v>0</v>
      </c>
      <c r="W119" s="282">
        <v>0</v>
      </c>
      <c r="X119" s="282">
        <v>0</v>
      </c>
      <c r="Y119" s="282">
        <v>0</v>
      </c>
      <c r="Z119" s="282">
        <v>0</v>
      </c>
      <c r="AA119" s="282">
        <v>0</v>
      </c>
      <c r="AB119" s="282">
        <v>0</v>
      </c>
      <c r="AC119" s="282">
        <v>0</v>
      </c>
      <c r="AD119" s="282">
        <v>0</v>
      </c>
      <c r="AE119" s="282">
        <v>0</v>
      </c>
      <c r="AF119" s="153"/>
      <c r="AG119" s="282">
        <v>234.25</v>
      </c>
      <c r="AH119" s="282">
        <v>214.25</v>
      </c>
      <c r="AI119" s="282">
        <v>191.24999999999989</v>
      </c>
      <c r="AJ119" s="282">
        <v>174.25</v>
      </c>
      <c r="AK119" s="283">
        <v>141.25</v>
      </c>
      <c r="AL119" s="284"/>
      <c r="AM119" s="282">
        <v>189.25000000000006</v>
      </c>
      <c r="AN119" s="282">
        <v>159.25</v>
      </c>
      <c r="AO119" s="282">
        <v>110.25</v>
      </c>
      <c r="AP119" s="282">
        <v>15.25</v>
      </c>
      <c r="AQ119" s="283">
        <v>-66.75</v>
      </c>
    </row>
    <row r="120" spans="1:43">
      <c r="A120" s="109"/>
      <c r="B120" s="280" t="s">
        <v>65</v>
      </c>
      <c r="C120" s="281" t="s">
        <v>514</v>
      </c>
      <c r="D120" s="191">
        <v>442</v>
      </c>
      <c r="E120" s="114">
        <v>3.25</v>
      </c>
      <c r="F120" s="515" t="s">
        <v>190</v>
      </c>
      <c r="G120" s="345"/>
      <c r="I120" s="282">
        <v>209</v>
      </c>
      <c r="J120" s="282">
        <v>229</v>
      </c>
      <c r="K120" s="282">
        <v>252</v>
      </c>
      <c r="L120" s="282">
        <v>269</v>
      </c>
      <c r="M120" s="283">
        <v>302</v>
      </c>
      <c r="O120" s="282">
        <v>254</v>
      </c>
      <c r="P120" s="282">
        <v>284</v>
      </c>
      <c r="Q120" s="282">
        <v>333</v>
      </c>
      <c r="R120" s="282">
        <v>412</v>
      </c>
      <c r="S120" s="283">
        <v>510</v>
      </c>
      <c r="U120" s="282">
        <v>0</v>
      </c>
      <c r="V120" s="282">
        <v>0</v>
      </c>
      <c r="W120" s="282">
        <v>0</v>
      </c>
      <c r="X120" s="282">
        <v>0</v>
      </c>
      <c r="Y120" s="282">
        <v>0</v>
      </c>
      <c r="Z120" s="282">
        <v>0</v>
      </c>
      <c r="AA120" s="282">
        <v>0</v>
      </c>
      <c r="AB120" s="282">
        <v>0</v>
      </c>
      <c r="AC120" s="282">
        <v>0</v>
      </c>
      <c r="AD120" s="282">
        <v>0</v>
      </c>
      <c r="AE120" s="282">
        <v>0</v>
      </c>
      <c r="AF120" s="153"/>
      <c r="AG120" s="282">
        <v>233.25</v>
      </c>
      <c r="AH120" s="282">
        <v>213.25</v>
      </c>
      <c r="AI120" s="282">
        <v>190.24999999999989</v>
      </c>
      <c r="AJ120" s="282">
        <v>173.25</v>
      </c>
      <c r="AK120" s="283">
        <v>140.25</v>
      </c>
      <c r="AL120" s="284"/>
      <c r="AM120" s="282">
        <v>188.25000000000006</v>
      </c>
      <c r="AN120" s="282">
        <v>158.25</v>
      </c>
      <c r="AO120" s="282">
        <v>109.25</v>
      </c>
      <c r="AP120" s="282">
        <v>30.25</v>
      </c>
      <c r="AQ120" s="283">
        <v>-67.75</v>
      </c>
    </row>
    <row r="121" spans="1:43">
      <c r="B121" s="273" t="s">
        <v>65</v>
      </c>
      <c r="C121" s="286" t="s">
        <v>414</v>
      </c>
      <c r="D121" s="189">
        <v>533</v>
      </c>
      <c r="E121" s="115">
        <v>5.33</v>
      </c>
      <c r="F121" s="237" t="s">
        <v>193</v>
      </c>
      <c r="G121" s="314"/>
      <c r="I121" s="267">
        <v>209</v>
      </c>
      <c r="J121" s="267">
        <v>229</v>
      </c>
      <c r="K121" s="267">
        <v>252</v>
      </c>
      <c r="L121" s="267">
        <v>269</v>
      </c>
      <c r="M121" s="268">
        <v>302</v>
      </c>
      <c r="O121" s="267">
        <v>254</v>
      </c>
      <c r="P121" s="267">
        <v>314</v>
      </c>
      <c r="Q121" s="267">
        <v>383</v>
      </c>
      <c r="R121" s="267">
        <v>479</v>
      </c>
      <c r="S121" s="268">
        <v>593</v>
      </c>
      <c r="U121" s="282">
        <v>0</v>
      </c>
      <c r="V121" s="282">
        <v>0</v>
      </c>
      <c r="W121" s="282">
        <v>0</v>
      </c>
      <c r="X121" s="282">
        <v>0</v>
      </c>
      <c r="Y121" s="282">
        <v>0</v>
      </c>
      <c r="Z121" s="282">
        <v>0</v>
      </c>
      <c r="AA121" s="282">
        <v>0</v>
      </c>
      <c r="AB121" s="282">
        <v>-30</v>
      </c>
      <c r="AC121" s="282">
        <v>-50</v>
      </c>
      <c r="AD121" s="282">
        <v>-40</v>
      </c>
      <c r="AE121" s="282">
        <v>-60</v>
      </c>
      <c r="AF121" s="153"/>
      <c r="AG121" s="282">
        <v>324.12</v>
      </c>
      <c r="AH121" s="282">
        <v>304.12</v>
      </c>
      <c r="AI121" s="282">
        <v>281.11999999999989</v>
      </c>
      <c r="AJ121" s="282">
        <v>264.12</v>
      </c>
      <c r="AK121" s="283">
        <v>231.12</v>
      </c>
      <c r="AL121" s="284"/>
      <c r="AM121" s="282">
        <v>279.12000000000006</v>
      </c>
      <c r="AN121" s="282">
        <v>219.12</v>
      </c>
      <c r="AO121" s="282">
        <v>150.12</v>
      </c>
      <c r="AP121" s="282">
        <v>54.120000000000005</v>
      </c>
      <c r="AQ121" s="283">
        <v>-59.879999999999995</v>
      </c>
    </row>
    <row r="122" spans="1:43">
      <c r="A122" s="109"/>
      <c r="B122" s="280" t="s">
        <v>65</v>
      </c>
      <c r="C122" s="118" t="s">
        <v>635</v>
      </c>
      <c r="D122" s="191">
        <v>921</v>
      </c>
      <c r="E122" s="114">
        <v>5.33</v>
      </c>
      <c r="F122" s="515" t="s">
        <v>193</v>
      </c>
      <c r="G122" s="345"/>
      <c r="I122" s="282">
        <v>52</v>
      </c>
      <c r="J122" s="282">
        <v>307</v>
      </c>
      <c r="K122" s="282">
        <v>330</v>
      </c>
      <c r="L122" s="282">
        <v>347</v>
      </c>
      <c r="M122" s="283">
        <v>380</v>
      </c>
      <c r="O122" s="282">
        <v>97</v>
      </c>
      <c r="P122" s="282">
        <v>392</v>
      </c>
      <c r="Q122" s="282">
        <v>461</v>
      </c>
      <c r="R122" s="282">
        <v>516</v>
      </c>
      <c r="S122" s="283">
        <v>648</v>
      </c>
      <c r="U122" s="282">
        <v>0</v>
      </c>
      <c r="V122" s="282">
        <v>0</v>
      </c>
      <c r="W122" s="282">
        <v>0</v>
      </c>
      <c r="X122" s="282">
        <v>0</v>
      </c>
      <c r="Y122" s="282">
        <v>0</v>
      </c>
      <c r="Z122" s="282">
        <v>0</v>
      </c>
      <c r="AA122" s="282">
        <v>0</v>
      </c>
      <c r="AB122" s="282">
        <v>-30</v>
      </c>
      <c r="AC122" s="282">
        <v>-50</v>
      </c>
      <c r="AD122" s="282">
        <v>-40</v>
      </c>
      <c r="AE122" s="282">
        <v>-60</v>
      </c>
      <c r="AF122" s="153"/>
      <c r="AG122" s="282">
        <v>869</v>
      </c>
      <c r="AH122" s="282">
        <v>614.33000000000004</v>
      </c>
      <c r="AI122" s="282">
        <v>591.32999999999993</v>
      </c>
      <c r="AJ122" s="282">
        <v>574.33000000000004</v>
      </c>
      <c r="AK122" s="283">
        <v>541.33000000000004</v>
      </c>
      <c r="AL122" s="284"/>
      <c r="AM122" s="282">
        <v>824</v>
      </c>
      <c r="AN122" s="282">
        <v>529.33000000000004</v>
      </c>
      <c r="AO122" s="282">
        <v>460.33000000000004</v>
      </c>
      <c r="AP122" s="282">
        <v>405.33000000000004</v>
      </c>
      <c r="AQ122" s="283">
        <v>273.33000000000004</v>
      </c>
    </row>
    <row r="123" spans="1:43">
      <c r="B123" s="273" t="s">
        <v>65</v>
      </c>
      <c r="C123" s="286" t="s">
        <v>616</v>
      </c>
      <c r="D123" s="189">
        <v>801</v>
      </c>
      <c r="E123" s="115">
        <v>5.33</v>
      </c>
      <c r="F123" s="237" t="s">
        <v>193</v>
      </c>
      <c r="G123" s="314"/>
      <c r="I123" s="267">
        <v>52</v>
      </c>
      <c r="J123" s="267">
        <v>268</v>
      </c>
      <c r="K123" s="267">
        <v>291</v>
      </c>
      <c r="L123" s="267">
        <v>308</v>
      </c>
      <c r="M123" s="268">
        <v>341</v>
      </c>
      <c r="O123" s="267">
        <v>97</v>
      </c>
      <c r="P123" s="267">
        <v>353</v>
      </c>
      <c r="Q123" s="267">
        <v>422</v>
      </c>
      <c r="R123" s="267">
        <v>577</v>
      </c>
      <c r="S123" s="268">
        <v>709</v>
      </c>
      <c r="U123" s="282">
        <v>0</v>
      </c>
      <c r="V123" s="282">
        <v>0</v>
      </c>
      <c r="W123" s="282">
        <v>0</v>
      </c>
      <c r="X123" s="282">
        <v>0</v>
      </c>
      <c r="Y123" s="282">
        <v>0</v>
      </c>
      <c r="Z123" s="282">
        <v>0</v>
      </c>
      <c r="AA123" s="282">
        <v>0</v>
      </c>
      <c r="AB123" s="282">
        <v>-30</v>
      </c>
      <c r="AC123" s="282">
        <v>-50</v>
      </c>
      <c r="AD123" s="282">
        <v>-40</v>
      </c>
      <c r="AE123" s="282">
        <v>-60</v>
      </c>
      <c r="AF123" s="153"/>
      <c r="AG123" s="282">
        <v>749</v>
      </c>
      <c r="AH123" s="282">
        <v>533.09</v>
      </c>
      <c r="AI123" s="282">
        <v>510.08999999999992</v>
      </c>
      <c r="AJ123" s="282">
        <v>493.09000000000003</v>
      </c>
      <c r="AK123" s="283">
        <v>460.09000000000003</v>
      </c>
      <c r="AL123" s="284"/>
      <c r="AM123" s="282">
        <v>704</v>
      </c>
      <c r="AN123" s="282">
        <v>448.09000000000003</v>
      </c>
      <c r="AO123" s="282">
        <v>379.09000000000003</v>
      </c>
      <c r="AP123" s="282">
        <v>224.09000000000003</v>
      </c>
      <c r="AQ123" s="283">
        <v>92.090000000000032</v>
      </c>
    </row>
    <row r="124" spans="1:43">
      <c r="A124" s="109"/>
      <c r="B124" s="280" t="s">
        <v>65</v>
      </c>
      <c r="C124" s="281" t="s">
        <v>483</v>
      </c>
      <c r="D124" s="191">
        <v>1487</v>
      </c>
      <c r="E124" s="114">
        <v>5.33</v>
      </c>
      <c r="F124" s="515" t="s">
        <v>193</v>
      </c>
      <c r="G124" s="345"/>
      <c r="I124" s="282">
        <v>52</v>
      </c>
      <c r="J124" s="282">
        <v>450</v>
      </c>
      <c r="K124" s="282">
        <v>473</v>
      </c>
      <c r="L124" s="282">
        <v>490</v>
      </c>
      <c r="M124" s="283">
        <v>523</v>
      </c>
      <c r="O124" s="282">
        <v>97</v>
      </c>
      <c r="P124" s="282">
        <v>535</v>
      </c>
      <c r="Q124" s="282">
        <v>604</v>
      </c>
      <c r="R124" s="282">
        <v>709</v>
      </c>
      <c r="S124" s="283">
        <v>841</v>
      </c>
      <c r="U124" s="282">
        <v>0</v>
      </c>
      <c r="V124" s="282">
        <v>0</v>
      </c>
      <c r="W124" s="282">
        <v>0</v>
      </c>
      <c r="X124" s="282">
        <v>0</v>
      </c>
      <c r="Y124" s="282">
        <v>0</v>
      </c>
      <c r="Z124" s="282">
        <v>0</v>
      </c>
      <c r="AA124" s="282">
        <v>0</v>
      </c>
      <c r="AB124" s="282">
        <v>-30</v>
      </c>
      <c r="AC124" s="282">
        <v>-50</v>
      </c>
      <c r="AD124" s="282">
        <v>-40</v>
      </c>
      <c r="AE124" s="282">
        <v>-60</v>
      </c>
      <c r="AF124" s="153"/>
      <c r="AG124" s="282">
        <v>1435</v>
      </c>
      <c r="AH124" s="282">
        <v>1037.33</v>
      </c>
      <c r="AI124" s="282">
        <v>1014.3299999999999</v>
      </c>
      <c r="AJ124" s="282">
        <v>997.32999999999993</v>
      </c>
      <c r="AK124" s="283">
        <v>964.32999999999993</v>
      </c>
      <c r="AL124" s="284"/>
      <c r="AM124" s="282">
        <v>1390</v>
      </c>
      <c r="AN124" s="282">
        <v>952.32999999999993</v>
      </c>
      <c r="AO124" s="282">
        <v>883.32999999999993</v>
      </c>
      <c r="AP124" s="282">
        <v>778.32999999999993</v>
      </c>
      <c r="AQ124" s="283">
        <v>646.32999999999993</v>
      </c>
    </row>
    <row r="125" spans="1:43">
      <c r="B125" s="273" t="s">
        <v>65</v>
      </c>
      <c r="C125" s="123" t="s">
        <v>636</v>
      </c>
      <c r="D125" s="189">
        <v>1487</v>
      </c>
      <c r="E125" s="115">
        <v>5.33</v>
      </c>
      <c r="F125" s="237" t="s">
        <v>193</v>
      </c>
      <c r="G125" s="314"/>
      <c r="I125" s="267">
        <v>52</v>
      </c>
      <c r="J125" s="267">
        <v>250</v>
      </c>
      <c r="K125" s="267">
        <v>273</v>
      </c>
      <c r="L125" s="267">
        <v>290</v>
      </c>
      <c r="M125" s="268">
        <v>323</v>
      </c>
      <c r="O125" s="267">
        <v>97</v>
      </c>
      <c r="P125" s="267">
        <v>335</v>
      </c>
      <c r="Q125" s="267">
        <v>404</v>
      </c>
      <c r="R125" s="267">
        <v>459</v>
      </c>
      <c r="S125" s="268">
        <v>591</v>
      </c>
      <c r="U125" s="282">
        <v>0</v>
      </c>
      <c r="V125" s="282">
        <v>0</v>
      </c>
      <c r="W125" s="282">
        <v>0</v>
      </c>
      <c r="X125" s="282">
        <v>0</v>
      </c>
      <c r="Y125" s="282">
        <v>0</v>
      </c>
      <c r="Z125" s="282">
        <v>0</v>
      </c>
      <c r="AA125" s="282">
        <v>0</v>
      </c>
      <c r="AB125" s="282">
        <v>-30</v>
      </c>
      <c r="AC125" s="282">
        <v>-50</v>
      </c>
      <c r="AD125" s="282">
        <v>-40</v>
      </c>
      <c r="AE125" s="282">
        <v>-60</v>
      </c>
      <c r="AF125" s="153"/>
      <c r="AG125" s="282">
        <v>1435</v>
      </c>
      <c r="AH125" s="282">
        <v>1237.33</v>
      </c>
      <c r="AI125" s="282">
        <v>1214.33</v>
      </c>
      <c r="AJ125" s="282">
        <v>1197.33</v>
      </c>
      <c r="AK125" s="283">
        <v>1164.33</v>
      </c>
      <c r="AL125" s="284"/>
      <c r="AM125" s="282">
        <v>1390</v>
      </c>
      <c r="AN125" s="282">
        <v>1152.33</v>
      </c>
      <c r="AO125" s="282">
        <v>1083.33</v>
      </c>
      <c r="AP125" s="282">
        <v>1028.33</v>
      </c>
      <c r="AQ125" s="283">
        <v>896.32999999999993</v>
      </c>
    </row>
    <row r="126" spans="1:43">
      <c r="A126" s="109"/>
      <c r="B126" s="280" t="s">
        <v>65</v>
      </c>
      <c r="C126" s="281" t="s">
        <v>352</v>
      </c>
      <c r="D126" s="191">
        <v>938</v>
      </c>
      <c r="E126" s="114">
        <v>3.25</v>
      </c>
      <c r="F126" s="515" t="s">
        <v>190</v>
      </c>
      <c r="G126" s="345"/>
      <c r="I126" s="282">
        <v>52</v>
      </c>
      <c r="J126" s="282">
        <v>506</v>
      </c>
      <c r="K126" s="282">
        <v>529</v>
      </c>
      <c r="L126" s="282">
        <v>546</v>
      </c>
      <c r="M126" s="283">
        <v>579</v>
      </c>
      <c r="O126" s="282">
        <v>97</v>
      </c>
      <c r="P126" s="282">
        <v>591</v>
      </c>
      <c r="Q126" s="282">
        <v>660</v>
      </c>
      <c r="R126" s="282">
        <v>715</v>
      </c>
      <c r="S126" s="283">
        <v>950</v>
      </c>
      <c r="U126" s="282">
        <v>0</v>
      </c>
      <c r="V126" s="282">
        <v>0</v>
      </c>
      <c r="W126" s="282">
        <v>0</v>
      </c>
      <c r="X126" s="282">
        <v>0</v>
      </c>
      <c r="Y126" s="282">
        <v>0</v>
      </c>
      <c r="Z126" s="282">
        <v>0</v>
      </c>
      <c r="AA126" s="282">
        <v>0</v>
      </c>
      <c r="AB126" s="282">
        <v>-30</v>
      </c>
      <c r="AC126" s="282">
        <v>-50</v>
      </c>
      <c r="AD126" s="282">
        <v>-40</v>
      </c>
      <c r="AE126" s="282">
        <v>-161</v>
      </c>
      <c r="AF126" s="153"/>
      <c r="AG126" s="282">
        <v>886</v>
      </c>
      <c r="AH126" s="282">
        <v>432.25</v>
      </c>
      <c r="AI126" s="282">
        <v>409.24999999999989</v>
      </c>
      <c r="AJ126" s="282">
        <v>392.25</v>
      </c>
      <c r="AK126" s="283">
        <v>359.25</v>
      </c>
      <c r="AL126" s="284"/>
      <c r="AM126" s="282">
        <v>841</v>
      </c>
      <c r="AN126" s="282">
        <v>347.25</v>
      </c>
      <c r="AO126" s="282">
        <v>278.25</v>
      </c>
      <c r="AP126" s="282">
        <v>223.25</v>
      </c>
      <c r="AQ126" s="283">
        <v>-11.75</v>
      </c>
    </row>
    <row r="127" spans="1:43">
      <c r="B127" s="273" t="s">
        <v>65</v>
      </c>
      <c r="C127" s="286" t="s">
        <v>485</v>
      </c>
      <c r="D127" s="189">
        <v>842</v>
      </c>
      <c r="E127" s="115">
        <v>3.25</v>
      </c>
      <c r="F127" s="237" t="s">
        <v>190</v>
      </c>
      <c r="G127" s="314"/>
      <c r="I127" s="267">
        <v>52</v>
      </c>
      <c r="J127" s="267">
        <v>329</v>
      </c>
      <c r="K127" s="267">
        <v>352</v>
      </c>
      <c r="L127" s="267">
        <v>369</v>
      </c>
      <c r="M127" s="268">
        <v>402</v>
      </c>
      <c r="O127" s="267">
        <v>97</v>
      </c>
      <c r="P127" s="267">
        <v>414</v>
      </c>
      <c r="Q127" s="267">
        <v>483</v>
      </c>
      <c r="R127" s="267">
        <v>543</v>
      </c>
      <c r="S127" s="268">
        <v>673</v>
      </c>
      <c r="U127" s="282">
        <v>0</v>
      </c>
      <c r="V127" s="282">
        <v>0</v>
      </c>
      <c r="W127" s="282">
        <v>0</v>
      </c>
      <c r="X127" s="282">
        <v>0</v>
      </c>
      <c r="Y127" s="282">
        <v>0</v>
      </c>
      <c r="Z127" s="282">
        <v>0</v>
      </c>
      <c r="AA127" s="282">
        <v>0</v>
      </c>
      <c r="AB127" s="282">
        <v>-30</v>
      </c>
      <c r="AC127" s="282">
        <v>-50</v>
      </c>
      <c r="AD127" s="282">
        <v>-40</v>
      </c>
      <c r="AE127" s="282">
        <v>-60</v>
      </c>
      <c r="AF127" s="153"/>
      <c r="AG127" s="282">
        <v>790</v>
      </c>
      <c r="AH127" s="282">
        <v>513.25</v>
      </c>
      <c r="AI127" s="282">
        <v>490.24999999999989</v>
      </c>
      <c r="AJ127" s="282">
        <v>473.25</v>
      </c>
      <c r="AK127" s="283">
        <v>440.25</v>
      </c>
      <c r="AL127" s="284"/>
      <c r="AM127" s="282">
        <v>745</v>
      </c>
      <c r="AN127" s="282">
        <v>428.25</v>
      </c>
      <c r="AO127" s="282">
        <v>359.25</v>
      </c>
      <c r="AP127" s="282">
        <v>299.25</v>
      </c>
      <c r="AQ127" s="283">
        <v>169.25</v>
      </c>
    </row>
    <row r="128" spans="1:43">
      <c r="A128" s="109"/>
      <c r="B128" s="280" t="s">
        <v>65</v>
      </c>
      <c r="C128" s="281" t="s">
        <v>486</v>
      </c>
      <c r="D128" s="188">
        <v>902</v>
      </c>
      <c r="E128" s="114">
        <v>3.25</v>
      </c>
      <c r="F128" s="515" t="s">
        <v>190</v>
      </c>
      <c r="G128" s="345"/>
      <c r="I128" s="282">
        <v>52</v>
      </c>
      <c r="J128" s="282">
        <v>370</v>
      </c>
      <c r="K128" s="282">
        <v>393</v>
      </c>
      <c r="L128" s="282">
        <v>410</v>
      </c>
      <c r="M128" s="283">
        <v>443</v>
      </c>
      <c r="O128" s="282">
        <v>97</v>
      </c>
      <c r="P128" s="282">
        <v>455</v>
      </c>
      <c r="Q128" s="282">
        <v>524</v>
      </c>
      <c r="R128" s="282">
        <v>579</v>
      </c>
      <c r="S128" s="283">
        <v>711</v>
      </c>
      <c r="U128" s="282">
        <v>0</v>
      </c>
      <c r="V128" s="282">
        <v>0</v>
      </c>
      <c r="W128" s="282">
        <v>0</v>
      </c>
      <c r="X128" s="282">
        <v>0</v>
      </c>
      <c r="Y128" s="282">
        <v>0</v>
      </c>
      <c r="Z128" s="282">
        <v>0</v>
      </c>
      <c r="AA128" s="282">
        <v>0</v>
      </c>
      <c r="AB128" s="282">
        <v>-30</v>
      </c>
      <c r="AC128" s="282">
        <v>-50</v>
      </c>
      <c r="AD128" s="282">
        <v>-40</v>
      </c>
      <c r="AE128" s="282">
        <v>-60</v>
      </c>
      <c r="AF128" s="153"/>
      <c r="AG128" s="282">
        <v>850</v>
      </c>
      <c r="AH128" s="282">
        <v>532.25</v>
      </c>
      <c r="AI128" s="282">
        <v>509.24999999999989</v>
      </c>
      <c r="AJ128" s="282">
        <v>492.25</v>
      </c>
      <c r="AK128" s="283">
        <v>459.25</v>
      </c>
      <c r="AL128" s="284"/>
      <c r="AM128" s="282">
        <v>805</v>
      </c>
      <c r="AN128" s="282">
        <v>447.25</v>
      </c>
      <c r="AO128" s="282">
        <v>378.25</v>
      </c>
      <c r="AP128" s="282">
        <v>323.25</v>
      </c>
      <c r="AQ128" s="283">
        <v>191.25</v>
      </c>
    </row>
    <row r="129" spans="1:43">
      <c r="B129" s="273" t="s">
        <v>65</v>
      </c>
      <c r="C129" s="286" t="s">
        <v>602</v>
      </c>
      <c r="D129" s="189">
        <v>686</v>
      </c>
      <c r="E129" s="115">
        <v>3.25</v>
      </c>
      <c r="F129" s="237" t="s">
        <v>190</v>
      </c>
      <c r="G129" s="314"/>
      <c r="I129" s="267">
        <v>52</v>
      </c>
      <c r="J129" s="267">
        <v>198</v>
      </c>
      <c r="K129" s="267">
        <v>221</v>
      </c>
      <c r="L129" s="267">
        <v>238</v>
      </c>
      <c r="M129" s="268">
        <v>271</v>
      </c>
      <c r="O129" s="267">
        <v>97</v>
      </c>
      <c r="P129" s="267">
        <v>283</v>
      </c>
      <c r="Q129" s="267">
        <v>352</v>
      </c>
      <c r="R129" s="267">
        <v>407</v>
      </c>
      <c r="S129" s="268">
        <v>539</v>
      </c>
      <c r="U129" s="282">
        <v>0</v>
      </c>
      <c r="V129" s="282">
        <v>0</v>
      </c>
      <c r="W129" s="282">
        <v>0</v>
      </c>
      <c r="X129" s="282">
        <v>0</v>
      </c>
      <c r="Y129" s="282">
        <v>0</v>
      </c>
      <c r="Z129" s="282">
        <v>0</v>
      </c>
      <c r="AA129" s="282">
        <v>0</v>
      </c>
      <c r="AB129" s="282">
        <v>-30</v>
      </c>
      <c r="AC129" s="282">
        <v>-50</v>
      </c>
      <c r="AD129" s="282">
        <v>-40</v>
      </c>
      <c r="AE129" s="282">
        <v>-60</v>
      </c>
      <c r="AF129" s="153"/>
      <c r="AG129" s="282">
        <v>634</v>
      </c>
      <c r="AH129" s="282">
        <v>488.25</v>
      </c>
      <c r="AI129" s="282">
        <v>465.24999999999989</v>
      </c>
      <c r="AJ129" s="282">
        <v>448.25</v>
      </c>
      <c r="AK129" s="283">
        <v>415.25</v>
      </c>
      <c r="AL129" s="284"/>
      <c r="AM129" s="282">
        <v>589</v>
      </c>
      <c r="AN129" s="282">
        <v>403.25</v>
      </c>
      <c r="AO129" s="282">
        <v>334.25</v>
      </c>
      <c r="AP129" s="282">
        <v>279.25</v>
      </c>
      <c r="AQ129" s="283">
        <v>147.25</v>
      </c>
    </row>
    <row r="130" spans="1:43">
      <c r="A130" s="109"/>
      <c r="B130" s="280" t="s">
        <v>65</v>
      </c>
      <c r="C130" s="281" t="s">
        <v>487</v>
      </c>
      <c r="D130" s="188">
        <v>1556</v>
      </c>
      <c r="E130" s="114">
        <v>3.25</v>
      </c>
      <c r="F130" s="239" t="s">
        <v>190</v>
      </c>
      <c r="G130" s="315"/>
      <c r="I130" s="282">
        <v>52</v>
      </c>
      <c r="J130" s="282">
        <v>452</v>
      </c>
      <c r="K130" s="282">
        <v>475</v>
      </c>
      <c r="L130" s="282">
        <v>492</v>
      </c>
      <c r="M130" s="283">
        <v>525</v>
      </c>
      <c r="O130" s="282">
        <v>97</v>
      </c>
      <c r="P130" s="282">
        <v>537</v>
      </c>
      <c r="Q130" s="282">
        <v>606</v>
      </c>
      <c r="R130" s="282">
        <v>661</v>
      </c>
      <c r="S130" s="283">
        <v>793</v>
      </c>
      <c r="U130" s="282">
        <v>0</v>
      </c>
      <c r="V130" s="282">
        <v>0</v>
      </c>
      <c r="W130" s="282">
        <v>0</v>
      </c>
      <c r="X130" s="282">
        <v>0</v>
      </c>
      <c r="Y130" s="282">
        <v>0</v>
      </c>
      <c r="Z130" s="282">
        <v>0</v>
      </c>
      <c r="AA130" s="282">
        <v>0</v>
      </c>
      <c r="AB130" s="282">
        <v>-30</v>
      </c>
      <c r="AC130" s="282">
        <v>-50</v>
      </c>
      <c r="AD130" s="282">
        <v>-40</v>
      </c>
      <c r="AE130" s="282">
        <v>-60</v>
      </c>
      <c r="AF130" s="153"/>
      <c r="AG130" s="282">
        <v>1504</v>
      </c>
      <c r="AH130" s="282">
        <v>1104.25</v>
      </c>
      <c r="AI130" s="282">
        <v>1081.25</v>
      </c>
      <c r="AJ130" s="282">
        <v>1064.25</v>
      </c>
      <c r="AK130" s="283">
        <v>1031.25</v>
      </c>
      <c r="AL130" s="284"/>
      <c r="AM130" s="282">
        <v>1459</v>
      </c>
      <c r="AN130" s="282">
        <v>1019.25</v>
      </c>
      <c r="AO130" s="282">
        <v>950.25</v>
      </c>
      <c r="AP130" s="282">
        <v>895.25</v>
      </c>
      <c r="AQ130" s="283">
        <v>763.25</v>
      </c>
    </row>
    <row r="131" spans="1:43">
      <c r="B131" s="273" t="s">
        <v>65</v>
      </c>
      <c r="C131" s="286" t="s">
        <v>488</v>
      </c>
      <c r="D131" s="189">
        <v>1279</v>
      </c>
      <c r="E131" s="115">
        <v>3.25</v>
      </c>
      <c r="F131" s="237" t="s">
        <v>190</v>
      </c>
      <c r="G131" s="314"/>
      <c r="I131" s="267">
        <v>52</v>
      </c>
      <c r="J131" s="267">
        <v>462</v>
      </c>
      <c r="K131" s="267">
        <v>485</v>
      </c>
      <c r="L131" s="267">
        <v>502</v>
      </c>
      <c r="M131" s="268">
        <v>535</v>
      </c>
      <c r="O131" s="267">
        <v>97</v>
      </c>
      <c r="P131" s="267">
        <v>547</v>
      </c>
      <c r="Q131" s="267">
        <v>616</v>
      </c>
      <c r="R131" s="267">
        <v>720</v>
      </c>
      <c r="S131" s="268">
        <v>833</v>
      </c>
      <c r="U131" s="282">
        <v>0</v>
      </c>
      <c r="V131" s="282">
        <v>0</v>
      </c>
      <c r="W131" s="282">
        <v>0</v>
      </c>
      <c r="X131" s="282">
        <v>0</v>
      </c>
      <c r="Y131" s="282">
        <v>0</v>
      </c>
      <c r="Z131" s="282">
        <v>0</v>
      </c>
      <c r="AA131" s="282">
        <v>0</v>
      </c>
      <c r="AB131" s="282">
        <v>-30</v>
      </c>
      <c r="AC131" s="282">
        <v>-50</v>
      </c>
      <c r="AD131" s="282">
        <v>-40</v>
      </c>
      <c r="AE131" s="282">
        <v>-60</v>
      </c>
      <c r="AF131" s="153"/>
      <c r="AG131" s="282">
        <v>1227</v>
      </c>
      <c r="AH131" s="282">
        <v>817.25</v>
      </c>
      <c r="AI131" s="282">
        <v>794.25</v>
      </c>
      <c r="AJ131" s="282">
        <v>777.25</v>
      </c>
      <c r="AK131" s="283">
        <v>744.25</v>
      </c>
      <c r="AL131" s="284"/>
      <c r="AM131" s="282">
        <v>1182</v>
      </c>
      <c r="AN131" s="282">
        <v>732.25</v>
      </c>
      <c r="AO131" s="282">
        <v>663.25</v>
      </c>
      <c r="AP131" s="282">
        <v>559.25</v>
      </c>
      <c r="AQ131" s="283">
        <v>446.25</v>
      </c>
    </row>
    <row r="132" spans="1:43">
      <c r="A132" s="109"/>
      <c r="B132" s="280" t="s">
        <v>65</v>
      </c>
      <c r="C132" s="281" t="s">
        <v>489</v>
      </c>
      <c r="D132" s="188">
        <v>1372</v>
      </c>
      <c r="E132" s="114">
        <v>3.25</v>
      </c>
      <c r="F132" s="239" t="s">
        <v>190</v>
      </c>
      <c r="G132" s="315"/>
      <c r="I132" s="282">
        <v>52</v>
      </c>
      <c r="J132" s="282">
        <v>343</v>
      </c>
      <c r="K132" s="282">
        <v>366</v>
      </c>
      <c r="L132" s="282">
        <v>383</v>
      </c>
      <c r="M132" s="283">
        <v>416</v>
      </c>
      <c r="O132" s="282">
        <v>97</v>
      </c>
      <c r="P132" s="282">
        <v>428</v>
      </c>
      <c r="Q132" s="282">
        <v>497</v>
      </c>
      <c r="R132" s="282">
        <v>552</v>
      </c>
      <c r="S132" s="283">
        <v>684</v>
      </c>
      <c r="U132" s="282">
        <v>0</v>
      </c>
      <c r="V132" s="282">
        <v>0</v>
      </c>
      <c r="W132" s="282">
        <v>0</v>
      </c>
      <c r="X132" s="282">
        <v>0</v>
      </c>
      <c r="Y132" s="282">
        <v>0</v>
      </c>
      <c r="Z132" s="282">
        <v>0</v>
      </c>
      <c r="AA132" s="282">
        <v>0</v>
      </c>
      <c r="AB132" s="282">
        <v>-30</v>
      </c>
      <c r="AC132" s="282">
        <v>-50</v>
      </c>
      <c r="AD132" s="282">
        <v>-40</v>
      </c>
      <c r="AE132" s="282">
        <v>-60</v>
      </c>
      <c r="AF132" s="153"/>
      <c r="AG132" s="282">
        <v>1320</v>
      </c>
      <c r="AH132" s="282">
        <v>1029.25</v>
      </c>
      <c r="AI132" s="282">
        <v>1006.25</v>
      </c>
      <c r="AJ132" s="282">
        <v>989.25</v>
      </c>
      <c r="AK132" s="283">
        <v>956.25</v>
      </c>
      <c r="AL132" s="284"/>
      <c r="AM132" s="282">
        <v>1275</v>
      </c>
      <c r="AN132" s="282">
        <v>944.25</v>
      </c>
      <c r="AO132" s="282">
        <v>875.25</v>
      </c>
      <c r="AP132" s="282">
        <v>820.25</v>
      </c>
      <c r="AQ132" s="283">
        <v>688.25</v>
      </c>
    </row>
    <row r="133" spans="1:43">
      <c r="B133" s="273" t="s">
        <v>65</v>
      </c>
      <c r="C133" s="286" t="s">
        <v>490</v>
      </c>
      <c r="D133" s="189">
        <v>1047</v>
      </c>
      <c r="E133" s="115">
        <v>3.25</v>
      </c>
      <c r="F133" s="237" t="s">
        <v>190</v>
      </c>
      <c r="G133" s="314"/>
      <c r="I133" s="267">
        <v>52</v>
      </c>
      <c r="J133" s="267">
        <v>432</v>
      </c>
      <c r="K133" s="267">
        <v>455</v>
      </c>
      <c r="L133" s="267">
        <v>472</v>
      </c>
      <c r="M133" s="268">
        <v>505</v>
      </c>
      <c r="O133" s="267">
        <v>97</v>
      </c>
      <c r="P133" s="267">
        <v>517</v>
      </c>
      <c r="Q133" s="267">
        <v>586</v>
      </c>
      <c r="R133" s="267">
        <v>641</v>
      </c>
      <c r="S133" s="268">
        <v>773</v>
      </c>
      <c r="U133" s="282">
        <v>0</v>
      </c>
      <c r="V133" s="282">
        <v>0</v>
      </c>
      <c r="W133" s="282">
        <v>0</v>
      </c>
      <c r="X133" s="282">
        <v>0</v>
      </c>
      <c r="Y133" s="282">
        <v>0</v>
      </c>
      <c r="Z133" s="282">
        <v>0</v>
      </c>
      <c r="AA133" s="282">
        <v>0</v>
      </c>
      <c r="AB133" s="282">
        <v>-30</v>
      </c>
      <c r="AC133" s="282">
        <v>-50</v>
      </c>
      <c r="AD133" s="282">
        <v>-40</v>
      </c>
      <c r="AE133" s="282">
        <v>-60</v>
      </c>
      <c r="AF133" s="153"/>
      <c r="AG133" s="282">
        <v>995</v>
      </c>
      <c r="AH133" s="282">
        <v>615.25</v>
      </c>
      <c r="AI133" s="282">
        <v>592.24999999999989</v>
      </c>
      <c r="AJ133" s="282">
        <v>575.25</v>
      </c>
      <c r="AK133" s="283">
        <v>542.25</v>
      </c>
      <c r="AL133" s="284"/>
      <c r="AM133" s="282">
        <v>950</v>
      </c>
      <c r="AN133" s="282">
        <v>530.25</v>
      </c>
      <c r="AO133" s="282">
        <v>461.25</v>
      </c>
      <c r="AP133" s="282">
        <v>406.25</v>
      </c>
      <c r="AQ133" s="283">
        <v>274.25</v>
      </c>
    </row>
    <row r="134" spans="1:43">
      <c r="A134" s="109"/>
      <c r="B134" s="280" t="s">
        <v>65</v>
      </c>
      <c r="C134" s="281" t="s">
        <v>491</v>
      </c>
      <c r="D134" s="188">
        <v>182</v>
      </c>
      <c r="E134" s="114">
        <v>3.75</v>
      </c>
      <c r="F134" s="239" t="s">
        <v>191</v>
      </c>
      <c r="G134" s="315"/>
      <c r="I134" s="282">
        <v>71</v>
      </c>
      <c r="J134" s="282">
        <v>91</v>
      </c>
      <c r="K134" s="282">
        <v>114</v>
      </c>
      <c r="L134" s="282">
        <v>131</v>
      </c>
      <c r="M134" s="283">
        <v>164</v>
      </c>
      <c r="O134" s="282">
        <v>116</v>
      </c>
      <c r="P134" s="282">
        <v>146</v>
      </c>
      <c r="Q134" s="282">
        <v>195</v>
      </c>
      <c r="R134" s="282">
        <v>260</v>
      </c>
      <c r="S134" s="283">
        <v>260</v>
      </c>
      <c r="U134" s="282">
        <v>0</v>
      </c>
      <c r="V134" s="282">
        <v>0</v>
      </c>
      <c r="W134" s="282">
        <v>0</v>
      </c>
      <c r="X134" s="282">
        <v>0</v>
      </c>
      <c r="Y134" s="282">
        <v>0</v>
      </c>
      <c r="Z134" s="282">
        <v>0</v>
      </c>
      <c r="AA134" s="282">
        <v>0</v>
      </c>
      <c r="AB134" s="282">
        <v>0</v>
      </c>
      <c r="AC134" s="282">
        <v>0</v>
      </c>
      <c r="AD134" s="282">
        <v>0</v>
      </c>
      <c r="AE134" s="282">
        <v>0</v>
      </c>
      <c r="AF134" s="153"/>
      <c r="AG134" s="282">
        <v>110.75</v>
      </c>
      <c r="AH134" s="282">
        <v>90.75</v>
      </c>
      <c r="AI134" s="282">
        <v>67.749999999999886</v>
      </c>
      <c r="AJ134" s="282">
        <v>50.75</v>
      </c>
      <c r="AK134" s="283">
        <v>17.75</v>
      </c>
      <c r="AL134" s="284"/>
      <c r="AM134" s="282">
        <v>65.750000000000057</v>
      </c>
      <c r="AN134" s="282">
        <v>35.75</v>
      </c>
      <c r="AO134" s="282">
        <v>-13.25</v>
      </c>
      <c r="AP134" s="282">
        <v>-78.25</v>
      </c>
      <c r="AQ134" s="283">
        <v>-78.25</v>
      </c>
    </row>
    <row r="135" spans="1:43">
      <c r="B135" s="273" t="s">
        <v>65</v>
      </c>
      <c r="C135" s="286" t="s">
        <v>492</v>
      </c>
      <c r="D135" s="189">
        <v>310</v>
      </c>
      <c r="E135" s="115">
        <v>3.75</v>
      </c>
      <c r="F135" s="237" t="s">
        <v>191</v>
      </c>
      <c r="G135" s="314"/>
      <c r="I135" s="267">
        <v>127</v>
      </c>
      <c r="J135" s="267">
        <v>147</v>
      </c>
      <c r="K135" s="267">
        <v>170</v>
      </c>
      <c r="L135" s="267">
        <v>187</v>
      </c>
      <c r="M135" s="268">
        <v>220</v>
      </c>
      <c r="O135" s="267">
        <v>172</v>
      </c>
      <c r="P135" s="267">
        <v>202</v>
      </c>
      <c r="Q135" s="267">
        <v>281</v>
      </c>
      <c r="R135" s="267">
        <v>316</v>
      </c>
      <c r="S135" s="268">
        <v>400</v>
      </c>
      <c r="U135" s="282">
        <v>0</v>
      </c>
      <c r="V135" s="282">
        <v>0</v>
      </c>
      <c r="W135" s="282">
        <v>0</v>
      </c>
      <c r="X135" s="282">
        <v>0</v>
      </c>
      <c r="Y135" s="282">
        <v>0</v>
      </c>
      <c r="Z135" s="282">
        <v>0</v>
      </c>
      <c r="AA135" s="282">
        <v>0</v>
      </c>
      <c r="AB135" s="282">
        <v>0</v>
      </c>
      <c r="AC135" s="282">
        <v>0</v>
      </c>
      <c r="AD135" s="282">
        <v>0</v>
      </c>
      <c r="AE135" s="282">
        <v>0</v>
      </c>
      <c r="AF135" s="153"/>
      <c r="AG135" s="282">
        <v>182.75</v>
      </c>
      <c r="AH135" s="282">
        <v>162.75</v>
      </c>
      <c r="AI135" s="282">
        <v>139.74999999999989</v>
      </c>
      <c r="AJ135" s="282">
        <v>122.75</v>
      </c>
      <c r="AK135" s="283">
        <v>89.75</v>
      </c>
      <c r="AL135" s="284"/>
      <c r="AM135" s="282">
        <v>137.75000000000006</v>
      </c>
      <c r="AN135" s="282">
        <v>107.75</v>
      </c>
      <c r="AO135" s="282">
        <v>28.75</v>
      </c>
      <c r="AP135" s="282">
        <v>-6.25</v>
      </c>
      <c r="AQ135" s="283">
        <v>-90.375</v>
      </c>
    </row>
    <row r="136" spans="1:43">
      <c r="A136" s="109"/>
      <c r="B136" s="280" t="s">
        <v>65</v>
      </c>
      <c r="C136" s="281" t="s">
        <v>493</v>
      </c>
      <c r="D136" s="188">
        <v>310</v>
      </c>
      <c r="E136" s="114">
        <v>3.75</v>
      </c>
      <c r="F136" s="239" t="s">
        <v>191</v>
      </c>
      <c r="G136" s="315"/>
      <c r="I136" s="282">
        <v>137</v>
      </c>
      <c r="J136" s="282">
        <v>157</v>
      </c>
      <c r="K136" s="282">
        <v>180</v>
      </c>
      <c r="L136" s="282">
        <v>197</v>
      </c>
      <c r="M136" s="283">
        <v>230</v>
      </c>
      <c r="O136" s="282">
        <v>182</v>
      </c>
      <c r="P136" s="282">
        <v>212</v>
      </c>
      <c r="Q136" s="282">
        <v>261</v>
      </c>
      <c r="R136" s="282">
        <v>326</v>
      </c>
      <c r="S136" s="283">
        <v>395</v>
      </c>
      <c r="U136" s="282">
        <v>0</v>
      </c>
      <c r="V136" s="282">
        <v>0</v>
      </c>
      <c r="W136" s="282">
        <v>0</v>
      </c>
      <c r="X136" s="282">
        <v>0</v>
      </c>
      <c r="Y136" s="282">
        <v>0</v>
      </c>
      <c r="Z136" s="282">
        <v>0</v>
      </c>
      <c r="AA136" s="282">
        <v>0</v>
      </c>
      <c r="AB136" s="282">
        <v>0</v>
      </c>
      <c r="AC136" s="282">
        <v>0</v>
      </c>
      <c r="AD136" s="282">
        <v>0</v>
      </c>
      <c r="AE136" s="282">
        <v>0</v>
      </c>
      <c r="AF136" s="153"/>
      <c r="AG136" s="282">
        <v>172.75</v>
      </c>
      <c r="AH136" s="282">
        <v>152.75</v>
      </c>
      <c r="AI136" s="282">
        <v>129.74999999999989</v>
      </c>
      <c r="AJ136" s="282">
        <v>112.75</v>
      </c>
      <c r="AK136" s="283">
        <v>79.75</v>
      </c>
      <c r="AL136" s="284"/>
      <c r="AM136" s="282">
        <v>127.75000000000006</v>
      </c>
      <c r="AN136" s="282">
        <v>97.75</v>
      </c>
      <c r="AO136" s="282">
        <v>48.75</v>
      </c>
      <c r="AP136" s="282">
        <v>-16.25</v>
      </c>
      <c r="AQ136" s="283">
        <v>-85.375</v>
      </c>
    </row>
    <row r="137" spans="1:43">
      <c r="B137" s="273" t="s">
        <v>65</v>
      </c>
      <c r="C137" s="286" t="s">
        <v>617</v>
      </c>
      <c r="D137" s="189">
        <v>1195</v>
      </c>
      <c r="E137" s="115">
        <v>3.75</v>
      </c>
      <c r="F137" s="237" t="s">
        <v>191</v>
      </c>
      <c r="G137" s="314"/>
      <c r="I137" s="267">
        <v>52</v>
      </c>
      <c r="J137" s="267">
        <v>392</v>
      </c>
      <c r="K137" s="267">
        <v>415</v>
      </c>
      <c r="L137" s="267">
        <v>432</v>
      </c>
      <c r="M137" s="268">
        <v>465</v>
      </c>
      <c r="O137" s="267">
        <v>97</v>
      </c>
      <c r="P137" s="267">
        <v>477</v>
      </c>
      <c r="Q137" s="267">
        <v>546</v>
      </c>
      <c r="R137" s="267">
        <v>601</v>
      </c>
      <c r="S137" s="268">
        <v>733</v>
      </c>
      <c r="U137" s="282">
        <v>0</v>
      </c>
      <c r="V137" s="282">
        <v>0</v>
      </c>
      <c r="W137" s="282">
        <v>0</v>
      </c>
      <c r="X137" s="282">
        <v>0</v>
      </c>
      <c r="Y137" s="282">
        <v>0</v>
      </c>
      <c r="Z137" s="282">
        <v>0</v>
      </c>
      <c r="AA137" s="282">
        <v>0</v>
      </c>
      <c r="AB137" s="282">
        <v>-30</v>
      </c>
      <c r="AC137" s="282">
        <v>-50</v>
      </c>
      <c r="AD137" s="282">
        <v>-40</v>
      </c>
      <c r="AE137" s="282">
        <v>-60</v>
      </c>
      <c r="AF137" s="153"/>
      <c r="AG137" s="282">
        <v>1143</v>
      </c>
      <c r="AH137" s="282">
        <v>802.75</v>
      </c>
      <c r="AI137" s="282">
        <v>779.75</v>
      </c>
      <c r="AJ137" s="282">
        <v>762.75</v>
      </c>
      <c r="AK137" s="283">
        <v>729.75</v>
      </c>
      <c r="AL137" s="284"/>
      <c r="AM137" s="282">
        <v>1098</v>
      </c>
      <c r="AN137" s="282">
        <v>717.75</v>
      </c>
      <c r="AO137" s="282">
        <v>648.75</v>
      </c>
      <c r="AP137" s="282">
        <v>593.75</v>
      </c>
      <c r="AQ137" s="283">
        <v>461.75</v>
      </c>
    </row>
    <row r="138" spans="1:43">
      <c r="A138" s="109"/>
      <c r="B138" s="280" t="s">
        <v>65</v>
      </c>
      <c r="C138" s="281" t="s">
        <v>427</v>
      </c>
      <c r="D138" s="188">
        <v>537</v>
      </c>
      <c r="E138" s="114">
        <v>3.75</v>
      </c>
      <c r="F138" s="239" t="s">
        <v>191</v>
      </c>
      <c r="G138" s="315"/>
      <c r="I138" s="282">
        <v>237</v>
      </c>
      <c r="J138" s="282">
        <v>257</v>
      </c>
      <c r="K138" s="282">
        <v>280</v>
      </c>
      <c r="L138" s="282">
        <v>297</v>
      </c>
      <c r="M138" s="283">
        <v>330</v>
      </c>
      <c r="O138" s="282">
        <v>282</v>
      </c>
      <c r="P138" s="282">
        <v>342</v>
      </c>
      <c r="Q138" s="282">
        <v>411</v>
      </c>
      <c r="R138" s="282">
        <v>537</v>
      </c>
      <c r="S138" s="283">
        <v>598</v>
      </c>
      <c r="U138" s="282">
        <v>0</v>
      </c>
      <c r="V138" s="282">
        <v>0</v>
      </c>
      <c r="W138" s="282">
        <v>0</v>
      </c>
      <c r="X138" s="282">
        <v>0</v>
      </c>
      <c r="Y138" s="282">
        <v>0</v>
      </c>
      <c r="Z138" s="282">
        <v>0</v>
      </c>
      <c r="AA138" s="282">
        <v>0</v>
      </c>
      <c r="AB138" s="282">
        <v>-30</v>
      </c>
      <c r="AC138" s="282">
        <v>-50</v>
      </c>
      <c r="AD138" s="282">
        <v>-111</v>
      </c>
      <c r="AE138" s="282">
        <v>-60</v>
      </c>
      <c r="AF138" s="153"/>
      <c r="AG138" s="282">
        <v>299.75</v>
      </c>
      <c r="AH138" s="282">
        <v>279.75</v>
      </c>
      <c r="AI138" s="282">
        <v>256.74999999999989</v>
      </c>
      <c r="AJ138" s="282">
        <v>239.75</v>
      </c>
      <c r="AK138" s="283">
        <v>206.75</v>
      </c>
      <c r="AL138" s="284"/>
      <c r="AM138" s="282">
        <v>254.75000000000006</v>
      </c>
      <c r="AN138" s="282">
        <v>194.75</v>
      </c>
      <c r="AO138" s="282">
        <v>125.75</v>
      </c>
      <c r="AP138" s="282">
        <v>-0.25</v>
      </c>
      <c r="AQ138" s="283">
        <v>-61.25</v>
      </c>
    </row>
    <row r="139" spans="1:43">
      <c r="B139" s="273" t="s">
        <v>65</v>
      </c>
      <c r="C139" s="286" t="s">
        <v>418</v>
      </c>
      <c r="D139" s="189">
        <v>421</v>
      </c>
      <c r="E139" s="115">
        <v>2.5</v>
      </c>
      <c r="F139" s="237" t="s">
        <v>459</v>
      </c>
      <c r="G139" s="314"/>
      <c r="I139" s="267">
        <v>99</v>
      </c>
      <c r="J139" s="267">
        <v>119</v>
      </c>
      <c r="K139" s="267">
        <v>142</v>
      </c>
      <c r="L139" s="267">
        <v>159</v>
      </c>
      <c r="M139" s="268">
        <v>192</v>
      </c>
      <c r="O139" s="267">
        <v>144</v>
      </c>
      <c r="P139" s="267">
        <v>204</v>
      </c>
      <c r="Q139" s="267">
        <v>273</v>
      </c>
      <c r="R139" s="267">
        <v>328</v>
      </c>
      <c r="S139" s="268">
        <v>460</v>
      </c>
      <c r="U139" s="282">
        <v>0</v>
      </c>
      <c r="V139" s="282">
        <v>0</v>
      </c>
      <c r="W139" s="282">
        <v>0</v>
      </c>
      <c r="X139" s="282">
        <v>0</v>
      </c>
      <c r="Y139" s="282">
        <v>0</v>
      </c>
      <c r="Z139" s="282">
        <v>0</v>
      </c>
      <c r="AA139" s="282">
        <v>0</v>
      </c>
      <c r="AB139" s="282">
        <v>-30</v>
      </c>
      <c r="AC139" s="282">
        <v>-50</v>
      </c>
      <c r="AD139" s="282">
        <v>-40</v>
      </c>
      <c r="AE139" s="282">
        <v>-60</v>
      </c>
      <c r="AF139" s="153"/>
      <c r="AG139" s="282">
        <v>322.5</v>
      </c>
      <c r="AH139" s="282">
        <v>302.5</v>
      </c>
      <c r="AI139" s="282">
        <v>279.49999999999989</v>
      </c>
      <c r="AJ139" s="282">
        <v>262.5</v>
      </c>
      <c r="AK139" s="283">
        <v>229.5</v>
      </c>
      <c r="AL139" s="284"/>
      <c r="AM139" s="282">
        <v>277.50000000000006</v>
      </c>
      <c r="AN139" s="282">
        <v>217.5</v>
      </c>
      <c r="AO139" s="282">
        <v>148.5</v>
      </c>
      <c r="AP139" s="282">
        <v>93.5</v>
      </c>
      <c r="AQ139" s="283">
        <v>-38.5</v>
      </c>
    </row>
    <row r="140" spans="1:43">
      <c r="A140" s="109"/>
      <c r="B140" s="280" t="s">
        <v>65</v>
      </c>
      <c r="C140" s="281" t="s">
        <v>566</v>
      </c>
      <c r="D140" s="188">
        <v>315</v>
      </c>
      <c r="E140" s="114">
        <v>2.5</v>
      </c>
      <c r="F140" s="239" t="s">
        <v>459</v>
      </c>
      <c r="G140" s="315"/>
      <c r="I140" s="282">
        <v>129</v>
      </c>
      <c r="J140" s="282">
        <v>149</v>
      </c>
      <c r="K140" s="282">
        <v>172</v>
      </c>
      <c r="L140" s="282">
        <v>189</v>
      </c>
      <c r="M140" s="283">
        <v>222</v>
      </c>
      <c r="O140" s="282">
        <v>174</v>
      </c>
      <c r="P140" s="282">
        <v>204</v>
      </c>
      <c r="Q140" s="282">
        <v>253</v>
      </c>
      <c r="R140" s="282">
        <v>318</v>
      </c>
      <c r="S140" s="283">
        <v>407</v>
      </c>
      <c r="U140" s="282">
        <v>0</v>
      </c>
      <c r="V140" s="282">
        <v>0</v>
      </c>
      <c r="W140" s="282">
        <v>0</v>
      </c>
      <c r="X140" s="282">
        <v>0</v>
      </c>
      <c r="Y140" s="282">
        <v>0</v>
      </c>
      <c r="Z140" s="282">
        <v>0</v>
      </c>
      <c r="AA140" s="282">
        <v>0</v>
      </c>
      <c r="AB140" s="282">
        <v>0</v>
      </c>
      <c r="AC140" s="282">
        <v>0</v>
      </c>
      <c r="AD140" s="282">
        <v>0</v>
      </c>
      <c r="AE140" s="282">
        <v>0</v>
      </c>
      <c r="AF140" s="153"/>
      <c r="AG140" s="282">
        <v>186.5</v>
      </c>
      <c r="AH140" s="282">
        <v>166.5</v>
      </c>
      <c r="AI140" s="282">
        <v>143.49999999999989</v>
      </c>
      <c r="AJ140" s="282">
        <v>126.5</v>
      </c>
      <c r="AK140" s="283">
        <v>93.5</v>
      </c>
      <c r="AL140" s="284"/>
      <c r="AM140" s="282">
        <v>141.50000000000006</v>
      </c>
      <c r="AN140" s="282">
        <v>111.5</v>
      </c>
      <c r="AO140" s="282">
        <v>62.5</v>
      </c>
      <c r="AP140" s="282">
        <v>-2.5</v>
      </c>
      <c r="AQ140" s="283">
        <v>-92.25</v>
      </c>
    </row>
    <row r="141" spans="1:43">
      <c r="B141" s="273" t="s">
        <v>65</v>
      </c>
      <c r="C141" s="286" t="s">
        <v>567</v>
      </c>
      <c r="D141" s="189">
        <v>373</v>
      </c>
      <c r="E141" s="115">
        <v>2.5</v>
      </c>
      <c r="F141" s="237" t="s">
        <v>459</v>
      </c>
      <c r="G141" s="314"/>
      <c r="I141" s="267">
        <v>128</v>
      </c>
      <c r="J141" s="267">
        <v>148</v>
      </c>
      <c r="K141" s="267">
        <v>171</v>
      </c>
      <c r="L141" s="267">
        <v>188</v>
      </c>
      <c r="M141" s="268">
        <v>221</v>
      </c>
      <c r="O141" s="267">
        <v>173</v>
      </c>
      <c r="P141" s="267">
        <v>210</v>
      </c>
      <c r="Q141" s="267">
        <v>259</v>
      </c>
      <c r="R141" s="267">
        <v>324</v>
      </c>
      <c r="S141" s="268">
        <v>436</v>
      </c>
      <c r="U141" s="282">
        <v>0</v>
      </c>
      <c r="V141" s="282">
        <v>0</v>
      </c>
      <c r="W141" s="282">
        <v>0</v>
      </c>
      <c r="X141" s="282">
        <v>0</v>
      </c>
      <c r="Y141" s="282">
        <v>0</v>
      </c>
      <c r="Z141" s="282">
        <v>0</v>
      </c>
      <c r="AA141" s="282">
        <v>0</v>
      </c>
      <c r="AB141" s="282">
        <v>-7</v>
      </c>
      <c r="AC141" s="282">
        <v>-7</v>
      </c>
      <c r="AD141" s="282">
        <v>-7</v>
      </c>
      <c r="AE141" s="282">
        <v>-7</v>
      </c>
      <c r="AF141" s="153"/>
      <c r="AG141" s="282">
        <v>245.5</v>
      </c>
      <c r="AH141" s="282">
        <v>225.5</v>
      </c>
      <c r="AI141" s="282">
        <v>202.49999999999989</v>
      </c>
      <c r="AJ141" s="282">
        <v>185.5</v>
      </c>
      <c r="AK141" s="283">
        <v>152.5</v>
      </c>
      <c r="AL141" s="284"/>
      <c r="AM141" s="282">
        <v>200.50000000000006</v>
      </c>
      <c r="AN141" s="282">
        <v>163</v>
      </c>
      <c r="AO141" s="282">
        <v>114</v>
      </c>
      <c r="AP141" s="282">
        <v>49</v>
      </c>
      <c r="AQ141" s="283">
        <v>-63</v>
      </c>
    </row>
    <row r="142" spans="1:43">
      <c r="A142" s="109"/>
      <c r="B142" s="280" t="s">
        <v>65</v>
      </c>
      <c r="C142" s="281" t="s">
        <v>568</v>
      </c>
      <c r="D142" s="188">
        <v>338</v>
      </c>
      <c r="E142" s="114">
        <v>2.5</v>
      </c>
      <c r="F142" s="239" t="s">
        <v>459</v>
      </c>
      <c r="G142" s="315"/>
      <c r="I142" s="282">
        <v>129</v>
      </c>
      <c r="J142" s="282">
        <v>149</v>
      </c>
      <c r="K142" s="282">
        <v>172</v>
      </c>
      <c r="L142" s="282">
        <v>189</v>
      </c>
      <c r="M142" s="283">
        <v>222</v>
      </c>
      <c r="O142" s="282">
        <v>174</v>
      </c>
      <c r="P142" s="282">
        <v>204</v>
      </c>
      <c r="Q142" s="282">
        <v>253</v>
      </c>
      <c r="R142" s="282">
        <v>318</v>
      </c>
      <c r="S142" s="283">
        <v>430</v>
      </c>
      <c r="U142" s="282">
        <v>0</v>
      </c>
      <c r="V142" s="282">
        <v>0</v>
      </c>
      <c r="W142" s="282">
        <v>0</v>
      </c>
      <c r="X142" s="282">
        <v>0</v>
      </c>
      <c r="Y142" s="282">
        <v>0</v>
      </c>
      <c r="Z142" s="282">
        <v>0</v>
      </c>
      <c r="AA142" s="282">
        <v>0</v>
      </c>
      <c r="AB142" s="282">
        <v>0</v>
      </c>
      <c r="AC142" s="282">
        <v>0</v>
      </c>
      <c r="AD142" s="282">
        <v>0</v>
      </c>
      <c r="AE142" s="282">
        <v>0</v>
      </c>
      <c r="AF142" s="153"/>
      <c r="AG142" s="282">
        <v>209.5</v>
      </c>
      <c r="AH142" s="282">
        <v>189.5</v>
      </c>
      <c r="AI142" s="282">
        <v>166.49999999999989</v>
      </c>
      <c r="AJ142" s="282">
        <v>149.5</v>
      </c>
      <c r="AK142" s="283">
        <v>116.5</v>
      </c>
      <c r="AL142" s="284"/>
      <c r="AM142" s="282">
        <v>164.50000000000006</v>
      </c>
      <c r="AN142" s="282">
        <v>134.5</v>
      </c>
      <c r="AO142" s="282">
        <v>85.5</v>
      </c>
      <c r="AP142" s="282">
        <v>20.5</v>
      </c>
      <c r="AQ142" s="283">
        <v>-91.5</v>
      </c>
    </row>
    <row r="143" spans="1:43">
      <c r="B143" s="273" t="s">
        <v>65</v>
      </c>
      <c r="C143" s="286" t="s">
        <v>557</v>
      </c>
      <c r="D143" s="189">
        <v>207</v>
      </c>
      <c r="E143" s="115">
        <v>2.5</v>
      </c>
      <c r="F143" s="237" t="s">
        <v>459</v>
      </c>
      <c r="G143" s="314"/>
      <c r="I143" s="267">
        <v>77</v>
      </c>
      <c r="J143" s="267">
        <v>97</v>
      </c>
      <c r="K143" s="267">
        <v>120</v>
      </c>
      <c r="L143" s="267">
        <v>137</v>
      </c>
      <c r="M143" s="268">
        <v>170</v>
      </c>
      <c r="O143" s="267">
        <v>122</v>
      </c>
      <c r="P143" s="267">
        <v>152</v>
      </c>
      <c r="Q143" s="267">
        <v>201</v>
      </c>
      <c r="R143" s="267">
        <v>266</v>
      </c>
      <c r="S143" s="268">
        <v>271</v>
      </c>
      <c r="U143" s="282">
        <v>0</v>
      </c>
      <c r="V143" s="282">
        <v>0</v>
      </c>
      <c r="W143" s="282">
        <v>0</v>
      </c>
      <c r="X143" s="282">
        <v>0</v>
      </c>
      <c r="Y143" s="282">
        <v>0</v>
      </c>
      <c r="Z143" s="282">
        <v>0</v>
      </c>
      <c r="AA143" s="282">
        <v>0</v>
      </c>
      <c r="AB143" s="282">
        <v>0</v>
      </c>
      <c r="AC143" s="282">
        <v>0</v>
      </c>
      <c r="AD143" s="282">
        <v>0</v>
      </c>
      <c r="AE143" s="282">
        <v>0</v>
      </c>
      <c r="AF143" s="153"/>
      <c r="AG143" s="282">
        <v>130.5</v>
      </c>
      <c r="AH143" s="282">
        <v>110.5</v>
      </c>
      <c r="AI143" s="282">
        <v>87.499999999999886</v>
      </c>
      <c r="AJ143" s="282">
        <v>70.5</v>
      </c>
      <c r="AK143" s="283">
        <v>37.5</v>
      </c>
      <c r="AL143" s="284"/>
      <c r="AM143" s="282">
        <v>85.500000000000057</v>
      </c>
      <c r="AN143" s="282">
        <v>55.5</v>
      </c>
      <c r="AO143" s="282">
        <v>6.5</v>
      </c>
      <c r="AP143" s="282">
        <v>-58.5</v>
      </c>
      <c r="AQ143" s="283">
        <v>-64.25</v>
      </c>
    </row>
    <row r="144" spans="1:43">
      <c r="A144" s="109"/>
      <c r="B144" s="280" t="s">
        <v>65</v>
      </c>
      <c r="C144" s="281" t="s">
        <v>569</v>
      </c>
      <c r="D144" s="188">
        <v>626</v>
      </c>
      <c r="E144" s="114">
        <v>2.5</v>
      </c>
      <c r="F144" s="239" t="s">
        <v>459</v>
      </c>
      <c r="G144" s="315"/>
      <c r="I144" s="282">
        <v>52</v>
      </c>
      <c r="J144" s="282">
        <v>239</v>
      </c>
      <c r="K144" s="282">
        <v>262</v>
      </c>
      <c r="L144" s="282">
        <v>279</v>
      </c>
      <c r="M144" s="283">
        <v>312</v>
      </c>
      <c r="O144" s="282">
        <v>97</v>
      </c>
      <c r="P144" s="282">
        <v>324</v>
      </c>
      <c r="Q144" s="282">
        <v>393</v>
      </c>
      <c r="R144" s="282">
        <v>448</v>
      </c>
      <c r="S144" s="283">
        <v>580</v>
      </c>
      <c r="U144" s="282">
        <v>0</v>
      </c>
      <c r="V144" s="282">
        <v>0</v>
      </c>
      <c r="W144" s="282">
        <v>0</v>
      </c>
      <c r="X144" s="282">
        <v>0</v>
      </c>
      <c r="Y144" s="282">
        <v>0</v>
      </c>
      <c r="Z144" s="282">
        <v>0</v>
      </c>
      <c r="AA144" s="282">
        <v>0</v>
      </c>
      <c r="AB144" s="282">
        <v>-30</v>
      </c>
      <c r="AC144" s="282">
        <v>-50</v>
      </c>
      <c r="AD144" s="282">
        <v>-40</v>
      </c>
      <c r="AE144" s="282">
        <v>-60</v>
      </c>
      <c r="AF144" s="153"/>
      <c r="AG144" s="282">
        <v>574</v>
      </c>
      <c r="AH144" s="282">
        <v>387.5</v>
      </c>
      <c r="AI144" s="282">
        <v>364.49999999999989</v>
      </c>
      <c r="AJ144" s="282">
        <v>347.5</v>
      </c>
      <c r="AK144" s="283">
        <v>314.5</v>
      </c>
      <c r="AL144" s="284"/>
      <c r="AM144" s="282">
        <v>529</v>
      </c>
      <c r="AN144" s="282">
        <v>302.5</v>
      </c>
      <c r="AO144" s="282">
        <v>233.5</v>
      </c>
      <c r="AP144" s="282">
        <v>178.5</v>
      </c>
      <c r="AQ144" s="283">
        <v>46.5</v>
      </c>
    </row>
    <row r="145" spans="1:43">
      <c r="B145" s="273" t="s">
        <v>65</v>
      </c>
      <c r="C145" s="286" t="s">
        <v>500</v>
      </c>
      <c r="D145" s="189">
        <v>343</v>
      </c>
      <c r="E145" s="115">
        <v>3.25</v>
      </c>
      <c r="F145" s="237" t="s">
        <v>190</v>
      </c>
      <c r="G145" s="314"/>
      <c r="I145" s="267">
        <v>168</v>
      </c>
      <c r="J145" s="267">
        <v>188</v>
      </c>
      <c r="K145" s="267">
        <v>211</v>
      </c>
      <c r="L145" s="267">
        <v>228</v>
      </c>
      <c r="M145" s="268">
        <v>261</v>
      </c>
      <c r="O145" s="267">
        <v>213</v>
      </c>
      <c r="P145" s="267">
        <v>243</v>
      </c>
      <c r="Q145" s="267">
        <v>304</v>
      </c>
      <c r="R145" s="267">
        <v>363</v>
      </c>
      <c r="S145" s="268">
        <v>430</v>
      </c>
      <c r="U145" s="282">
        <v>0</v>
      </c>
      <c r="V145" s="282">
        <v>0</v>
      </c>
      <c r="W145" s="282">
        <v>0</v>
      </c>
      <c r="X145" s="282">
        <v>0</v>
      </c>
      <c r="Y145" s="282">
        <v>0</v>
      </c>
      <c r="Z145" s="282">
        <v>0</v>
      </c>
      <c r="AA145" s="282">
        <v>0</v>
      </c>
      <c r="AB145" s="282">
        <v>0</v>
      </c>
      <c r="AC145" s="282">
        <v>0</v>
      </c>
      <c r="AD145" s="282">
        <v>0</v>
      </c>
      <c r="AE145" s="282">
        <v>0</v>
      </c>
      <c r="AF145" s="153"/>
      <c r="AG145" s="282">
        <v>175.25</v>
      </c>
      <c r="AH145" s="282">
        <v>155.25</v>
      </c>
      <c r="AI145" s="282">
        <v>132.24999999999989</v>
      </c>
      <c r="AJ145" s="282">
        <v>115.25</v>
      </c>
      <c r="AK145" s="283">
        <v>82.25</v>
      </c>
      <c r="AL145" s="284"/>
      <c r="AM145" s="282">
        <v>130.25000000000006</v>
      </c>
      <c r="AN145" s="282">
        <v>100.25</v>
      </c>
      <c r="AO145" s="282">
        <v>39.25</v>
      </c>
      <c r="AP145" s="282">
        <v>-19.75</v>
      </c>
      <c r="AQ145" s="283">
        <v>-86.625</v>
      </c>
    </row>
    <row r="146" spans="1:43">
      <c r="A146" s="109"/>
      <c r="B146" s="280" t="s">
        <v>65</v>
      </c>
      <c r="C146" s="281" t="s">
        <v>570</v>
      </c>
      <c r="D146" s="188">
        <v>1086</v>
      </c>
      <c r="E146" s="114">
        <v>3.25</v>
      </c>
      <c r="F146" s="239" t="s">
        <v>190</v>
      </c>
      <c r="G146" s="315"/>
      <c r="I146" s="282">
        <v>52</v>
      </c>
      <c r="J146" s="282">
        <v>292</v>
      </c>
      <c r="K146" s="282">
        <v>315</v>
      </c>
      <c r="L146" s="282">
        <v>332</v>
      </c>
      <c r="M146" s="283">
        <v>365</v>
      </c>
      <c r="O146" s="282">
        <v>97</v>
      </c>
      <c r="P146" s="282">
        <v>377</v>
      </c>
      <c r="Q146" s="282">
        <v>446</v>
      </c>
      <c r="R146" s="282">
        <v>501</v>
      </c>
      <c r="S146" s="283">
        <v>633</v>
      </c>
      <c r="U146" s="282">
        <v>0</v>
      </c>
      <c r="V146" s="282">
        <v>0</v>
      </c>
      <c r="W146" s="282">
        <v>0</v>
      </c>
      <c r="X146" s="282">
        <v>0</v>
      </c>
      <c r="Y146" s="282">
        <v>0</v>
      </c>
      <c r="Z146" s="282">
        <v>0</v>
      </c>
      <c r="AA146" s="282">
        <v>0</v>
      </c>
      <c r="AB146" s="282">
        <v>-30</v>
      </c>
      <c r="AC146" s="282">
        <v>-50</v>
      </c>
      <c r="AD146" s="282">
        <v>-40</v>
      </c>
      <c r="AE146" s="282">
        <v>-60</v>
      </c>
      <c r="AF146" s="153"/>
      <c r="AG146" s="282">
        <v>1034</v>
      </c>
      <c r="AH146" s="282">
        <v>794.25</v>
      </c>
      <c r="AI146" s="282">
        <v>771.24999999999989</v>
      </c>
      <c r="AJ146" s="282">
        <v>754.25</v>
      </c>
      <c r="AK146" s="283">
        <v>721.25</v>
      </c>
      <c r="AL146" s="284"/>
      <c r="AM146" s="282">
        <v>989</v>
      </c>
      <c r="AN146" s="282">
        <v>709.25</v>
      </c>
      <c r="AO146" s="282">
        <v>640.25</v>
      </c>
      <c r="AP146" s="282">
        <v>585.25</v>
      </c>
      <c r="AQ146" s="283">
        <v>453.25</v>
      </c>
    </row>
    <row r="147" spans="1:43">
      <c r="B147" s="273" t="s">
        <v>65</v>
      </c>
      <c r="C147" s="286" t="s">
        <v>571</v>
      </c>
      <c r="D147" s="189">
        <v>1179</v>
      </c>
      <c r="E147" s="115">
        <v>3.25</v>
      </c>
      <c r="F147" s="237" t="s">
        <v>190</v>
      </c>
      <c r="G147" s="314"/>
      <c r="I147" s="267">
        <v>52</v>
      </c>
      <c r="J147" s="267">
        <v>292</v>
      </c>
      <c r="K147" s="267">
        <v>315</v>
      </c>
      <c r="L147" s="267">
        <v>332</v>
      </c>
      <c r="M147" s="268">
        <v>365</v>
      </c>
      <c r="O147" s="267">
        <v>97</v>
      </c>
      <c r="P147" s="267">
        <v>377</v>
      </c>
      <c r="Q147" s="267">
        <v>446</v>
      </c>
      <c r="R147" s="267">
        <v>501</v>
      </c>
      <c r="S147" s="268">
        <v>633</v>
      </c>
      <c r="U147" s="282">
        <v>0</v>
      </c>
      <c r="V147" s="282">
        <v>0</v>
      </c>
      <c r="W147" s="282">
        <v>0</v>
      </c>
      <c r="X147" s="282">
        <v>0</v>
      </c>
      <c r="Y147" s="282">
        <v>0</v>
      </c>
      <c r="Z147" s="282">
        <v>0</v>
      </c>
      <c r="AA147" s="282">
        <v>0</v>
      </c>
      <c r="AB147" s="282">
        <v>-30</v>
      </c>
      <c r="AC147" s="282">
        <v>-50</v>
      </c>
      <c r="AD147" s="282">
        <v>-40</v>
      </c>
      <c r="AE147" s="282">
        <v>-60</v>
      </c>
      <c r="AF147" s="153"/>
      <c r="AG147" s="282">
        <v>1127</v>
      </c>
      <c r="AH147" s="282">
        <v>887.25</v>
      </c>
      <c r="AI147" s="282">
        <v>864.25</v>
      </c>
      <c r="AJ147" s="282">
        <v>847.25</v>
      </c>
      <c r="AK147" s="283">
        <v>814.25</v>
      </c>
      <c r="AL147" s="284"/>
      <c r="AM147" s="282">
        <v>1082</v>
      </c>
      <c r="AN147" s="282">
        <v>802.25</v>
      </c>
      <c r="AO147" s="282">
        <v>733.25</v>
      </c>
      <c r="AP147" s="282">
        <v>678.25</v>
      </c>
      <c r="AQ147" s="283">
        <v>546.25</v>
      </c>
    </row>
    <row r="148" spans="1:43">
      <c r="A148" s="109"/>
      <c r="B148" s="280" t="s">
        <v>65</v>
      </c>
      <c r="C148" s="281" t="s">
        <v>572</v>
      </c>
      <c r="D148" s="188">
        <v>1980</v>
      </c>
      <c r="E148" s="114">
        <v>3.25</v>
      </c>
      <c r="F148" s="239" t="s">
        <v>190</v>
      </c>
      <c r="G148" s="315"/>
      <c r="I148" s="282">
        <v>52</v>
      </c>
      <c r="J148" s="282">
        <v>492</v>
      </c>
      <c r="K148" s="282">
        <v>515</v>
      </c>
      <c r="L148" s="282">
        <v>532</v>
      </c>
      <c r="M148" s="283">
        <v>565</v>
      </c>
      <c r="O148" s="282">
        <v>97</v>
      </c>
      <c r="P148" s="282">
        <v>577</v>
      </c>
      <c r="Q148" s="282">
        <v>646</v>
      </c>
      <c r="R148" s="282">
        <v>701</v>
      </c>
      <c r="S148" s="283">
        <v>833</v>
      </c>
      <c r="U148" s="282">
        <v>0</v>
      </c>
      <c r="V148" s="282">
        <v>0</v>
      </c>
      <c r="W148" s="282">
        <v>0</v>
      </c>
      <c r="X148" s="282">
        <v>0</v>
      </c>
      <c r="Y148" s="282">
        <v>0</v>
      </c>
      <c r="Z148" s="282">
        <v>0</v>
      </c>
      <c r="AA148" s="282">
        <v>0</v>
      </c>
      <c r="AB148" s="282">
        <v>-30</v>
      </c>
      <c r="AC148" s="282">
        <v>-50</v>
      </c>
      <c r="AD148" s="282">
        <v>-40</v>
      </c>
      <c r="AE148" s="282">
        <v>-60</v>
      </c>
      <c r="AF148" s="153"/>
      <c r="AG148" s="282">
        <v>1928</v>
      </c>
      <c r="AH148" s="282">
        <v>1488.5</v>
      </c>
      <c r="AI148" s="282">
        <v>1465.5</v>
      </c>
      <c r="AJ148" s="282">
        <v>1448.5</v>
      </c>
      <c r="AK148" s="283">
        <v>1415.5</v>
      </c>
      <c r="AL148" s="284"/>
      <c r="AM148" s="282">
        <v>1883</v>
      </c>
      <c r="AN148" s="282">
        <v>1403.5</v>
      </c>
      <c r="AO148" s="282">
        <v>1334.5</v>
      </c>
      <c r="AP148" s="282">
        <v>1279.5</v>
      </c>
      <c r="AQ148" s="283">
        <v>1147.5</v>
      </c>
    </row>
    <row r="149" spans="1:43">
      <c r="B149" s="273" t="s">
        <v>65</v>
      </c>
      <c r="C149" s="286" t="s">
        <v>573</v>
      </c>
      <c r="D149" s="189">
        <v>1703</v>
      </c>
      <c r="E149" s="115">
        <v>3.25</v>
      </c>
      <c r="F149" s="237" t="s">
        <v>190</v>
      </c>
      <c r="G149" s="314"/>
      <c r="I149" s="267">
        <v>52</v>
      </c>
      <c r="J149" s="267">
        <v>342</v>
      </c>
      <c r="K149" s="267">
        <v>365</v>
      </c>
      <c r="L149" s="267">
        <v>382</v>
      </c>
      <c r="M149" s="268">
        <v>415</v>
      </c>
      <c r="O149" s="267">
        <v>97</v>
      </c>
      <c r="P149" s="267">
        <v>427</v>
      </c>
      <c r="Q149" s="267">
        <v>496</v>
      </c>
      <c r="R149" s="267">
        <v>551</v>
      </c>
      <c r="S149" s="268">
        <v>683</v>
      </c>
      <c r="U149" s="282">
        <v>0</v>
      </c>
      <c r="V149" s="282">
        <v>0</v>
      </c>
      <c r="W149" s="282">
        <v>0</v>
      </c>
      <c r="X149" s="282">
        <v>0</v>
      </c>
      <c r="Y149" s="282">
        <v>0</v>
      </c>
      <c r="Z149" s="282">
        <v>0</v>
      </c>
      <c r="AA149" s="282">
        <v>0</v>
      </c>
      <c r="AB149" s="282">
        <v>-30</v>
      </c>
      <c r="AC149" s="282">
        <v>-50</v>
      </c>
      <c r="AD149" s="282">
        <v>-40</v>
      </c>
      <c r="AE149" s="282">
        <v>-60</v>
      </c>
      <c r="AF149" s="153"/>
      <c r="AG149" s="282">
        <v>1651</v>
      </c>
      <c r="AH149" s="282">
        <v>1361.25</v>
      </c>
      <c r="AI149" s="282">
        <v>1338.25</v>
      </c>
      <c r="AJ149" s="282">
        <v>1321.25</v>
      </c>
      <c r="AK149" s="283">
        <v>1288.25</v>
      </c>
      <c r="AL149" s="284"/>
      <c r="AM149" s="282">
        <v>1606</v>
      </c>
      <c r="AN149" s="282">
        <v>1276.25</v>
      </c>
      <c r="AO149" s="282">
        <v>1207.25</v>
      </c>
      <c r="AP149" s="282">
        <v>1152.25</v>
      </c>
      <c r="AQ149" s="283">
        <v>1020.25</v>
      </c>
    </row>
    <row r="150" spans="1:43">
      <c r="A150" s="109"/>
      <c r="B150" s="280" t="s">
        <v>65</v>
      </c>
      <c r="C150" s="281" t="s">
        <v>574</v>
      </c>
      <c r="D150" s="188">
        <v>1796</v>
      </c>
      <c r="E150" s="114">
        <v>3.25</v>
      </c>
      <c r="F150" s="239" t="s">
        <v>190</v>
      </c>
      <c r="G150" s="315"/>
      <c r="I150" s="282">
        <v>52</v>
      </c>
      <c r="J150" s="282">
        <v>343</v>
      </c>
      <c r="K150" s="282">
        <v>366</v>
      </c>
      <c r="L150" s="282">
        <v>383</v>
      </c>
      <c r="M150" s="283">
        <v>416</v>
      </c>
      <c r="O150" s="282">
        <v>97</v>
      </c>
      <c r="P150" s="282">
        <v>428</v>
      </c>
      <c r="Q150" s="282">
        <v>497</v>
      </c>
      <c r="R150" s="282">
        <v>552</v>
      </c>
      <c r="S150" s="283">
        <v>684</v>
      </c>
      <c r="U150" s="282">
        <v>0</v>
      </c>
      <c r="V150" s="282">
        <v>0</v>
      </c>
      <c r="W150" s="282">
        <v>0</v>
      </c>
      <c r="X150" s="282">
        <v>0</v>
      </c>
      <c r="Y150" s="282">
        <v>0</v>
      </c>
      <c r="Z150" s="282">
        <v>0</v>
      </c>
      <c r="AA150" s="282">
        <v>0</v>
      </c>
      <c r="AB150" s="282">
        <v>-30</v>
      </c>
      <c r="AC150" s="282">
        <v>-50</v>
      </c>
      <c r="AD150" s="282">
        <v>-40</v>
      </c>
      <c r="AE150" s="282">
        <v>-60</v>
      </c>
      <c r="AF150" s="153"/>
      <c r="AG150" s="282">
        <v>1744</v>
      </c>
      <c r="AH150" s="282">
        <v>1453.25</v>
      </c>
      <c r="AI150" s="282">
        <v>1430.25</v>
      </c>
      <c r="AJ150" s="282">
        <v>1413.25</v>
      </c>
      <c r="AK150" s="283">
        <v>1380.25</v>
      </c>
      <c r="AL150" s="284"/>
      <c r="AM150" s="282">
        <v>1699</v>
      </c>
      <c r="AN150" s="282">
        <v>1368.25</v>
      </c>
      <c r="AO150" s="282">
        <v>1299.25</v>
      </c>
      <c r="AP150" s="282">
        <v>1244.25</v>
      </c>
      <c r="AQ150" s="283">
        <v>1112.25</v>
      </c>
    </row>
    <row r="151" spans="1:43">
      <c r="B151" s="273" t="s">
        <v>65</v>
      </c>
      <c r="C151" s="286" t="s">
        <v>515</v>
      </c>
      <c r="D151" s="189">
        <v>429</v>
      </c>
      <c r="E151" s="115">
        <v>0</v>
      </c>
      <c r="F151" s="237" t="s">
        <v>195</v>
      </c>
      <c r="G151" s="314"/>
      <c r="I151" s="267">
        <v>191</v>
      </c>
      <c r="J151" s="267">
        <v>211</v>
      </c>
      <c r="K151" s="267">
        <v>234</v>
      </c>
      <c r="L151" s="267">
        <v>251</v>
      </c>
      <c r="M151" s="268">
        <v>284</v>
      </c>
      <c r="O151" s="267">
        <v>236</v>
      </c>
      <c r="P151" s="267">
        <v>266</v>
      </c>
      <c r="Q151" s="267">
        <v>315</v>
      </c>
      <c r="R151" s="267">
        <v>380</v>
      </c>
      <c r="S151" s="268">
        <v>492</v>
      </c>
      <c r="U151" s="282">
        <v>0</v>
      </c>
      <c r="V151" s="282">
        <v>0</v>
      </c>
      <c r="W151" s="282">
        <v>0</v>
      </c>
      <c r="X151" s="282">
        <v>0</v>
      </c>
      <c r="Y151" s="282">
        <v>0</v>
      </c>
      <c r="Z151" s="282">
        <v>0</v>
      </c>
      <c r="AA151" s="282">
        <v>0</v>
      </c>
      <c r="AB151" s="282">
        <v>0</v>
      </c>
      <c r="AC151" s="282">
        <v>0</v>
      </c>
      <c r="AD151" s="282">
        <v>0</v>
      </c>
      <c r="AE151" s="282">
        <v>0</v>
      </c>
      <c r="AF151" s="153"/>
      <c r="AG151" s="282">
        <v>238.36</v>
      </c>
      <c r="AH151" s="282">
        <v>218.36</v>
      </c>
      <c r="AI151" s="282">
        <v>195.3599999999999</v>
      </c>
      <c r="AJ151" s="282">
        <v>178.36</v>
      </c>
      <c r="AK151" s="283">
        <v>145.36000000000001</v>
      </c>
      <c r="AL151" s="284"/>
      <c r="AM151" s="282">
        <v>193.36000000000007</v>
      </c>
      <c r="AN151" s="282">
        <v>163</v>
      </c>
      <c r="AO151" s="282">
        <v>114</v>
      </c>
      <c r="AP151" s="282">
        <v>49</v>
      </c>
      <c r="AQ151" s="283">
        <v>-63</v>
      </c>
    </row>
    <row r="152" spans="1:43">
      <c r="A152" s="109"/>
      <c r="B152" s="280" t="s">
        <v>65</v>
      </c>
      <c r="C152" s="281" t="s">
        <v>516</v>
      </c>
      <c r="D152" s="188">
        <v>537</v>
      </c>
      <c r="E152" s="114">
        <v>0</v>
      </c>
      <c r="F152" s="239" t="s">
        <v>195</v>
      </c>
      <c r="G152" s="315"/>
      <c r="I152" s="282">
        <v>52</v>
      </c>
      <c r="J152" s="282">
        <v>72</v>
      </c>
      <c r="K152" s="282">
        <v>192</v>
      </c>
      <c r="L152" s="282">
        <v>209</v>
      </c>
      <c r="M152" s="283">
        <v>242</v>
      </c>
      <c r="O152" s="282">
        <v>97</v>
      </c>
      <c r="P152" s="282">
        <v>157</v>
      </c>
      <c r="Q152" s="282">
        <v>323</v>
      </c>
      <c r="R152" s="282">
        <v>378</v>
      </c>
      <c r="S152" s="283">
        <v>510</v>
      </c>
      <c r="U152" s="282">
        <v>0</v>
      </c>
      <c r="V152" s="282">
        <v>0</v>
      </c>
      <c r="W152" s="282">
        <v>0</v>
      </c>
      <c r="X152" s="282">
        <v>0</v>
      </c>
      <c r="Y152" s="282">
        <v>0</v>
      </c>
      <c r="Z152" s="282">
        <v>0</v>
      </c>
      <c r="AA152" s="282">
        <v>0</v>
      </c>
      <c r="AB152" s="282">
        <v>-30</v>
      </c>
      <c r="AC152" s="282">
        <v>-50</v>
      </c>
      <c r="AD152" s="282">
        <v>-40</v>
      </c>
      <c r="AE152" s="282">
        <v>-60</v>
      </c>
      <c r="AF152" s="153"/>
      <c r="AG152" s="282">
        <v>485</v>
      </c>
      <c r="AH152" s="282">
        <v>465</v>
      </c>
      <c r="AI152" s="282">
        <v>344.7999999999999</v>
      </c>
      <c r="AJ152" s="282">
        <v>327.8</v>
      </c>
      <c r="AK152" s="283">
        <v>294.8</v>
      </c>
      <c r="AL152" s="284"/>
      <c r="AM152" s="282">
        <v>440.00000000000006</v>
      </c>
      <c r="AN152" s="282">
        <v>380</v>
      </c>
      <c r="AO152" s="282">
        <v>213.8</v>
      </c>
      <c r="AP152" s="282">
        <v>158.80000000000001</v>
      </c>
      <c r="AQ152" s="283">
        <v>26.800000000000011</v>
      </c>
    </row>
    <row r="153" spans="1:43">
      <c r="B153" s="273" t="s">
        <v>65</v>
      </c>
      <c r="C153" s="286" t="s">
        <v>517</v>
      </c>
      <c r="D153" s="189">
        <v>702</v>
      </c>
      <c r="E153" s="115">
        <v>0</v>
      </c>
      <c r="F153" s="237" t="s">
        <v>195</v>
      </c>
      <c r="G153" s="314"/>
      <c r="I153" s="267">
        <v>52</v>
      </c>
      <c r="J153" s="267">
        <v>72</v>
      </c>
      <c r="K153" s="267">
        <v>292</v>
      </c>
      <c r="L153" s="267">
        <v>309</v>
      </c>
      <c r="M153" s="268">
        <v>342</v>
      </c>
      <c r="O153" s="267">
        <v>97</v>
      </c>
      <c r="P153" s="267">
        <v>157</v>
      </c>
      <c r="Q153" s="267">
        <v>423</v>
      </c>
      <c r="R153" s="267">
        <v>478</v>
      </c>
      <c r="S153" s="268">
        <v>610</v>
      </c>
      <c r="U153" s="282">
        <v>0</v>
      </c>
      <c r="V153" s="282">
        <v>0</v>
      </c>
      <c r="W153" s="282">
        <v>0</v>
      </c>
      <c r="X153" s="282">
        <v>0</v>
      </c>
      <c r="Y153" s="282">
        <v>0</v>
      </c>
      <c r="Z153" s="282">
        <v>0</v>
      </c>
      <c r="AA153" s="282">
        <v>0</v>
      </c>
      <c r="AB153" s="282">
        <v>-30</v>
      </c>
      <c r="AC153" s="282">
        <v>-50</v>
      </c>
      <c r="AD153" s="282">
        <v>-40</v>
      </c>
      <c r="AE153" s="282">
        <v>-60</v>
      </c>
      <c r="AF153" s="153"/>
      <c r="AG153" s="282">
        <v>650</v>
      </c>
      <c r="AH153" s="282">
        <v>630</v>
      </c>
      <c r="AI153" s="282">
        <v>409.7999999999999</v>
      </c>
      <c r="AJ153" s="282">
        <v>392.8</v>
      </c>
      <c r="AK153" s="283">
        <v>359.8</v>
      </c>
      <c r="AL153" s="284"/>
      <c r="AM153" s="282">
        <v>605</v>
      </c>
      <c r="AN153" s="282">
        <v>545</v>
      </c>
      <c r="AO153" s="282">
        <v>278.8</v>
      </c>
      <c r="AP153" s="282">
        <v>223.8</v>
      </c>
      <c r="AQ153" s="283">
        <v>91.800000000000011</v>
      </c>
    </row>
    <row r="154" spans="1:43">
      <c r="A154" s="109"/>
      <c r="B154" s="280" t="s">
        <v>65</v>
      </c>
      <c r="C154" s="281" t="s">
        <v>417</v>
      </c>
      <c r="D154" s="188">
        <v>2727</v>
      </c>
      <c r="E154" s="114">
        <v>0</v>
      </c>
      <c r="F154" s="239" t="s">
        <v>195</v>
      </c>
      <c r="G154" s="315"/>
      <c r="I154" s="282">
        <v>52</v>
      </c>
      <c r="J154" s="282">
        <v>72</v>
      </c>
      <c r="K154" s="282">
        <v>923</v>
      </c>
      <c r="L154" s="282">
        <v>940</v>
      </c>
      <c r="M154" s="283">
        <v>973</v>
      </c>
      <c r="O154" s="282">
        <v>97</v>
      </c>
      <c r="P154" s="282">
        <v>157</v>
      </c>
      <c r="Q154" s="282">
        <v>1054</v>
      </c>
      <c r="R154" s="282">
        <v>1109</v>
      </c>
      <c r="S154" s="283">
        <v>1241</v>
      </c>
      <c r="U154" s="282">
        <v>0</v>
      </c>
      <c r="V154" s="282">
        <v>0</v>
      </c>
      <c r="W154" s="282">
        <v>0</v>
      </c>
      <c r="X154" s="282">
        <v>0</v>
      </c>
      <c r="Y154" s="282">
        <v>0</v>
      </c>
      <c r="Z154" s="282">
        <v>0</v>
      </c>
      <c r="AA154" s="282">
        <v>0</v>
      </c>
      <c r="AB154" s="282">
        <v>-30</v>
      </c>
      <c r="AC154" s="282">
        <v>-50</v>
      </c>
      <c r="AD154" s="282">
        <v>-40</v>
      </c>
      <c r="AE154" s="282">
        <v>-60</v>
      </c>
      <c r="AF154" s="153"/>
      <c r="AG154" s="282">
        <v>2675</v>
      </c>
      <c r="AH154" s="282">
        <v>2655</v>
      </c>
      <c r="AI154" s="282">
        <v>1803.8</v>
      </c>
      <c r="AJ154" s="282">
        <v>1786.8</v>
      </c>
      <c r="AK154" s="283">
        <v>1753.8</v>
      </c>
      <c r="AL154" s="284"/>
      <c r="AM154" s="282">
        <v>2630</v>
      </c>
      <c r="AN154" s="282">
        <v>2570</v>
      </c>
      <c r="AO154" s="282">
        <v>1672.8</v>
      </c>
      <c r="AP154" s="282">
        <v>1617.8</v>
      </c>
      <c r="AQ154" s="283">
        <v>1485.8</v>
      </c>
    </row>
    <row r="155" spans="1:43">
      <c r="B155" s="273" t="s">
        <v>65</v>
      </c>
      <c r="C155" s="286" t="s">
        <v>518</v>
      </c>
      <c r="D155" s="189">
        <v>1012</v>
      </c>
      <c r="E155" s="115">
        <v>0</v>
      </c>
      <c r="F155" s="237" t="s">
        <v>195</v>
      </c>
      <c r="G155" s="314"/>
      <c r="I155" s="267">
        <v>52</v>
      </c>
      <c r="J155" s="267">
        <v>72</v>
      </c>
      <c r="K155" s="267">
        <v>359</v>
      </c>
      <c r="L155" s="267">
        <v>376</v>
      </c>
      <c r="M155" s="268">
        <v>409</v>
      </c>
      <c r="O155" s="267">
        <v>97</v>
      </c>
      <c r="P155" s="267">
        <v>157</v>
      </c>
      <c r="Q155" s="267">
        <v>490</v>
      </c>
      <c r="R155" s="267">
        <v>545</v>
      </c>
      <c r="S155" s="268">
        <v>677</v>
      </c>
      <c r="U155" s="282">
        <v>0</v>
      </c>
      <c r="V155" s="282">
        <v>0</v>
      </c>
      <c r="W155" s="282">
        <v>0</v>
      </c>
      <c r="X155" s="282">
        <v>0</v>
      </c>
      <c r="Y155" s="282">
        <v>0</v>
      </c>
      <c r="Z155" s="282">
        <v>0</v>
      </c>
      <c r="AA155" s="282">
        <v>0</v>
      </c>
      <c r="AB155" s="282">
        <v>-30</v>
      </c>
      <c r="AC155" s="282">
        <v>-50</v>
      </c>
      <c r="AD155" s="282">
        <v>-40</v>
      </c>
      <c r="AE155" s="282">
        <v>-60</v>
      </c>
      <c r="AF155" s="153"/>
      <c r="AG155" s="282">
        <v>960</v>
      </c>
      <c r="AH155" s="282">
        <v>940</v>
      </c>
      <c r="AI155" s="282">
        <v>652.84999999999991</v>
      </c>
      <c r="AJ155" s="282">
        <v>635.85</v>
      </c>
      <c r="AK155" s="283">
        <v>602.85</v>
      </c>
      <c r="AL155" s="284"/>
      <c r="AM155" s="282">
        <v>915</v>
      </c>
      <c r="AN155" s="282">
        <v>855</v>
      </c>
      <c r="AO155" s="282">
        <v>521.85</v>
      </c>
      <c r="AP155" s="282">
        <v>466.85</v>
      </c>
      <c r="AQ155" s="283">
        <v>334.85</v>
      </c>
    </row>
    <row r="156" spans="1:43">
      <c r="A156" s="109"/>
      <c r="B156" s="280" t="s">
        <v>180</v>
      </c>
      <c r="C156" s="281" t="s">
        <v>384</v>
      </c>
      <c r="D156" s="188">
        <v>162</v>
      </c>
      <c r="E156" s="114">
        <v>3.25</v>
      </c>
      <c r="F156" s="239" t="s">
        <v>190</v>
      </c>
      <c r="G156" s="315"/>
      <c r="I156" s="282">
        <v>99</v>
      </c>
      <c r="J156" s="282">
        <v>119</v>
      </c>
      <c r="K156" s="282">
        <v>142</v>
      </c>
      <c r="L156" s="282">
        <v>159</v>
      </c>
      <c r="M156" s="283">
        <v>192</v>
      </c>
      <c r="O156" s="282">
        <v>144</v>
      </c>
      <c r="P156" s="282">
        <v>174</v>
      </c>
      <c r="Q156" s="282">
        <v>223</v>
      </c>
      <c r="R156" s="282">
        <v>221</v>
      </c>
      <c r="S156" s="283">
        <v>221</v>
      </c>
      <c r="U156" s="282">
        <v>0</v>
      </c>
      <c r="V156" s="282">
        <v>0</v>
      </c>
      <c r="W156" s="282">
        <v>0</v>
      </c>
      <c r="X156" s="282">
        <v>0</v>
      </c>
      <c r="Y156" s="282">
        <v>0</v>
      </c>
      <c r="Z156" s="282">
        <v>0</v>
      </c>
      <c r="AA156" s="282">
        <v>0</v>
      </c>
      <c r="AB156" s="282">
        <v>0</v>
      </c>
      <c r="AC156" s="282">
        <v>0</v>
      </c>
      <c r="AD156" s="282">
        <v>0</v>
      </c>
      <c r="AE156" s="282">
        <v>0</v>
      </c>
      <c r="AF156" s="153"/>
      <c r="AG156" s="282">
        <v>63.25</v>
      </c>
      <c r="AH156" s="282">
        <v>43.25</v>
      </c>
      <c r="AI156" s="282">
        <v>20.249999999999886</v>
      </c>
      <c r="AJ156" s="282">
        <v>3.25</v>
      </c>
      <c r="AK156" s="283">
        <v>-29.75</v>
      </c>
      <c r="AL156" s="284"/>
      <c r="AM156" s="282">
        <v>18.250000000000057</v>
      </c>
      <c r="AN156" s="282">
        <v>-11.75</v>
      </c>
      <c r="AO156" s="282">
        <v>-60.75</v>
      </c>
      <c r="AP156" s="282">
        <v>-58.625</v>
      </c>
      <c r="AQ156" s="283">
        <v>-58.625</v>
      </c>
    </row>
    <row r="157" spans="1:43">
      <c r="B157" s="273" t="s">
        <v>180</v>
      </c>
      <c r="C157" s="286" t="s">
        <v>519</v>
      </c>
      <c r="D157" s="189">
        <v>161</v>
      </c>
      <c r="E157" s="115">
        <v>3.25</v>
      </c>
      <c r="F157" s="237" t="s">
        <v>190</v>
      </c>
      <c r="G157" s="314"/>
      <c r="I157" s="267">
        <v>67</v>
      </c>
      <c r="J157" s="267">
        <v>87</v>
      </c>
      <c r="K157" s="267">
        <v>110</v>
      </c>
      <c r="L157" s="267">
        <v>127</v>
      </c>
      <c r="M157" s="268">
        <v>160</v>
      </c>
      <c r="O157" s="267">
        <v>112</v>
      </c>
      <c r="P157" s="267">
        <v>142</v>
      </c>
      <c r="Q157" s="267">
        <v>191</v>
      </c>
      <c r="R157" s="267">
        <v>235</v>
      </c>
      <c r="S157" s="268">
        <v>235</v>
      </c>
      <c r="U157" s="282">
        <v>0</v>
      </c>
      <c r="V157" s="282">
        <v>0</v>
      </c>
      <c r="W157" s="282">
        <v>0</v>
      </c>
      <c r="X157" s="282">
        <v>0</v>
      </c>
      <c r="Y157" s="282">
        <v>0</v>
      </c>
      <c r="Z157" s="282">
        <v>0</v>
      </c>
      <c r="AA157" s="282">
        <v>0</v>
      </c>
      <c r="AB157" s="282">
        <v>0</v>
      </c>
      <c r="AC157" s="282">
        <v>0</v>
      </c>
      <c r="AD157" s="282">
        <v>0</v>
      </c>
      <c r="AE157" s="282">
        <v>0</v>
      </c>
      <c r="AF157" s="153"/>
      <c r="AG157" s="282">
        <v>94.25</v>
      </c>
      <c r="AH157" s="282">
        <v>74.25</v>
      </c>
      <c r="AI157" s="282">
        <v>51.249999999999886</v>
      </c>
      <c r="AJ157" s="282">
        <v>34.25</v>
      </c>
      <c r="AK157" s="283">
        <v>1.25</v>
      </c>
      <c r="AL157" s="284"/>
      <c r="AM157" s="282">
        <v>49.250000000000057</v>
      </c>
      <c r="AN157" s="282">
        <v>19.25</v>
      </c>
      <c r="AO157" s="282">
        <v>-29.75</v>
      </c>
      <c r="AP157" s="282">
        <v>-74.125</v>
      </c>
      <c r="AQ157" s="283">
        <v>-74.125</v>
      </c>
    </row>
    <row r="158" spans="1:43">
      <c r="A158" s="161"/>
      <c r="B158" s="280" t="s">
        <v>180</v>
      </c>
      <c r="C158" s="281" t="s">
        <v>558</v>
      </c>
      <c r="D158" s="188">
        <v>201</v>
      </c>
      <c r="E158" s="114">
        <v>3.25</v>
      </c>
      <c r="F158" s="239" t="s">
        <v>190</v>
      </c>
      <c r="G158" s="315"/>
      <c r="I158" s="282">
        <v>66</v>
      </c>
      <c r="J158" s="282">
        <v>86</v>
      </c>
      <c r="K158" s="282">
        <v>109</v>
      </c>
      <c r="L158" s="282">
        <v>126</v>
      </c>
      <c r="M158" s="283">
        <v>159</v>
      </c>
      <c r="O158" s="282">
        <v>111</v>
      </c>
      <c r="P158" s="282">
        <v>141</v>
      </c>
      <c r="Q158" s="282">
        <v>190</v>
      </c>
      <c r="R158" s="282">
        <v>255</v>
      </c>
      <c r="S158" s="283">
        <v>268</v>
      </c>
      <c r="U158" s="282">
        <v>0</v>
      </c>
      <c r="V158" s="282">
        <v>0</v>
      </c>
      <c r="W158" s="282">
        <v>0</v>
      </c>
      <c r="X158" s="282">
        <v>0</v>
      </c>
      <c r="Y158" s="282">
        <v>0</v>
      </c>
      <c r="Z158" s="282">
        <v>0</v>
      </c>
      <c r="AA158" s="282">
        <v>0</v>
      </c>
      <c r="AB158" s="282">
        <v>0</v>
      </c>
      <c r="AC158" s="282">
        <v>0</v>
      </c>
      <c r="AD158" s="282">
        <v>0</v>
      </c>
      <c r="AE158" s="282">
        <v>0</v>
      </c>
      <c r="AF158" s="153"/>
      <c r="AG158" s="282">
        <v>135.25</v>
      </c>
      <c r="AH158" s="282">
        <v>115.25</v>
      </c>
      <c r="AI158" s="282">
        <v>92.249999999999886</v>
      </c>
      <c r="AJ158" s="282">
        <v>75.25</v>
      </c>
      <c r="AK158" s="283">
        <v>42.25</v>
      </c>
      <c r="AL158" s="284"/>
      <c r="AM158" s="282">
        <v>90.250000000000057</v>
      </c>
      <c r="AN158" s="282">
        <v>60.25</v>
      </c>
      <c r="AO158" s="282">
        <v>11.25</v>
      </c>
      <c r="AP158" s="282">
        <v>-53.75</v>
      </c>
      <c r="AQ158" s="283">
        <v>-66.625</v>
      </c>
    </row>
    <row r="159" spans="1:43">
      <c r="A159" s="161"/>
      <c r="B159" s="273" t="s">
        <v>180</v>
      </c>
      <c r="C159" s="286" t="s">
        <v>520</v>
      </c>
      <c r="D159" s="189">
        <v>159</v>
      </c>
      <c r="E159" s="115">
        <v>0</v>
      </c>
      <c r="F159" s="237" t="s">
        <v>195</v>
      </c>
      <c r="G159" s="314"/>
      <c r="I159" s="267">
        <v>52</v>
      </c>
      <c r="J159" s="267">
        <v>72</v>
      </c>
      <c r="K159" s="267">
        <v>95</v>
      </c>
      <c r="L159" s="267">
        <v>112</v>
      </c>
      <c r="M159" s="268">
        <v>145</v>
      </c>
      <c r="O159" s="267">
        <v>97</v>
      </c>
      <c r="P159" s="267">
        <v>127</v>
      </c>
      <c r="Q159" s="267">
        <v>176</v>
      </c>
      <c r="R159" s="267">
        <v>241</v>
      </c>
      <c r="S159" s="268">
        <v>241</v>
      </c>
      <c r="U159" s="282">
        <v>0</v>
      </c>
      <c r="V159" s="282">
        <v>0</v>
      </c>
      <c r="W159" s="282">
        <v>0</v>
      </c>
      <c r="X159" s="282">
        <v>0</v>
      </c>
      <c r="Y159" s="282">
        <v>0</v>
      </c>
      <c r="Z159" s="282">
        <v>0</v>
      </c>
      <c r="AA159" s="282">
        <v>0</v>
      </c>
      <c r="AB159" s="282">
        <v>0</v>
      </c>
      <c r="AC159" s="282">
        <v>0</v>
      </c>
      <c r="AD159" s="282">
        <v>0</v>
      </c>
      <c r="AE159" s="282">
        <v>0</v>
      </c>
      <c r="AF159" s="153"/>
      <c r="AG159" s="282">
        <v>107</v>
      </c>
      <c r="AH159" s="282">
        <v>87</v>
      </c>
      <c r="AI159" s="282">
        <v>63.999999999999886</v>
      </c>
      <c r="AJ159" s="282">
        <v>47</v>
      </c>
      <c r="AK159" s="283">
        <v>14</v>
      </c>
      <c r="AL159" s="284"/>
      <c r="AM159" s="282">
        <v>62.000000000000057</v>
      </c>
      <c r="AN159" s="282">
        <v>32</v>
      </c>
      <c r="AO159" s="282">
        <v>-17</v>
      </c>
      <c r="AP159" s="282">
        <v>-82</v>
      </c>
      <c r="AQ159" s="283">
        <v>-82</v>
      </c>
    </row>
    <row r="160" spans="1:43">
      <c r="A160" s="161"/>
      <c r="B160" s="280" t="s">
        <v>180</v>
      </c>
      <c r="C160" s="281" t="s">
        <v>428</v>
      </c>
      <c r="D160" s="188">
        <v>49</v>
      </c>
      <c r="E160" s="114">
        <v>1.1000000000000001</v>
      </c>
      <c r="F160" s="239" t="s">
        <v>4</v>
      </c>
      <c r="G160" s="315"/>
      <c r="I160" s="282">
        <v>49</v>
      </c>
      <c r="J160" s="282">
        <v>49</v>
      </c>
      <c r="K160" s="282">
        <v>0</v>
      </c>
      <c r="L160" s="282">
        <v>0</v>
      </c>
      <c r="M160" s="283">
        <v>0</v>
      </c>
      <c r="O160" s="282">
        <v>49</v>
      </c>
      <c r="P160" s="282">
        <v>49</v>
      </c>
      <c r="Q160" s="282">
        <v>0</v>
      </c>
      <c r="R160" s="282">
        <v>0</v>
      </c>
      <c r="S160" s="283">
        <v>0</v>
      </c>
      <c r="U160" s="282">
        <v>0</v>
      </c>
      <c r="V160" s="282">
        <v>0</v>
      </c>
      <c r="W160" s="282">
        <v>0</v>
      </c>
      <c r="X160" s="282">
        <v>0</v>
      </c>
      <c r="Y160" s="282">
        <v>0</v>
      </c>
      <c r="Z160" s="282">
        <v>0</v>
      </c>
      <c r="AA160" s="282">
        <v>0</v>
      </c>
      <c r="AB160" s="282">
        <v>0</v>
      </c>
      <c r="AC160" s="282">
        <v>0</v>
      </c>
      <c r="AD160" s="282">
        <v>0</v>
      </c>
      <c r="AE160" s="282">
        <v>0</v>
      </c>
      <c r="AF160" s="153"/>
      <c r="AG160" s="282">
        <v>0</v>
      </c>
      <c r="AH160" s="282">
        <v>0</v>
      </c>
      <c r="AI160" s="282" t="s">
        <v>15</v>
      </c>
      <c r="AJ160" s="282" t="s">
        <v>15</v>
      </c>
      <c r="AK160" s="283" t="s">
        <v>15</v>
      </c>
      <c r="AL160" s="284"/>
      <c r="AM160" s="282">
        <v>0</v>
      </c>
      <c r="AN160" s="282">
        <v>0</v>
      </c>
      <c r="AO160" s="282" t="s">
        <v>15</v>
      </c>
      <c r="AP160" s="282" t="s">
        <v>15</v>
      </c>
      <c r="AQ160" s="283" t="s">
        <v>15</v>
      </c>
    </row>
    <row r="161" spans="1:43">
      <c r="A161" s="161"/>
      <c r="B161" s="273" t="s">
        <v>180</v>
      </c>
      <c r="C161" s="286" t="s">
        <v>467</v>
      </c>
      <c r="D161" s="189">
        <v>60</v>
      </c>
      <c r="E161" s="115">
        <v>1.1000000000000001</v>
      </c>
      <c r="F161" s="237" t="s">
        <v>4</v>
      </c>
      <c r="G161" s="314"/>
      <c r="I161" s="267">
        <v>60</v>
      </c>
      <c r="J161" s="267">
        <v>60</v>
      </c>
      <c r="K161" s="267">
        <v>0</v>
      </c>
      <c r="L161" s="267">
        <v>0</v>
      </c>
      <c r="M161" s="268">
        <v>0</v>
      </c>
      <c r="O161" s="267">
        <v>60</v>
      </c>
      <c r="P161" s="267">
        <v>60</v>
      </c>
      <c r="Q161" s="267">
        <v>0</v>
      </c>
      <c r="R161" s="267">
        <v>0</v>
      </c>
      <c r="S161" s="268">
        <v>0</v>
      </c>
      <c r="U161" s="282">
        <v>0</v>
      </c>
      <c r="V161" s="282">
        <v>0</v>
      </c>
      <c r="W161" s="282">
        <v>0</v>
      </c>
      <c r="X161" s="282">
        <v>0</v>
      </c>
      <c r="Y161" s="282">
        <v>0</v>
      </c>
      <c r="Z161" s="282">
        <v>0</v>
      </c>
      <c r="AA161" s="282">
        <v>0</v>
      </c>
      <c r="AB161" s="282">
        <v>0</v>
      </c>
      <c r="AC161" s="282">
        <v>0</v>
      </c>
      <c r="AD161" s="282">
        <v>0</v>
      </c>
      <c r="AE161" s="282">
        <v>0</v>
      </c>
      <c r="AF161" s="153"/>
      <c r="AG161" s="282">
        <v>0</v>
      </c>
      <c r="AH161" s="282">
        <v>0</v>
      </c>
      <c r="AI161" s="282" t="s">
        <v>15</v>
      </c>
      <c r="AJ161" s="282" t="s">
        <v>15</v>
      </c>
      <c r="AK161" s="283" t="s">
        <v>15</v>
      </c>
      <c r="AL161" s="284"/>
      <c r="AM161" s="282">
        <v>0</v>
      </c>
      <c r="AN161" s="282">
        <v>0</v>
      </c>
      <c r="AO161" s="282" t="s">
        <v>15</v>
      </c>
      <c r="AP161" s="282" t="s">
        <v>15</v>
      </c>
      <c r="AQ161" s="283" t="s">
        <v>15</v>
      </c>
    </row>
    <row r="162" spans="1:43">
      <c r="A162" s="161"/>
      <c r="B162" s="280" t="s">
        <v>180</v>
      </c>
      <c r="C162" s="281" t="s">
        <v>429</v>
      </c>
      <c r="D162" s="188">
        <v>132</v>
      </c>
      <c r="E162" s="114">
        <v>3.75</v>
      </c>
      <c r="F162" s="239" t="s">
        <v>191</v>
      </c>
      <c r="G162" s="315"/>
      <c r="I162" s="282">
        <v>52</v>
      </c>
      <c r="J162" s="282">
        <v>72</v>
      </c>
      <c r="K162" s="282">
        <v>95</v>
      </c>
      <c r="L162" s="282">
        <v>112</v>
      </c>
      <c r="M162" s="283">
        <v>145</v>
      </c>
      <c r="O162" s="282">
        <v>97</v>
      </c>
      <c r="P162" s="282">
        <v>127</v>
      </c>
      <c r="Q162" s="282">
        <v>176</v>
      </c>
      <c r="R162" s="282">
        <v>185</v>
      </c>
      <c r="S162" s="283">
        <v>185</v>
      </c>
      <c r="U162" s="282">
        <v>0</v>
      </c>
      <c r="V162" s="282">
        <v>0</v>
      </c>
      <c r="W162" s="282">
        <v>0</v>
      </c>
      <c r="X162" s="282">
        <v>0</v>
      </c>
      <c r="Y162" s="282">
        <v>0</v>
      </c>
      <c r="Z162" s="282">
        <v>0</v>
      </c>
      <c r="AA162" s="282">
        <v>0</v>
      </c>
      <c r="AB162" s="282">
        <v>0</v>
      </c>
      <c r="AC162" s="282">
        <v>0</v>
      </c>
      <c r="AD162" s="282">
        <v>0</v>
      </c>
      <c r="AE162" s="282">
        <v>0</v>
      </c>
      <c r="AF162" s="153"/>
      <c r="AG162" s="282">
        <v>80</v>
      </c>
      <c r="AH162" s="282">
        <v>60</v>
      </c>
      <c r="AI162" s="282">
        <v>36.999999999999886</v>
      </c>
      <c r="AJ162" s="282">
        <v>20</v>
      </c>
      <c r="AK162" s="283">
        <v>-13</v>
      </c>
      <c r="AL162" s="284"/>
      <c r="AM162" s="282">
        <v>35.000000000000057</v>
      </c>
      <c r="AN162" s="282">
        <v>5</v>
      </c>
      <c r="AO162" s="282">
        <v>-44</v>
      </c>
      <c r="AP162" s="282">
        <v>-53.125</v>
      </c>
      <c r="AQ162" s="283">
        <v>-53.125</v>
      </c>
    </row>
    <row r="163" spans="1:43">
      <c r="A163" s="161"/>
      <c r="B163" s="273" t="s">
        <v>181</v>
      </c>
      <c r="C163" s="286" t="s">
        <v>484</v>
      </c>
      <c r="D163" s="189">
        <v>1072</v>
      </c>
      <c r="E163" s="115">
        <v>3.25</v>
      </c>
      <c r="F163" s="237" t="s">
        <v>190</v>
      </c>
      <c r="G163" s="314"/>
      <c r="I163" s="267">
        <v>52</v>
      </c>
      <c r="J163" s="267">
        <v>522</v>
      </c>
      <c r="K163" s="267">
        <v>545</v>
      </c>
      <c r="L163" s="267">
        <v>562</v>
      </c>
      <c r="M163" s="268">
        <v>595</v>
      </c>
      <c r="O163" s="267">
        <v>97</v>
      </c>
      <c r="P163" s="267">
        <v>607</v>
      </c>
      <c r="Q163" s="267">
        <v>676</v>
      </c>
      <c r="R163" s="267">
        <v>731</v>
      </c>
      <c r="S163" s="268">
        <v>863</v>
      </c>
      <c r="U163" s="282">
        <v>0</v>
      </c>
      <c r="V163" s="282">
        <v>0</v>
      </c>
      <c r="W163" s="282">
        <v>0</v>
      </c>
      <c r="X163" s="282">
        <v>0</v>
      </c>
      <c r="Y163" s="282">
        <v>0</v>
      </c>
      <c r="Z163" s="282">
        <v>0</v>
      </c>
      <c r="AA163" s="282">
        <v>0</v>
      </c>
      <c r="AB163" s="282">
        <v>-30</v>
      </c>
      <c r="AC163" s="282">
        <v>-50</v>
      </c>
      <c r="AD163" s="282">
        <v>-40</v>
      </c>
      <c r="AE163" s="282">
        <v>-60</v>
      </c>
      <c r="AF163" s="153"/>
      <c r="AG163" s="282">
        <v>1020</v>
      </c>
      <c r="AH163" s="282">
        <v>549.51</v>
      </c>
      <c r="AI163" s="282">
        <v>526.50999999999988</v>
      </c>
      <c r="AJ163" s="282">
        <v>509.51</v>
      </c>
      <c r="AK163" s="283">
        <v>476.51</v>
      </c>
      <c r="AL163" s="284"/>
      <c r="AM163" s="282">
        <v>975</v>
      </c>
      <c r="AN163" s="282">
        <v>464.51</v>
      </c>
      <c r="AO163" s="282">
        <v>395.51</v>
      </c>
      <c r="AP163" s="282">
        <v>340.51</v>
      </c>
      <c r="AQ163" s="283">
        <v>208.51</v>
      </c>
    </row>
    <row r="164" spans="1:43">
      <c r="A164" s="161"/>
      <c r="B164" s="280" t="s">
        <v>181</v>
      </c>
      <c r="C164" s="281" t="s">
        <v>501</v>
      </c>
      <c r="D164" s="188">
        <v>1402</v>
      </c>
      <c r="E164" s="114">
        <v>3.25</v>
      </c>
      <c r="F164" s="239" t="s">
        <v>190</v>
      </c>
      <c r="G164" s="315"/>
      <c r="I164" s="282">
        <v>52</v>
      </c>
      <c r="J164" s="282">
        <v>592</v>
      </c>
      <c r="K164" s="282">
        <v>615</v>
      </c>
      <c r="L164" s="282">
        <v>632</v>
      </c>
      <c r="M164" s="283">
        <v>665</v>
      </c>
      <c r="O164" s="282">
        <v>97</v>
      </c>
      <c r="P164" s="282">
        <v>677</v>
      </c>
      <c r="Q164" s="282">
        <v>746</v>
      </c>
      <c r="R164" s="282">
        <v>801</v>
      </c>
      <c r="S164" s="283">
        <v>933</v>
      </c>
      <c r="U164" s="282">
        <v>0</v>
      </c>
      <c r="V164" s="282">
        <v>0</v>
      </c>
      <c r="W164" s="282">
        <v>0</v>
      </c>
      <c r="X164" s="282">
        <v>0</v>
      </c>
      <c r="Y164" s="282">
        <v>0</v>
      </c>
      <c r="Z164" s="282">
        <v>0</v>
      </c>
      <c r="AA164" s="282">
        <v>0</v>
      </c>
      <c r="AB164" s="282">
        <v>-30</v>
      </c>
      <c r="AC164" s="282">
        <v>-50</v>
      </c>
      <c r="AD164" s="282">
        <v>-40</v>
      </c>
      <c r="AE164" s="282">
        <v>-60</v>
      </c>
      <c r="AF164" s="153"/>
      <c r="AG164" s="282">
        <v>1350</v>
      </c>
      <c r="AH164" s="282">
        <v>810.08999999999992</v>
      </c>
      <c r="AI164" s="282">
        <v>787.08999999999992</v>
      </c>
      <c r="AJ164" s="282">
        <v>770.08999999999992</v>
      </c>
      <c r="AK164" s="283">
        <v>737.08999999999992</v>
      </c>
      <c r="AL164" s="284"/>
      <c r="AM164" s="282">
        <v>1305</v>
      </c>
      <c r="AN164" s="282">
        <v>725.08999999999992</v>
      </c>
      <c r="AO164" s="282">
        <v>656.08999999999992</v>
      </c>
      <c r="AP164" s="282">
        <v>601.08999999999992</v>
      </c>
      <c r="AQ164" s="283">
        <v>469.08999999999992</v>
      </c>
    </row>
    <row r="165" spans="1:43">
      <c r="A165" s="161"/>
      <c r="B165" s="273" t="s">
        <v>181</v>
      </c>
      <c r="C165" s="286" t="s">
        <v>603</v>
      </c>
      <c r="D165" s="189">
        <v>174</v>
      </c>
      <c r="E165" s="115">
        <v>3.25</v>
      </c>
      <c r="F165" s="237" t="s">
        <v>190</v>
      </c>
      <c r="G165" s="314"/>
      <c r="I165" s="267">
        <v>116</v>
      </c>
      <c r="J165" s="267">
        <v>136</v>
      </c>
      <c r="K165" s="267">
        <v>159</v>
      </c>
      <c r="L165" s="267">
        <v>176</v>
      </c>
      <c r="M165" s="268">
        <v>209</v>
      </c>
      <c r="O165" s="267">
        <v>161</v>
      </c>
      <c r="P165" s="267">
        <v>191</v>
      </c>
      <c r="Q165" s="267">
        <v>240</v>
      </c>
      <c r="R165" s="267">
        <v>230</v>
      </c>
      <c r="S165" s="268">
        <v>230</v>
      </c>
      <c r="U165" s="282">
        <v>0</v>
      </c>
      <c r="V165" s="282">
        <v>0</v>
      </c>
      <c r="W165" s="282">
        <v>0</v>
      </c>
      <c r="X165" s="282">
        <v>0</v>
      </c>
      <c r="Y165" s="282">
        <v>0</v>
      </c>
      <c r="Z165" s="282">
        <v>0</v>
      </c>
      <c r="AA165" s="282">
        <v>0</v>
      </c>
      <c r="AB165" s="282">
        <v>0</v>
      </c>
      <c r="AC165" s="282">
        <v>0</v>
      </c>
      <c r="AD165" s="282">
        <v>0</v>
      </c>
      <c r="AE165" s="282">
        <v>0</v>
      </c>
      <c r="AF165" s="153"/>
      <c r="AG165" s="282">
        <v>57.680000000000007</v>
      </c>
      <c r="AH165" s="282">
        <v>37.680000000000007</v>
      </c>
      <c r="AI165" s="282">
        <v>14.679999999999893</v>
      </c>
      <c r="AJ165" s="282">
        <v>-2.3199999999999932</v>
      </c>
      <c r="AK165" s="283">
        <v>-35.319999999999993</v>
      </c>
      <c r="AL165" s="284"/>
      <c r="AM165" s="282">
        <v>12.680000000000064</v>
      </c>
      <c r="AN165" s="282">
        <v>-17.319999999999993</v>
      </c>
      <c r="AO165" s="282">
        <v>-66.319999999999993</v>
      </c>
      <c r="AP165" s="282">
        <v>-55.84</v>
      </c>
      <c r="AQ165" s="283">
        <v>-55.84</v>
      </c>
    </row>
    <row r="166" spans="1:43">
      <c r="A166" s="161"/>
      <c r="B166" s="280" t="s">
        <v>181</v>
      </c>
      <c r="C166" s="281" t="s">
        <v>604</v>
      </c>
      <c r="D166" s="188">
        <v>638</v>
      </c>
      <c r="E166" s="114">
        <v>3.25</v>
      </c>
      <c r="F166" s="239" t="s">
        <v>190</v>
      </c>
      <c r="G166" s="315"/>
      <c r="I166" s="282">
        <v>52</v>
      </c>
      <c r="J166" s="282">
        <v>268</v>
      </c>
      <c r="K166" s="282">
        <v>291</v>
      </c>
      <c r="L166" s="282">
        <v>308</v>
      </c>
      <c r="M166" s="283">
        <v>341</v>
      </c>
      <c r="O166" s="282">
        <v>97</v>
      </c>
      <c r="P166" s="282">
        <v>353</v>
      </c>
      <c r="Q166" s="282">
        <v>422</v>
      </c>
      <c r="R166" s="282">
        <v>477</v>
      </c>
      <c r="S166" s="283">
        <v>609</v>
      </c>
      <c r="U166" s="282">
        <v>0</v>
      </c>
      <c r="V166" s="282">
        <v>0</v>
      </c>
      <c r="W166" s="282">
        <v>0</v>
      </c>
      <c r="X166" s="282">
        <v>0</v>
      </c>
      <c r="Y166" s="282">
        <v>0</v>
      </c>
      <c r="Z166" s="282">
        <v>0</v>
      </c>
      <c r="AA166" s="282">
        <v>0</v>
      </c>
      <c r="AB166" s="282">
        <v>-30</v>
      </c>
      <c r="AC166" s="282">
        <v>-50</v>
      </c>
      <c r="AD166" s="282">
        <v>-40</v>
      </c>
      <c r="AE166" s="282">
        <v>-60</v>
      </c>
      <c r="AF166" s="153"/>
      <c r="AG166" s="282">
        <v>586</v>
      </c>
      <c r="AH166" s="282">
        <v>369.57000000000005</v>
      </c>
      <c r="AI166" s="282">
        <v>346.56999999999994</v>
      </c>
      <c r="AJ166" s="282">
        <v>329.57000000000005</v>
      </c>
      <c r="AK166" s="283">
        <v>296.57000000000005</v>
      </c>
      <c r="AL166" s="284"/>
      <c r="AM166" s="282">
        <v>541</v>
      </c>
      <c r="AN166" s="282">
        <v>284.57000000000005</v>
      </c>
      <c r="AO166" s="282">
        <v>215.57000000000005</v>
      </c>
      <c r="AP166" s="282">
        <v>160.57000000000005</v>
      </c>
      <c r="AQ166" s="283">
        <v>28.57000000000005</v>
      </c>
    </row>
    <row r="167" spans="1:43">
      <c r="A167" s="161"/>
      <c r="B167" s="273" t="s">
        <v>181</v>
      </c>
      <c r="C167" s="286" t="s">
        <v>605</v>
      </c>
      <c r="D167" s="189">
        <v>801</v>
      </c>
      <c r="E167" s="115">
        <v>3.25</v>
      </c>
      <c r="F167" s="237" t="s">
        <v>190</v>
      </c>
      <c r="G167" s="314"/>
      <c r="I167" s="267">
        <v>52</v>
      </c>
      <c r="J167" s="267">
        <v>324</v>
      </c>
      <c r="K167" s="267">
        <v>347</v>
      </c>
      <c r="L167" s="267">
        <v>364</v>
      </c>
      <c r="M167" s="268">
        <v>397</v>
      </c>
      <c r="O167" s="267">
        <v>97</v>
      </c>
      <c r="P167" s="267">
        <v>409</v>
      </c>
      <c r="Q167" s="267">
        <v>478</v>
      </c>
      <c r="R167" s="267">
        <v>533</v>
      </c>
      <c r="S167" s="268">
        <v>665</v>
      </c>
      <c r="U167" s="282">
        <v>0</v>
      </c>
      <c r="V167" s="282">
        <v>0</v>
      </c>
      <c r="W167" s="282">
        <v>0</v>
      </c>
      <c r="X167" s="282">
        <v>0</v>
      </c>
      <c r="Y167" s="282">
        <v>0</v>
      </c>
      <c r="Z167" s="282">
        <v>0</v>
      </c>
      <c r="AA167" s="282">
        <v>0</v>
      </c>
      <c r="AB167" s="282">
        <v>-30</v>
      </c>
      <c r="AC167" s="282">
        <v>-50</v>
      </c>
      <c r="AD167" s="282">
        <v>-40</v>
      </c>
      <c r="AE167" s="282">
        <v>-60</v>
      </c>
      <c r="AF167" s="153"/>
      <c r="AG167" s="282">
        <v>749</v>
      </c>
      <c r="AH167" s="282">
        <v>476.67999999999995</v>
      </c>
      <c r="AI167" s="282">
        <v>453.67999999999984</v>
      </c>
      <c r="AJ167" s="282">
        <v>436.67999999999995</v>
      </c>
      <c r="AK167" s="283">
        <v>403.67999999999995</v>
      </c>
      <c r="AL167" s="284"/>
      <c r="AM167" s="282">
        <v>704</v>
      </c>
      <c r="AN167" s="282">
        <v>391.67999999999995</v>
      </c>
      <c r="AO167" s="282">
        <v>322.67999999999995</v>
      </c>
      <c r="AP167" s="282">
        <v>267.67999999999995</v>
      </c>
      <c r="AQ167" s="283">
        <v>135.67999999999995</v>
      </c>
    </row>
    <row r="168" spans="1:43">
      <c r="A168" s="161"/>
      <c r="B168" s="280" t="s">
        <v>181</v>
      </c>
      <c r="C168" s="281" t="s">
        <v>606</v>
      </c>
      <c r="D168" s="188">
        <v>895</v>
      </c>
      <c r="E168" s="114">
        <v>3.25</v>
      </c>
      <c r="F168" s="239" t="s">
        <v>190</v>
      </c>
      <c r="G168" s="315"/>
      <c r="I168" s="282">
        <v>52</v>
      </c>
      <c r="J168" s="282">
        <v>412</v>
      </c>
      <c r="K168" s="282">
        <v>435</v>
      </c>
      <c r="L168" s="282">
        <v>452</v>
      </c>
      <c r="M168" s="283">
        <v>485</v>
      </c>
      <c r="O168" s="282">
        <v>97</v>
      </c>
      <c r="P168" s="282">
        <v>497</v>
      </c>
      <c r="Q168" s="282">
        <v>566</v>
      </c>
      <c r="R168" s="282">
        <v>621</v>
      </c>
      <c r="S168" s="283">
        <v>753</v>
      </c>
      <c r="U168" s="282">
        <v>0</v>
      </c>
      <c r="V168" s="282">
        <v>0</v>
      </c>
      <c r="W168" s="282">
        <v>0</v>
      </c>
      <c r="X168" s="282">
        <v>0</v>
      </c>
      <c r="Y168" s="282">
        <v>0</v>
      </c>
      <c r="Z168" s="282">
        <v>0</v>
      </c>
      <c r="AA168" s="282">
        <v>0</v>
      </c>
      <c r="AB168" s="282">
        <v>-30</v>
      </c>
      <c r="AC168" s="282">
        <v>-50</v>
      </c>
      <c r="AD168" s="282">
        <v>-40</v>
      </c>
      <c r="AE168" s="282">
        <v>-60</v>
      </c>
      <c r="AF168" s="153"/>
      <c r="AG168" s="282">
        <v>843</v>
      </c>
      <c r="AH168" s="282">
        <v>483.08000000000004</v>
      </c>
      <c r="AI168" s="282">
        <v>460.07999999999993</v>
      </c>
      <c r="AJ168" s="282">
        <v>443.08000000000004</v>
      </c>
      <c r="AK168" s="283">
        <v>410.08000000000004</v>
      </c>
      <c r="AL168" s="284"/>
      <c r="AM168" s="282">
        <v>798</v>
      </c>
      <c r="AN168" s="282">
        <v>398.08000000000004</v>
      </c>
      <c r="AO168" s="282">
        <v>329.08000000000004</v>
      </c>
      <c r="AP168" s="282">
        <v>274.08000000000004</v>
      </c>
      <c r="AQ168" s="283">
        <v>142.08000000000004</v>
      </c>
    </row>
    <row r="169" spans="1:43">
      <c r="A169" s="161"/>
      <c r="B169" s="273" t="s">
        <v>181</v>
      </c>
      <c r="C169" s="286" t="s">
        <v>521</v>
      </c>
      <c r="D169" s="189">
        <v>298</v>
      </c>
      <c r="E169" s="115">
        <v>0</v>
      </c>
      <c r="F169" s="237" t="s">
        <v>195</v>
      </c>
      <c r="G169" s="314"/>
      <c r="I169" s="267">
        <v>103</v>
      </c>
      <c r="J169" s="267">
        <v>123</v>
      </c>
      <c r="K169" s="267">
        <v>146</v>
      </c>
      <c r="L169" s="267">
        <v>163</v>
      </c>
      <c r="M169" s="268">
        <v>196</v>
      </c>
      <c r="O169" s="267">
        <v>148</v>
      </c>
      <c r="P169" s="267">
        <v>178</v>
      </c>
      <c r="Q169" s="267">
        <v>227</v>
      </c>
      <c r="R169" s="267">
        <v>292</v>
      </c>
      <c r="S169" s="268">
        <v>395</v>
      </c>
      <c r="U169" s="282">
        <v>0</v>
      </c>
      <c r="V169" s="282">
        <v>0</v>
      </c>
      <c r="W169" s="282">
        <v>0</v>
      </c>
      <c r="X169" s="282">
        <v>0</v>
      </c>
      <c r="Y169" s="282">
        <v>0</v>
      </c>
      <c r="Z169" s="282">
        <v>0</v>
      </c>
      <c r="AA169" s="282">
        <v>0</v>
      </c>
      <c r="AB169" s="282">
        <v>0</v>
      </c>
      <c r="AC169" s="282">
        <v>0</v>
      </c>
      <c r="AD169" s="282">
        <v>0</v>
      </c>
      <c r="AE169" s="282">
        <v>0</v>
      </c>
      <c r="AF169" s="153"/>
      <c r="AG169" s="282">
        <v>195.4</v>
      </c>
      <c r="AH169" s="282">
        <v>175.4</v>
      </c>
      <c r="AI169" s="282">
        <v>152.39999999999989</v>
      </c>
      <c r="AJ169" s="282">
        <v>135.4</v>
      </c>
      <c r="AK169" s="283">
        <v>102.4</v>
      </c>
      <c r="AL169" s="284"/>
      <c r="AM169" s="282">
        <v>150.40000000000006</v>
      </c>
      <c r="AN169" s="282">
        <v>120.4</v>
      </c>
      <c r="AO169" s="282">
        <v>71.400000000000006</v>
      </c>
      <c r="AP169" s="282">
        <v>6.4000000000000057</v>
      </c>
      <c r="AQ169" s="283">
        <v>-96.700000000000045</v>
      </c>
    </row>
    <row r="170" spans="1:43">
      <c r="A170" s="161"/>
      <c r="B170" s="280" t="s">
        <v>181</v>
      </c>
      <c r="C170" s="281" t="s">
        <v>530</v>
      </c>
      <c r="D170" s="188">
        <v>445</v>
      </c>
      <c r="E170" s="114">
        <v>0</v>
      </c>
      <c r="F170" s="239" t="s">
        <v>195</v>
      </c>
      <c r="G170" s="315"/>
      <c r="I170" s="282">
        <v>98</v>
      </c>
      <c r="J170" s="282">
        <v>118</v>
      </c>
      <c r="K170" s="282">
        <v>141</v>
      </c>
      <c r="L170" s="282">
        <v>158</v>
      </c>
      <c r="M170" s="283">
        <v>191</v>
      </c>
      <c r="O170" s="282">
        <v>143</v>
      </c>
      <c r="P170" s="282">
        <v>203</v>
      </c>
      <c r="Q170" s="282">
        <v>272</v>
      </c>
      <c r="R170" s="282">
        <v>327</v>
      </c>
      <c r="S170" s="283">
        <v>459</v>
      </c>
      <c r="U170" s="282">
        <v>0</v>
      </c>
      <c r="V170" s="282">
        <v>0</v>
      </c>
      <c r="W170" s="282">
        <v>0</v>
      </c>
      <c r="X170" s="282">
        <v>0</v>
      </c>
      <c r="Y170" s="282">
        <v>0</v>
      </c>
      <c r="Z170" s="282">
        <v>0</v>
      </c>
      <c r="AA170" s="282">
        <v>0</v>
      </c>
      <c r="AB170" s="282">
        <v>-30</v>
      </c>
      <c r="AC170" s="282">
        <v>-50</v>
      </c>
      <c r="AD170" s="282">
        <v>-40</v>
      </c>
      <c r="AE170" s="282">
        <v>-60</v>
      </c>
      <c r="AF170" s="153"/>
      <c r="AG170" s="282">
        <v>346.77000000000004</v>
      </c>
      <c r="AH170" s="282">
        <v>326.77000000000004</v>
      </c>
      <c r="AI170" s="282">
        <v>303.76999999999992</v>
      </c>
      <c r="AJ170" s="282">
        <v>286.77000000000004</v>
      </c>
      <c r="AK170" s="283">
        <v>253.77000000000004</v>
      </c>
      <c r="AL170" s="284"/>
      <c r="AM170" s="282">
        <v>301.7700000000001</v>
      </c>
      <c r="AN170" s="282">
        <v>241.77000000000004</v>
      </c>
      <c r="AO170" s="282">
        <v>172.77000000000004</v>
      </c>
      <c r="AP170" s="282">
        <v>117.77000000000004</v>
      </c>
      <c r="AQ170" s="283">
        <v>-14.229999999999961</v>
      </c>
    </row>
    <row r="171" spans="1:43">
      <c r="A171" s="161"/>
      <c r="B171" s="273" t="s">
        <v>181</v>
      </c>
      <c r="C171" s="286" t="s">
        <v>522</v>
      </c>
      <c r="D171" s="189">
        <v>577</v>
      </c>
      <c r="E171" s="115">
        <v>0</v>
      </c>
      <c r="F171" s="237" t="s">
        <v>195</v>
      </c>
      <c r="G171" s="314"/>
      <c r="I171" s="267">
        <v>52</v>
      </c>
      <c r="J171" s="267">
        <v>72</v>
      </c>
      <c r="K171" s="267">
        <v>212</v>
      </c>
      <c r="L171" s="267">
        <v>229</v>
      </c>
      <c r="M171" s="268">
        <v>262</v>
      </c>
      <c r="O171" s="267">
        <v>97</v>
      </c>
      <c r="P171" s="267">
        <v>157</v>
      </c>
      <c r="Q171" s="267">
        <v>343</v>
      </c>
      <c r="R171" s="267">
        <v>398</v>
      </c>
      <c r="S171" s="268">
        <v>530</v>
      </c>
      <c r="U171" s="282">
        <v>0</v>
      </c>
      <c r="V171" s="282">
        <v>0</v>
      </c>
      <c r="W171" s="282">
        <v>0</v>
      </c>
      <c r="X171" s="282">
        <v>0</v>
      </c>
      <c r="Y171" s="282">
        <v>0</v>
      </c>
      <c r="Z171" s="282">
        <v>0</v>
      </c>
      <c r="AA171" s="282">
        <v>0</v>
      </c>
      <c r="AB171" s="282">
        <v>-30</v>
      </c>
      <c r="AC171" s="282">
        <v>-50</v>
      </c>
      <c r="AD171" s="282">
        <v>-40</v>
      </c>
      <c r="AE171" s="282">
        <v>-60</v>
      </c>
      <c r="AF171" s="153"/>
      <c r="AG171" s="282">
        <v>525</v>
      </c>
      <c r="AH171" s="282">
        <v>505</v>
      </c>
      <c r="AI171" s="282">
        <v>365.33999999999992</v>
      </c>
      <c r="AJ171" s="282">
        <v>348.34000000000003</v>
      </c>
      <c r="AK171" s="283">
        <v>315.34000000000003</v>
      </c>
      <c r="AL171" s="284"/>
      <c r="AM171" s="282">
        <v>480.00000000000006</v>
      </c>
      <c r="AN171" s="282">
        <v>420</v>
      </c>
      <c r="AO171" s="282">
        <v>234.34000000000003</v>
      </c>
      <c r="AP171" s="282">
        <v>179.34000000000003</v>
      </c>
      <c r="AQ171" s="283">
        <v>47.340000000000032</v>
      </c>
    </row>
    <row r="172" spans="1:43">
      <c r="A172" s="161"/>
      <c r="B172" s="280" t="s">
        <v>181</v>
      </c>
      <c r="C172" s="281" t="s">
        <v>451</v>
      </c>
      <c r="D172" s="188">
        <v>459</v>
      </c>
      <c r="E172" s="114">
        <v>0</v>
      </c>
      <c r="F172" s="239" t="s">
        <v>464</v>
      </c>
      <c r="G172" s="315"/>
      <c r="I172" s="282">
        <v>243</v>
      </c>
      <c r="J172" s="282">
        <v>263</v>
      </c>
      <c r="K172" s="282">
        <v>286</v>
      </c>
      <c r="L172" s="282">
        <v>303</v>
      </c>
      <c r="M172" s="283">
        <v>336</v>
      </c>
      <c r="O172" s="282">
        <v>288</v>
      </c>
      <c r="P172" s="282">
        <v>318</v>
      </c>
      <c r="Q172" s="282">
        <v>449</v>
      </c>
      <c r="R172" s="282">
        <v>432</v>
      </c>
      <c r="S172" s="283">
        <v>544</v>
      </c>
      <c r="U172" s="282">
        <v>0</v>
      </c>
      <c r="V172" s="282">
        <v>0</v>
      </c>
      <c r="W172" s="282">
        <v>0</v>
      </c>
      <c r="X172" s="282">
        <v>0</v>
      </c>
      <c r="Y172" s="282">
        <v>0</v>
      </c>
      <c r="Z172" s="282">
        <v>0</v>
      </c>
      <c r="AA172" s="282">
        <v>0</v>
      </c>
      <c r="AB172" s="282">
        <v>0</v>
      </c>
      <c r="AC172" s="282">
        <v>-82</v>
      </c>
      <c r="AD172" s="282">
        <v>0</v>
      </c>
      <c r="AE172" s="282">
        <v>0</v>
      </c>
      <c r="AF172" s="153"/>
      <c r="AG172" s="282">
        <v>216.11</v>
      </c>
      <c r="AH172" s="282">
        <v>196.11</v>
      </c>
      <c r="AI172" s="282">
        <v>173.1099999999999</v>
      </c>
      <c r="AJ172" s="282">
        <v>156.11000000000001</v>
      </c>
      <c r="AK172" s="283">
        <v>123.11000000000001</v>
      </c>
      <c r="AL172" s="284"/>
      <c r="AM172" s="282">
        <v>171.11000000000007</v>
      </c>
      <c r="AN172" s="282">
        <v>141.11000000000001</v>
      </c>
      <c r="AO172" s="282">
        <v>10.110000000000014</v>
      </c>
      <c r="AP172" s="282">
        <v>27.110000000000014</v>
      </c>
      <c r="AQ172" s="283">
        <v>-84.889999999999986</v>
      </c>
    </row>
    <row r="173" spans="1:43">
      <c r="A173" s="161"/>
      <c r="B173" s="273" t="s">
        <v>181</v>
      </c>
      <c r="C173" s="286" t="s">
        <v>559</v>
      </c>
      <c r="D173" s="189">
        <v>516</v>
      </c>
      <c r="E173" s="115">
        <v>0</v>
      </c>
      <c r="F173" s="237" t="s">
        <v>464</v>
      </c>
      <c r="G173" s="314"/>
      <c r="I173" s="267">
        <v>218</v>
      </c>
      <c r="J173" s="267">
        <v>238</v>
      </c>
      <c r="K173" s="267">
        <v>261</v>
      </c>
      <c r="L173" s="267">
        <v>278</v>
      </c>
      <c r="M173" s="268">
        <v>311</v>
      </c>
      <c r="O173" s="267">
        <v>263</v>
      </c>
      <c r="P173" s="267">
        <v>323</v>
      </c>
      <c r="Q173" s="267">
        <v>392</v>
      </c>
      <c r="R173" s="267">
        <v>447</v>
      </c>
      <c r="S173" s="268">
        <v>579</v>
      </c>
      <c r="U173" s="282">
        <v>0</v>
      </c>
      <c r="V173" s="282">
        <v>0</v>
      </c>
      <c r="W173" s="282">
        <v>0</v>
      </c>
      <c r="X173" s="282">
        <v>0</v>
      </c>
      <c r="Y173" s="282">
        <v>0</v>
      </c>
      <c r="Z173" s="282">
        <v>0</v>
      </c>
      <c r="AA173" s="282">
        <v>0</v>
      </c>
      <c r="AB173" s="282">
        <v>-30</v>
      </c>
      <c r="AC173" s="282">
        <v>-50</v>
      </c>
      <c r="AD173" s="282">
        <v>-40</v>
      </c>
      <c r="AE173" s="282">
        <v>-60</v>
      </c>
      <c r="AF173" s="153"/>
      <c r="AG173" s="282">
        <v>297.89999999999998</v>
      </c>
      <c r="AH173" s="282">
        <v>277.89999999999998</v>
      </c>
      <c r="AI173" s="282">
        <v>254.89999999999986</v>
      </c>
      <c r="AJ173" s="282">
        <v>237.89999999999998</v>
      </c>
      <c r="AK173" s="283">
        <v>204.89999999999998</v>
      </c>
      <c r="AL173" s="284"/>
      <c r="AM173" s="282">
        <v>252.90000000000003</v>
      </c>
      <c r="AN173" s="282">
        <v>192.89999999999998</v>
      </c>
      <c r="AO173" s="282">
        <v>123.89999999999998</v>
      </c>
      <c r="AP173" s="282">
        <v>68.899999999999977</v>
      </c>
      <c r="AQ173" s="283">
        <v>-63</v>
      </c>
    </row>
    <row r="174" spans="1:43">
      <c r="A174" s="161"/>
      <c r="B174" s="280" t="s">
        <v>181</v>
      </c>
      <c r="C174" s="281" t="s">
        <v>541</v>
      </c>
      <c r="D174" s="188">
        <v>647</v>
      </c>
      <c r="E174" s="114">
        <v>3.75</v>
      </c>
      <c r="F174" s="239" t="s">
        <v>191</v>
      </c>
      <c r="G174" s="315"/>
      <c r="I174" s="282">
        <v>52</v>
      </c>
      <c r="J174" s="282">
        <v>299</v>
      </c>
      <c r="K174" s="282">
        <v>322</v>
      </c>
      <c r="L174" s="282">
        <v>339</v>
      </c>
      <c r="M174" s="283">
        <v>372</v>
      </c>
      <c r="O174" s="282">
        <v>97</v>
      </c>
      <c r="P174" s="282">
        <v>384</v>
      </c>
      <c r="Q174" s="282">
        <v>453</v>
      </c>
      <c r="R174" s="282">
        <v>508</v>
      </c>
      <c r="S174" s="283">
        <v>640</v>
      </c>
      <c r="U174" s="282">
        <v>0</v>
      </c>
      <c r="V174" s="282">
        <v>0</v>
      </c>
      <c r="W174" s="282">
        <v>0</v>
      </c>
      <c r="X174" s="282">
        <v>0</v>
      </c>
      <c r="Y174" s="282">
        <v>0</v>
      </c>
      <c r="Z174" s="282">
        <v>0</v>
      </c>
      <c r="AA174" s="282">
        <v>0</v>
      </c>
      <c r="AB174" s="282">
        <v>-30</v>
      </c>
      <c r="AC174" s="282">
        <v>-50</v>
      </c>
      <c r="AD174" s="282">
        <v>-40</v>
      </c>
      <c r="AE174" s="282">
        <v>-60</v>
      </c>
      <c r="AF174" s="153"/>
      <c r="AG174" s="282">
        <v>595</v>
      </c>
      <c r="AH174" s="282">
        <v>348.11</v>
      </c>
      <c r="AI174" s="282">
        <v>325.1099999999999</v>
      </c>
      <c r="AJ174" s="282">
        <v>308.11</v>
      </c>
      <c r="AK174" s="283">
        <v>275.11</v>
      </c>
      <c r="AL174" s="284"/>
      <c r="AM174" s="282">
        <v>550</v>
      </c>
      <c r="AN174" s="282">
        <v>263.11</v>
      </c>
      <c r="AO174" s="282">
        <v>194.11</v>
      </c>
      <c r="AP174" s="282">
        <v>139.11000000000001</v>
      </c>
      <c r="AQ174" s="283">
        <v>7.1100000000000136</v>
      </c>
    </row>
    <row r="175" spans="1:43">
      <c r="A175" s="161"/>
      <c r="B175" s="273" t="s">
        <v>181</v>
      </c>
      <c r="C175" s="286" t="s">
        <v>430</v>
      </c>
      <c r="D175" s="189">
        <v>208</v>
      </c>
      <c r="E175" s="115">
        <v>3.75</v>
      </c>
      <c r="F175" s="237" t="s">
        <v>191</v>
      </c>
      <c r="G175" s="314"/>
      <c r="I175" s="267">
        <v>87</v>
      </c>
      <c r="J175" s="267">
        <v>107</v>
      </c>
      <c r="K175" s="267">
        <v>130</v>
      </c>
      <c r="L175" s="267">
        <v>147</v>
      </c>
      <c r="M175" s="268">
        <v>180</v>
      </c>
      <c r="O175" s="267">
        <v>132</v>
      </c>
      <c r="P175" s="267">
        <v>162</v>
      </c>
      <c r="Q175" s="267">
        <v>211</v>
      </c>
      <c r="R175" s="267">
        <v>276</v>
      </c>
      <c r="S175" s="268">
        <v>276</v>
      </c>
      <c r="U175" s="282">
        <v>0</v>
      </c>
      <c r="V175" s="282">
        <v>0</v>
      </c>
      <c r="W175" s="282">
        <v>0</v>
      </c>
      <c r="X175" s="282">
        <v>0</v>
      </c>
      <c r="Y175" s="282">
        <v>0</v>
      </c>
      <c r="Z175" s="282">
        <v>0</v>
      </c>
      <c r="AA175" s="282">
        <v>0</v>
      </c>
      <c r="AB175" s="282">
        <v>0</v>
      </c>
      <c r="AC175" s="282">
        <v>0</v>
      </c>
      <c r="AD175" s="282">
        <v>0</v>
      </c>
      <c r="AE175" s="282">
        <v>0</v>
      </c>
      <c r="AF175" s="153"/>
      <c r="AG175" s="282">
        <v>121.21000000000001</v>
      </c>
      <c r="AH175" s="282">
        <v>101.21000000000001</v>
      </c>
      <c r="AI175" s="282">
        <v>78.209999999999894</v>
      </c>
      <c r="AJ175" s="282">
        <v>61.210000000000008</v>
      </c>
      <c r="AK175" s="283">
        <v>28.210000000000008</v>
      </c>
      <c r="AL175" s="284"/>
      <c r="AM175" s="282">
        <v>76.210000000000065</v>
      </c>
      <c r="AN175" s="282">
        <v>46.210000000000008</v>
      </c>
      <c r="AO175" s="282">
        <v>-2.789999999999992</v>
      </c>
      <c r="AP175" s="282">
        <v>-67.789999999999992</v>
      </c>
      <c r="AQ175" s="283">
        <v>-67.789999999999964</v>
      </c>
    </row>
    <row r="176" spans="1:43">
      <c r="A176" s="161"/>
      <c r="B176" s="280" t="s">
        <v>181</v>
      </c>
      <c r="C176" s="281" t="s">
        <v>452</v>
      </c>
      <c r="D176" s="188">
        <v>174</v>
      </c>
      <c r="E176" s="114">
        <v>3.25</v>
      </c>
      <c r="F176" s="239" t="s">
        <v>190</v>
      </c>
      <c r="G176" s="315"/>
      <c r="I176" s="282">
        <v>113</v>
      </c>
      <c r="J176" s="282">
        <v>133</v>
      </c>
      <c r="K176" s="282">
        <v>156</v>
      </c>
      <c r="L176" s="282">
        <v>173</v>
      </c>
      <c r="M176" s="283">
        <v>206</v>
      </c>
      <c r="O176" s="282">
        <v>158</v>
      </c>
      <c r="P176" s="282">
        <v>188</v>
      </c>
      <c r="Q176" s="282">
        <v>237</v>
      </c>
      <c r="R176" s="282">
        <v>231</v>
      </c>
      <c r="S176" s="283">
        <v>231</v>
      </c>
      <c r="U176" s="282">
        <v>0</v>
      </c>
      <c r="V176" s="282">
        <v>0</v>
      </c>
      <c r="W176" s="282">
        <v>0</v>
      </c>
      <c r="X176" s="282">
        <v>0</v>
      </c>
      <c r="Y176" s="282">
        <v>0</v>
      </c>
      <c r="Z176" s="282">
        <v>0</v>
      </c>
      <c r="AA176" s="282">
        <v>0</v>
      </c>
      <c r="AB176" s="282">
        <v>0</v>
      </c>
      <c r="AC176" s="282">
        <v>0</v>
      </c>
      <c r="AD176" s="282">
        <v>0</v>
      </c>
      <c r="AE176" s="282">
        <v>0</v>
      </c>
      <c r="AF176" s="153"/>
      <c r="AG176" s="282">
        <v>60.650000000000006</v>
      </c>
      <c r="AH176" s="282">
        <v>40.650000000000006</v>
      </c>
      <c r="AI176" s="282">
        <v>17.649999999999892</v>
      </c>
      <c r="AJ176" s="282">
        <v>0.65000000000000568</v>
      </c>
      <c r="AK176" s="283">
        <v>-32.349999999999994</v>
      </c>
      <c r="AL176" s="284"/>
      <c r="AM176" s="282">
        <v>15.650000000000063</v>
      </c>
      <c r="AN176" s="282">
        <v>-14.349999999999994</v>
      </c>
      <c r="AO176" s="282">
        <v>-63.349999999999994</v>
      </c>
      <c r="AP176" s="282">
        <v>-57.325000000000003</v>
      </c>
      <c r="AQ176" s="283">
        <v>-57.324999999999989</v>
      </c>
    </row>
    <row r="177" spans="1:43">
      <c r="A177" s="161"/>
      <c r="B177" s="273" t="s">
        <v>181</v>
      </c>
      <c r="C177" s="286" t="s">
        <v>542</v>
      </c>
      <c r="D177" s="115">
        <v>205</v>
      </c>
      <c r="E177" s="115">
        <v>3.25</v>
      </c>
      <c r="F177" s="237" t="s">
        <v>190</v>
      </c>
      <c r="G177" s="314"/>
      <c r="I177" s="267">
        <v>137</v>
      </c>
      <c r="J177" s="267">
        <v>157</v>
      </c>
      <c r="K177" s="267">
        <v>180</v>
      </c>
      <c r="L177" s="267">
        <v>197</v>
      </c>
      <c r="M177" s="268">
        <v>230</v>
      </c>
      <c r="O177" s="267">
        <v>182</v>
      </c>
      <c r="P177" s="267">
        <v>212</v>
      </c>
      <c r="Q177" s="267">
        <v>261</v>
      </c>
      <c r="R177" s="267">
        <v>266</v>
      </c>
      <c r="S177" s="268">
        <v>266</v>
      </c>
      <c r="U177" s="282">
        <v>0</v>
      </c>
      <c r="V177" s="282">
        <v>0</v>
      </c>
      <c r="W177" s="282">
        <v>0</v>
      </c>
      <c r="X177" s="282">
        <v>0</v>
      </c>
      <c r="Y177" s="282">
        <v>0</v>
      </c>
      <c r="Z177" s="282">
        <v>0</v>
      </c>
      <c r="AA177" s="282">
        <v>0</v>
      </c>
      <c r="AB177" s="282">
        <v>0</v>
      </c>
      <c r="AC177" s="282">
        <v>0</v>
      </c>
      <c r="AD177" s="282">
        <v>0</v>
      </c>
      <c r="AE177" s="282">
        <v>0</v>
      </c>
      <c r="AF177" s="153"/>
      <c r="AG177" s="282">
        <v>68.25</v>
      </c>
      <c r="AH177" s="282">
        <v>48.25</v>
      </c>
      <c r="AI177" s="282">
        <v>25.249999999999886</v>
      </c>
      <c r="AJ177" s="282">
        <v>8.25</v>
      </c>
      <c r="AK177" s="283">
        <v>-24.75</v>
      </c>
      <c r="AL177" s="284"/>
      <c r="AM177" s="282">
        <v>23.250000000000057</v>
      </c>
      <c r="AN177" s="282">
        <v>-6.75</v>
      </c>
      <c r="AO177" s="282">
        <v>-55.75</v>
      </c>
      <c r="AP177" s="282">
        <v>-61.125</v>
      </c>
      <c r="AQ177" s="283">
        <v>-61.125</v>
      </c>
    </row>
    <row r="178" spans="1:43">
      <c r="A178" s="161"/>
      <c r="B178" s="280" t="s">
        <v>181</v>
      </c>
      <c r="C178" s="281" t="s">
        <v>468</v>
      </c>
      <c r="D178" s="188">
        <v>326</v>
      </c>
      <c r="E178" s="114">
        <v>3.25</v>
      </c>
      <c r="F178" s="239" t="s">
        <v>190</v>
      </c>
      <c r="G178" s="315"/>
      <c r="I178" s="282">
        <v>198</v>
      </c>
      <c r="J178" s="282">
        <v>218</v>
      </c>
      <c r="K178" s="282">
        <v>241</v>
      </c>
      <c r="L178" s="282">
        <v>258</v>
      </c>
      <c r="M178" s="283">
        <v>291</v>
      </c>
      <c r="O178" s="282">
        <v>243</v>
      </c>
      <c r="P178" s="282">
        <v>273</v>
      </c>
      <c r="Q178" s="282">
        <v>361</v>
      </c>
      <c r="R178" s="282">
        <v>387</v>
      </c>
      <c r="S178" s="283">
        <v>389</v>
      </c>
      <c r="U178" s="282">
        <v>0</v>
      </c>
      <c r="V178" s="282">
        <v>0</v>
      </c>
      <c r="W178" s="282">
        <v>0</v>
      </c>
      <c r="X178" s="282">
        <v>0</v>
      </c>
      <c r="Y178" s="282">
        <v>0</v>
      </c>
      <c r="Z178" s="282">
        <v>0</v>
      </c>
      <c r="AA178" s="282">
        <v>0</v>
      </c>
      <c r="AB178" s="282">
        <v>0</v>
      </c>
      <c r="AC178" s="282">
        <v>-39</v>
      </c>
      <c r="AD178" s="282">
        <v>0</v>
      </c>
      <c r="AE178" s="282">
        <v>0</v>
      </c>
      <c r="AF178" s="153"/>
      <c r="AG178" s="282">
        <v>128.36000000000001</v>
      </c>
      <c r="AH178" s="282">
        <v>108.36000000000001</v>
      </c>
      <c r="AI178" s="282">
        <v>85.3599999999999</v>
      </c>
      <c r="AJ178" s="282">
        <v>68.360000000000014</v>
      </c>
      <c r="AK178" s="283">
        <v>35.360000000000014</v>
      </c>
      <c r="AL178" s="284"/>
      <c r="AM178" s="282">
        <v>83.36000000000007</v>
      </c>
      <c r="AN178" s="282">
        <v>53.360000000000014</v>
      </c>
      <c r="AO178" s="282">
        <v>-34.639999999999986</v>
      </c>
      <c r="AP178" s="282">
        <v>-60.639999999999986</v>
      </c>
      <c r="AQ178" s="283">
        <v>-63.180000000000007</v>
      </c>
    </row>
    <row r="179" spans="1:43">
      <c r="A179" s="161"/>
      <c r="B179" s="285" t="s">
        <v>181</v>
      </c>
      <c r="C179" s="286" t="s">
        <v>469</v>
      </c>
      <c r="D179" s="189">
        <v>420</v>
      </c>
      <c r="E179" s="115">
        <v>3.25</v>
      </c>
      <c r="F179" s="237" t="s">
        <v>190</v>
      </c>
      <c r="G179" s="314"/>
      <c r="I179" s="267">
        <v>209</v>
      </c>
      <c r="J179" s="267">
        <v>229</v>
      </c>
      <c r="K179" s="267">
        <v>252</v>
      </c>
      <c r="L179" s="267">
        <v>269</v>
      </c>
      <c r="M179" s="268">
        <v>302</v>
      </c>
      <c r="O179" s="267">
        <v>254</v>
      </c>
      <c r="P179" s="267">
        <v>284</v>
      </c>
      <c r="Q179" s="267">
        <v>333</v>
      </c>
      <c r="R179" s="267">
        <v>398</v>
      </c>
      <c r="S179" s="268">
        <v>510</v>
      </c>
      <c r="U179" s="282">
        <v>0</v>
      </c>
      <c r="V179" s="282">
        <v>0</v>
      </c>
      <c r="W179" s="282">
        <v>0</v>
      </c>
      <c r="X179" s="282">
        <v>0</v>
      </c>
      <c r="Y179" s="282">
        <v>0</v>
      </c>
      <c r="Z179" s="282">
        <v>0</v>
      </c>
      <c r="AA179" s="282">
        <v>0</v>
      </c>
      <c r="AB179" s="282">
        <v>0</v>
      </c>
      <c r="AC179" s="282">
        <v>0</v>
      </c>
      <c r="AD179" s="282">
        <v>0</v>
      </c>
      <c r="AE179" s="282">
        <v>0</v>
      </c>
      <c r="AF179" s="153"/>
      <c r="AG179" s="282">
        <v>211</v>
      </c>
      <c r="AH179" s="282">
        <v>191</v>
      </c>
      <c r="AI179" s="282">
        <v>167.99999999999989</v>
      </c>
      <c r="AJ179" s="282">
        <v>151</v>
      </c>
      <c r="AK179" s="283">
        <v>118</v>
      </c>
      <c r="AL179" s="284"/>
      <c r="AM179" s="282">
        <v>166.00000000000006</v>
      </c>
      <c r="AN179" s="282">
        <v>136</v>
      </c>
      <c r="AO179" s="282">
        <v>87</v>
      </c>
      <c r="AP179" s="282">
        <v>22</v>
      </c>
      <c r="AQ179" s="283">
        <v>-90</v>
      </c>
    </row>
    <row r="180" spans="1:43">
      <c r="A180" s="161"/>
      <c r="B180" s="280" t="s">
        <v>181</v>
      </c>
      <c r="C180" s="118" t="s">
        <v>637</v>
      </c>
      <c r="D180" s="188">
        <v>323</v>
      </c>
      <c r="E180" s="114">
        <v>3.25</v>
      </c>
      <c r="F180" s="239" t="s">
        <v>190</v>
      </c>
      <c r="G180" s="315"/>
      <c r="I180" s="282">
        <v>163</v>
      </c>
      <c r="J180" s="282">
        <v>183</v>
      </c>
      <c r="K180" s="282">
        <v>206</v>
      </c>
      <c r="L180" s="282">
        <v>223</v>
      </c>
      <c r="M180" s="283">
        <v>256</v>
      </c>
      <c r="O180" s="282">
        <v>208</v>
      </c>
      <c r="P180" s="282">
        <v>238</v>
      </c>
      <c r="Q180" s="282">
        <v>287</v>
      </c>
      <c r="R180" s="282">
        <v>352</v>
      </c>
      <c r="S180" s="283">
        <v>402</v>
      </c>
      <c r="U180" s="282">
        <v>0</v>
      </c>
      <c r="V180" s="282">
        <v>0</v>
      </c>
      <c r="W180" s="282">
        <v>0</v>
      </c>
      <c r="X180" s="282">
        <v>0</v>
      </c>
      <c r="Y180" s="282">
        <v>0</v>
      </c>
      <c r="Z180" s="282">
        <v>0</v>
      </c>
      <c r="AA180" s="282">
        <v>0</v>
      </c>
      <c r="AB180" s="282">
        <v>0</v>
      </c>
      <c r="AC180" s="282">
        <v>0</v>
      </c>
      <c r="AD180" s="282">
        <v>0</v>
      </c>
      <c r="AE180" s="282">
        <v>0</v>
      </c>
      <c r="AF180" s="153"/>
      <c r="AG180" s="282">
        <v>159.65</v>
      </c>
      <c r="AH180" s="282">
        <v>139.65</v>
      </c>
      <c r="AI180" s="282">
        <v>116.64999999999989</v>
      </c>
      <c r="AJ180" s="282">
        <v>99.65</v>
      </c>
      <c r="AK180" s="283">
        <v>66.650000000000006</v>
      </c>
      <c r="AL180" s="284"/>
      <c r="AM180" s="282">
        <v>114.65000000000006</v>
      </c>
      <c r="AN180" s="282">
        <v>84.65</v>
      </c>
      <c r="AO180" s="282">
        <v>35.650000000000006</v>
      </c>
      <c r="AP180" s="282">
        <v>-29.349999999999994</v>
      </c>
      <c r="AQ180" s="283">
        <v>-78.825000000000017</v>
      </c>
    </row>
    <row r="181" spans="1:43">
      <c r="A181" s="161"/>
      <c r="B181" s="285" t="s">
        <v>181</v>
      </c>
      <c r="C181" s="286" t="s">
        <v>624</v>
      </c>
      <c r="D181" s="189">
        <v>415</v>
      </c>
      <c r="E181" s="115">
        <v>3.25</v>
      </c>
      <c r="F181" s="237" t="s">
        <v>190</v>
      </c>
      <c r="G181" s="314"/>
      <c r="I181" s="267">
        <v>169</v>
      </c>
      <c r="J181" s="267">
        <v>189</v>
      </c>
      <c r="K181" s="267">
        <v>212</v>
      </c>
      <c r="L181" s="267">
        <v>229</v>
      </c>
      <c r="M181" s="268">
        <v>262</v>
      </c>
      <c r="O181" s="267">
        <v>214</v>
      </c>
      <c r="P181" s="267">
        <v>252</v>
      </c>
      <c r="Q181" s="267">
        <v>301</v>
      </c>
      <c r="R181" s="267">
        <v>366</v>
      </c>
      <c r="S181" s="268">
        <v>478</v>
      </c>
      <c r="U181" s="282">
        <v>0</v>
      </c>
      <c r="V181" s="282">
        <v>0</v>
      </c>
      <c r="W181" s="282">
        <v>0</v>
      </c>
      <c r="X181" s="282">
        <v>0</v>
      </c>
      <c r="Y181" s="282">
        <v>0</v>
      </c>
      <c r="Z181" s="282">
        <v>0</v>
      </c>
      <c r="AA181" s="282">
        <v>0</v>
      </c>
      <c r="AB181" s="282">
        <v>-8</v>
      </c>
      <c r="AC181" s="282">
        <v>-8</v>
      </c>
      <c r="AD181" s="282">
        <v>-8</v>
      </c>
      <c r="AE181" s="282">
        <v>-8</v>
      </c>
      <c r="AF181" s="153"/>
      <c r="AG181" s="282">
        <v>246.06</v>
      </c>
      <c r="AH181" s="282">
        <v>226.06</v>
      </c>
      <c r="AI181" s="282">
        <v>203.05999999999989</v>
      </c>
      <c r="AJ181" s="282">
        <v>186.06</v>
      </c>
      <c r="AK181" s="283">
        <v>153.06</v>
      </c>
      <c r="AL181" s="284"/>
      <c r="AM181" s="282">
        <v>201.06000000000006</v>
      </c>
      <c r="AN181" s="282">
        <v>163</v>
      </c>
      <c r="AO181" s="282">
        <v>114</v>
      </c>
      <c r="AP181" s="282">
        <v>49</v>
      </c>
      <c r="AQ181" s="283">
        <v>-63</v>
      </c>
    </row>
    <row r="182" spans="1:43">
      <c r="A182" s="161"/>
      <c r="B182" s="280" t="s">
        <v>181</v>
      </c>
      <c r="C182" s="281" t="s">
        <v>625</v>
      </c>
      <c r="D182" s="188">
        <v>516</v>
      </c>
      <c r="E182" s="114">
        <v>3.25</v>
      </c>
      <c r="F182" s="239" t="s">
        <v>190</v>
      </c>
      <c r="G182" s="315"/>
      <c r="I182" s="282">
        <v>199</v>
      </c>
      <c r="J182" s="282">
        <v>219</v>
      </c>
      <c r="K182" s="282">
        <v>242</v>
      </c>
      <c r="L182" s="282">
        <v>259</v>
      </c>
      <c r="M182" s="283">
        <v>292</v>
      </c>
      <c r="O182" s="282">
        <v>244</v>
      </c>
      <c r="P182" s="282">
        <v>304</v>
      </c>
      <c r="Q182" s="282">
        <v>373</v>
      </c>
      <c r="R182" s="282">
        <v>428</v>
      </c>
      <c r="S182" s="283">
        <v>560</v>
      </c>
      <c r="U182" s="282">
        <v>0</v>
      </c>
      <c r="V182" s="282">
        <v>0</v>
      </c>
      <c r="W182" s="282">
        <v>0</v>
      </c>
      <c r="X182" s="282">
        <v>0</v>
      </c>
      <c r="Y182" s="282">
        <v>0</v>
      </c>
      <c r="Z182" s="282">
        <v>0</v>
      </c>
      <c r="AA182" s="282">
        <v>0</v>
      </c>
      <c r="AB182" s="282">
        <v>-30</v>
      </c>
      <c r="AC182" s="282">
        <v>-50</v>
      </c>
      <c r="AD182" s="282">
        <v>-40</v>
      </c>
      <c r="AE182" s="282">
        <v>-60</v>
      </c>
      <c r="AF182" s="153"/>
      <c r="AG182" s="282">
        <v>317.45999999999998</v>
      </c>
      <c r="AH182" s="282">
        <v>297.45999999999998</v>
      </c>
      <c r="AI182" s="282">
        <v>274.45999999999987</v>
      </c>
      <c r="AJ182" s="282">
        <v>257.45999999999998</v>
      </c>
      <c r="AK182" s="283">
        <v>224.45999999999998</v>
      </c>
      <c r="AL182" s="284"/>
      <c r="AM182" s="282">
        <v>272.46000000000004</v>
      </c>
      <c r="AN182" s="282">
        <v>212.45999999999998</v>
      </c>
      <c r="AO182" s="282">
        <v>143.45999999999998</v>
      </c>
      <c r="AP182" s="282">
        <v>88.45999999999998</v>
      </c>
      <c r="AQ182" s="283">
        <v>-43.54000000000002</v>
      </c>
    </row>
    <row r="183" spans="1:43">
      <c r="A183" s="161"/>
      <c r="B183" s="285" t="s">
        <v>181</v>
      </c>
      <c r="C183" s="286" t="s">
        <v>543</v>
      </c>
      <c r="D183" s="189">
        <v>327</v>
      </c>
      <c r="E183" s="115">
        <v>3.75</v>
      </c>
      <c r="F183" s="237" t="s">
        <v>191</v>
      </c>
      <c r="G183" s="314"/>
      <c r="I183" s="267">
        <v>138</v>
      </c>
      <c r="J183" s="267">
        <v>158</v>
      </c>
      <c r="K183" s="267">
        <v>181</v>
      </c>
      <c r="L183" s="267">
        <v>198</v>
      </c>
      <c r="M183" s="268">
        <v>231</v>
      </c>
      <c r="O183" s="267">
        <v>183</v>
      </c>
      <c r="P183" s="267">
        <v>213</v>
      </c>
      <c r="Q183" s="267">
        <v>262</v>
      </c>
      <c r="R183" s="267">
        <v>327</v>
      </c>
      <c r="S183" s="268">
        <v>420</v>
      </c>
      <c r="U183" s="282">
        <v>0</v>
      </c>
      <c r="V183" s="282">
        <v>0</v>
      </c>
      <c r="W183" s="282">
        <v>0</v>
      </c>
      <c r="X183" s="282">
        <v>0</v>
      </c>
      <c r="Y183" s="282">
        <v>0</v>
      </c>
      <c r="Z183" s="282">
        <v>0</v>
      </c>
      <c r="AA183" s="282">
        <v>0</v>
      </c>
      <c r="AB183" s="282">
        <v>0</v>
      </c>
      <c r="AC183" s="282">
        <v>0</v>
      </c>
      <c r="AD183" s="282">
        <v>0</v>
      </c>
      <c r="AE183" s="282">
        <v>0</v>
      </c>
      <c r="AF183" s="153"/>
      <c r="AG183" s="282">
        <v>188.86</v>
      </c>
      <c r="AH183" s="282">
        <v>168.86</v>
      </c>
      <c r="AI183" s="282">
        <v>145.8599999999999</v>
      </c>
      <c r="AJ183" s="282">
        <v>128.86000000000001</v>
      </c>
      <c r="AK183" s="283">
        <v>95.860000000000014</v>
      </c>
      <c r="AL183" s="284"/>
      <c r="AM183" s="282">
        <v>143.86000000000007</v>
      </c>
      <c r="AN183" s="282">
        <v>113.86000000000001</v>
      </c>
      <c r="AO183" s="282">
        <v>64.860000000000014</v>
      </c>
      <c r="AP183" s="282">
        <v>-0.13999999999998636</v>
      </c>
      <c r="AQ183" s="283">
        <v>-93.43</v>
      </c>
    </row>
    <row r="184" spans="1:43">
      <c r="A184" s="161"/>
      <c r="B184" s="280" t="s">
        <v>181</v>
      </c>
      <c r="C184" s="281" t="s">
        <v>560</v>
      </c>
      <c r="D184" s="188">
        <v>167</v>
      </c>
      <c r="E184" s="114">
        <v>3.75</v>
      </c>
      <c r="F184" s="239" t="s">
        <v>191</v>
      </c>
      <c r="G184" s="315"/>
      <c r="I184" s="282">
        <v>87</v>
      </c>
      <c r="J184" s="282">
        <v>107</v>
      </c>
      <c r="K184" s="282">
        <v>130</v>
      </c>
      <c r="L184" s="282">
        <v>147</v>
      </c>
      <c r="M184" s="283">
        <v>180</v>
      </c>
      <c r="O184" s="282">
        <v>132</v>
      </c>
      <c r="P184" s="282">
        <v>162</v>
      </c>
      <c r="Q184" s="282">
        <v>211</v>
      </c>
      <c r="R184" s="282">
        <v>234</v>
      </c>
      <c r="S184" s="283">
        <v>234</v>
      </c>
      <c r="U184" s="282">
        <v>0</v>
      </c>
      <c r="V184" s="282">
        <v>0</v>
      </c>
      <c r="W184" s="282">
        <v>0</v>
      </c>
      <c r="X184" s="282">
        <v>0</v>
      </c>
      <c r="Y184" s="282">
        <v>0</v>
      </c>
      <c r="Z184" s="282">
        <v>0</v>
      </c>
      <c r="AA184" s="282">
        <v>0</v>
      </c>
      <c r="AB184" s="282">
        <v>0</v>
      </c>
      <c r="AC184" s="282">
        <v>0</v>
      </c>
      <c r="AD184" s="282">
        <v>0</v>
      </c>
      <c r="AE184" s="282">
        <v>0</v>
      </c>
      <c r="AF184" s="153"/>
      <c r="AG184" s="282">
        <v>79.89</v>
      </c>
      <c r="AH184" s="282">
        <v>59.89</v>
      </c>
      <c r="AI184" s="282">
        <v>36.889999999999887</v>
      </c>
      <c r="AJ184" s="282">
        <v>19.89</v>
      </c>
      <c r="AK184" s="283">
        <v>-13.11</v>
      </c>
      <c r="AL184" s="284"/>
      <c r="AM184" s="282">
        <v>34.890000000000057</v>
      </c>
      <c r="AN184" s="282">
        <v>4.8900000000000006</v>
      </c>
      <c r="AO184" s="282">
        <v>-44.11</v>
      </c>
      <c r="AP184" s="282">
        <v>-66.945000000000022</v>
      </c>
      <c r="AQ184" s="283">
        <v>-66.945000000000022</v>
      </c>
    </row>
    <row r="185" spans="1:43">
      <c r="A185" s="161"/>
      <c r="B185" s="285" t="s">
        <v>181</v>
      </c>
      <c r="C185" s="286" t="s">
        <v>523</v>
      </c>
      <c r="D185" s="189">
        <v>165</v>
      </c>
      <c r="E185" s="115">
        <v>0</v>
      </c>
      <c r="F185" s="237" t="s">
        <v>195</v>
      </c>
      <c r="G185" s="314"/>
      <c r="I185" s="267">
        <v>52</v>
      </c>
      <c r="J185" s="267">
        <v>72</v>
      </c>
      <c r="K185" s="267">
        <v>95</v>
      </c>
      <c r="L185" s="267">
        <v>112</v>
      </c>
      <c r="M185" s="268">
        <v>145</v>
      </c>
      <c r="O185" s="267">
        <v>97</v>
      </c>
      <c r="P185" s="267">
        <v>127</v>
      </c>
      <c r="Q185" s="267">
        <v>176</v>
      </c>
      <c r="R185" s="267">
        <v>241</v>
      </c>
      <c r="S185" s="268">
        <v>241</v>
      </c>
      <c r="U185" s="282">
        <v>0</v>
      </c>
      <c r="V185" s="282">
        <v>0</v>
      </c>
      <c r="W185" s="282">
        <v>0</v>
      </c>
      <c r="X185" s="282">
        <v>0</v>
      </c>
      <c r="Y185" s="282">
        <v>0</v>
      </c>
      <c r="Z185" s="282">
        <v>0</v>
      </c>
      <c r="AA185" s="282">
        <v>0</v>
      </c>
      <c r="AB185" s="282">
        <v>0</v>
      </c>
      <c r="AC185" s="282">
        <v>0</v>
      </c>
      <c r="AD185" s="282">
        <v>0</v>
      </c>
      <c r="AE185" s="282">
        <v>0</v>
      </c>
      <c r="AF185" s="153"/>
      <c r="AG185" s="282">
        <v>113</v>
      </c>
      <c r="AH185" s="282">
        <v>93</v>
      </c>
      <c r="AI185" s="282">
        <v>69.999999999999886</v>
      </c>
      <c r="AJ185" s="282">
        <v>53</v>
      </c>
      <c r="AK185" s="283">
        <v>20</v>
      </c>
      <c r="AL185" s="284"/>
      <c r="AM185" s="282">
        <v>68.000000000000057</v>
      </c>
      <c r="AN185" s="282">
        <v>38</v>
      </c>
      <c r="AO185" s="282">
        <v>-11</v>
      </c>
      <c r="AP185" s="282">
        <v>-75.550000000000011</v>
      </c>
      <c r="AQ185" s="283">
        <v>-75.550000000000011</v>
      </c>
    </row>
    <row r="186" spans="1:43">
      <c r="A186" s="161"/>
      <c r="B186" s="280" t="s">
        <v>298</v>
      </c>
      <c r="C186" s="281" t="s">
        <v>583</v>
      </c>
      <c r="D186" s="188">
        <v>148</v>
      </c>
      <c r="E186" s="114">
        <v>3.25</v>
      </c>
      <c r="F186" s="239" t="s">
        <v>190</v>
      </c>
      <c r="G186" s="315"/>
      <c r="I186" s="282">
        <v>82</v>
      </c>
      <c r="J186" s="282">
        <v>102</v>
      </c>
      <c r="K186" s="282">
        <v>125</v>
      </c>
      <c r="L186" s="282">
        <v>142</v>
      </c>
      <c r="M186" s="283">
        <v>175</v>
      </c>
      <c r="O186" s="282">
        <v>127</v>
      </c>
      <c r="P186" s="282">
        <v>157</v>
      </c>
      <c r="Q186" s="282">
        <v>206</v>
      </c>
      <c r="R186" s="282">
        <v>208</v>
      </c>
      <c r="S186" s="283">
        <v>208</v>
      </c>
      <c r="U186" s="282">
        <v>0</v>
      </c>
      <c r="V186" s="282">
        <v>0</v>
      </c>
      <c r="W186" s="282">
        <v>0</v>
      </c>
      <c r="X186" s="282">
        <v>0</v>
      </c>
      <c r="Y186" s="282">
        <v>0</v>
      </c>
      <c r="Z186" s="282">
        <v>0</v>
      </c>
      <c r="AA186" s="282">
        <v>0</v>
      </c>
      <c r="AB186" s="282">
        <v>0</v>
      </c>
      <c r="AC186" s="282">
        <v>0</v>
      </c>
      <c r="AD186" s="282">
        <v>0</v>
      </c>
      <c r="AE186" s="282">
        <v>0</v>
      </c>
      <c r="AF186" s="153"/>
      <c r="AG186" s="282">
        <v>66.25</v>
      </c>
      <c r="AH186" s="282">
        <v>46.25</v>
      </c>
      <c r="AI186" s="282">
        <v>23.249999999999886</v>
      </c>
      <c r="AJ186" s="282">
        <v>6.25</v>
      </c>
      <c r="AK186" s="283">
        <v>-26.75</v>
      </c>
      <c r="AL186" s="284"/>
      <c r="AM186" s="282">
        <v>21.250000000000057</v>
      </c>
      <c r="AN186" s="282">
        <v>-8.75</v>
      </c>
      <c r="AO186" s="282">
        <v>-57.75</v>
      </c>
      <c r="AP186" s="282">
        <v>-60.125</v>
      </c>
      <c r="AQ186" s="283">
        <v>-60.125</v>
      </c>
    </row>
    <row r="187" spans="1:43" ht="13" thickBot="1">
      <c r="A187" s="161"/>
      <c r="B187" s="285" t="s">
        <v>286</v>
      </c>
      <c r="C187" s="286" t="s">
        <v>561</v>
      </c>
      <c r="D187" s="189">
        <v>0</v>
      </c>
      <c r="E187" s="115">
        <v>0</v>
      </c>
      <c r="F187" s="237" t="s">
        <v>15</v>
      </c>
      <c r="G187" s="314"/>
      <c r="I187" s="267">
        <v>0</v>
      </c>
      <c r="J187" s="267">
        <v>30</v>
      </c>
      <c r="K187" s="267">
        <v>50</v>
      </c>
      <c r="L187" s="267">
        <v>70</v>
      </c>
      <c r="M187" s="268">
        <v>80</v>
      </c>
      <c r="O187" s="267">
        <v>20</v>
      </c>
      <c r="P187" s="267">
        <v>60</v>
      </c>
      <c r="Q187" s="267">
        <v>125</v>
      </c>
      <c r="R187" s="267">
        <v>160</v>
      </c>
      <c r="S187" s="268">
        <v>220</v>
      </c>
      <c r="U187" s="282">
        <v>0</v>
      </c>
      <c r="V187" s="282">
        <v>0</v>
      </c>
      <c r="W187" s="282">
        <v>0</v>
      </c>
      <c r="X187" s="282">
        <v>0</v>
      </c>
      <c r="Y187" s="282">
        <v>0</v>
      </c>
      <c r="Z187" s="282"/>
      <c r="AA187" s="282">
        <v>0</v>
      </c>
      <c r="AB187" s="282">
        <v>0</v>
      </c>
      <c r="AC187" s="282">
        <v>-30</v>
      </c>
      <c r="AD187" s="282">
        <v>-40</v>
      </c>
      <c r="AE187" s="282">
        <v>-50</v>
      </c>
      <c r="AF187" s="153"/>
      <c r="AG187" s="282">
        <v>0</v>
      </c>
      <c r="AH187" s="282">
        <v>0</v>
      </c>
      <c r="AI187" s="282">
        <v>-50</v>
      </c>
      <c r="AJ187" s="282">
        <v>-70</v>
      </c>
      <c r="AK187" s="283">
        <v>-80</v>
      </c>
      <c r="AL187" s="284"/>
      <c r="AM187" s="282">
        <v>-20</v>
      </c>
      <c r="AN187" s="282">
        <v>-60</v>
      </c>
      <c r="AO187" s="282">
        <v>-125</v>
      </c>
      <c r="AP187" s="282">
        <v>-160</v>
      </c>
      <c r="AQ187" s="283">
        <v>-220</v>
      </c>
    </row>
    <row r="188" spans="1:43" s="109" customFormat="1">
      <c r="A188" s="195"/>
      <c r="B188" s="521"/>
      <c r="C188" s="521"/>
      <c r="D188" s="521"/>
      <c r="E188" s="521"/>
      <c r="F188" s="521"/>
      <c r="G188" s="315"/>
      <c r="H188" s="150"/>
      <c r="I188" s="521"/>
      <c r="J188" s="521"/>
      <c r="K188" s="521"/>
      <c r="L188" s="521"/>
      <c r="M188" s="521"/>
      <c r="N188" s="150"/>
      <c r="O188" s="521"/>
      <c r="P188" s="521"/>
      <c r="Q188" s="521"/>
      <c r="R188" s="521"/>
      <c r="S188" s="521"/>
      <c r="T188" s="113"/>
      <c r="U188" s="521"/>
      <c r="V188" s="521"/>
      <c r="W188" s="521"/>
      <c r="X188" s="521"/>
      <c r="Y188" s="521"/>
      <c r="Z188" s="150"/>
      <c r="AA188" s="521"/>
      <c r="AB188" s="521"/>
      <c r="AC188" s="521"/>
      <c r="AD188" s="521"/>
      <c r="AE188" s="521"/>
      <c r="AF188" s="113"/>
      <c r="AG188" s="521"/>
      <c r="AH188" s="521"/>
      <c r="AI188" s="521"/>
      <c r="AJ188" s="521"/>
      <c r="AK188" s="521"/>
      <c r="AL188" s="150"/>
      <c r="AM188" s="521"/>
      <c r="AN188" s="521"/>
      <c r="AO188" s="521"/>
      <c r="AP188" s="521"/>
      <c r="AQ188" s="521"/>
    </row>
    <row r="189" spans="1:43">
      <c r="A189" s="161"/>
      <c r="G189" s="588"/>
      <c r="H189" s="591"/>
    </row>
    <row r="190" spans="1:43">
      <c r="A190" s="161"/>
      <c r="G190" s="589"/>
      <c r="H190" s="591"/>
    </row>
    <row r="191" spans="1:43">
      <c r="A191" s="161"/>
      <c r="H191" s="586"/>
    </row>
    <row r="192" spans="1:43">
      <c r="A192" s="161"/>
      <c r="G192" s="589"/>
      <c r="H192" s="591"/>
    </row>
    <row r="193" spans="1:43">
      <c r="A193" s="161"/>
      <c r="G193" s="588"/>
      <c r="H193" s="591"/>
    </row>
    <row r="194" spans="1:43">
      <c r="A194" s="161"/>
      <c r="G194" s="589"/>
      <c r="H194" s="591"/>
    </row>
    <row r="195" spans="1:43">
      <c r="A195" s="161"/>
      <c r="G195" s="588"/>
      <c r="H195" s="591"/>
    </row>
    <row r="196" spans="1:43">
      <c r="A196" s="161"/>
      <c r="G196" s="589"/>
      <c r="H196" s="591"/>
    </row>
    <row r="197" spans="1:43">
      <c r="A197" s="161"/>
      <c r="G197" s="588"/>
      <c r="H197" s="591"/>
    </row>
    <row r="198" spans="1:43" s="109" customFormat="1">
      <c r="A198" s="195"/>
      <c r="B198" s="113"/>
      <c r="C198" s="113"/>
      <c r="D198" s="113"/>
      <c r="E198" s="113"/>
      <c r="F198" s="113"/>
      <c r="G198" s="589"/>
      <c r="H198" s="591"/>
      <c r="I198" s="113"/>
      <c r="J198" s="113"/>
      <c r="K198" s="113"/>
      <c r="L198" s="113"/>
      <c r="M198" s="113"/>
      <c r="N198" s="150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50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50"/>
      <c r="AM198" s="113"/>
      <c r="AN198" s="113"/>
      <c r="AO198" s="113"/>
      <c r="AP198" s="113"/>
      <c r="AQ198" s="113"/>
    </row>
    <row r="199" spans="1:43">
      <c r="A199" s="161"/>
      <c r="G199" s="588"/>
      <c r="H199" s="591"/>
    </row>
    <row r="200" spans="1:43" s="109" customFormat="1" ht="13" thickBot="1">
      <c r="A200" s="195"/>
      <c r="B200" s="113"/>
      <c r="C200" s="113"/>
      <c r="D200" s="113"/>
      <c r="E200" s="113"/>
      <c r="F200" s="113"/>
      <c r="G200" s="590"/>
      <c r="H200" s="592"/>
      <c r="I200" s="113"/>
      <c r="J200" s="113"/>
      <c r="K200" s="113"/>
      <c r="L200" s="113"/>
      <c r="M200" s="113"/>
      <c r="N200" s="150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50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50"/>
      <c r="AM200" s="113"/>
      <c r="AN200" s="113"/>
      <c r="AO200" s="113"/>
      <c r="AP200" s="113"/>
      <c r="AQ200" s="113"/>
    </row>
    <row r="212" spans="2:6" ht="13" thickBot="1"/>
    <row r="213" spans="2:6">
      <c r="B213" s="521"/>
      <c r="C213" s="521"/>
      <c r="D213" s="521"/>
      <c r="E213" s="521"/>
      <c r="F213" s="521"/>
    </row>
  </sheetData>
  <sheetProtection algorithmName="SHA-512" hashValue="nyhUtPA7yJbT4IBqODfiaT+yOESNKB81A0wAD+nHm8M+Kwph1pBj4nlSFn95k25QnWv6BuK9RnwM4SdevGyiFA==" saltValue="y/ZJwOg8Md7z4O2jZX0OoQ==" spinCount="100000" sheet="1" objects="1" scenarios="1"/>
  <autoFilter ref="B25:C200" xr:uid="{A6782A58-0321-4E0B-8F6F-70ABB9F65714}"/>
  <mergeCells count="35">
    <mergeCell ref="B2:G2"/>
    <mergeCell ref="I2:M2"/>
    <mergeCell ref="O2:S2"/>
    <mergeCell ref="D4:G4"/>
    <mergeCell ref="B5:C16"/>
    <mergeCell ref="D5:G11"/>
    <mergeCell ref="I5:I11"/>
    <mergeCell ref="J5:J11"/>
    <mergeCell ref="K5:K11"/>
    <mergeCell ref="L5:L11"/>
    <mergeCell ref="D12:G12"/>
    <mergeCell ref="D13:G13"/>
    <mergeCell ref="D14:G14"/>
    <mergeCell ref="D15:G15"/>
    <mergeCell ref="D16:G16"/>
    <mergeCell ref="U17:AE17"/>
    <mergeCell ref="M5:M11"/>
    <mergeCell ref="O5:O11"/>
    <mergeCell ref="P5:P11"/>
    <mergeCell ref="Q5:Q11"/>
    <mergeCell ref="R5:R11"/>
    <mergeCell ref="S5:S11"/>
    <mergeCell ref="B19:G23"/>
    <mergeCell ref="I19:M19"/>
    <mergeCell ref="O19:S19"/>
    <mergeCell ref="U19:Y19"/>
    <mergeCell ref="AA19:AE19"/>
    <mergeCell ref="AM19:AQ19"/>
    <mergeCell ref="I21:M21"/>
    <mergeCell ref="O21:S21"/>
    <mergeCell ref="U21:Y21"/>
    <mergeCell ref="AA21:AE21"/>
    <mergeCell ref="AG21:AK21"/>
    <mergeCell ref="AM21:AQ21"/>
    <mergeCell ref="AG19:AK19"/>
  </mergeCells>
  <conditionalFormatting sqref="D16:G16">
    <cfRule type="cellIs" dxfId="51" priority="259" stopIfTrue="1" operator="lessThan">
      <formula>0</formula>
    </cfRule>
  </conditionalFormatting>
  <conditionalFormatting sqref="F18">
    <cfRule type="expression" dxfId="50" priority="257" stopIfTrue="1">
      <formula>ISERROR(F18)</formula>
    </cfRule>
    <cfRule type="cellIs" dxfId="49" priority="258" stopIfTrue="1" operator="lessThan">
      <formula>0</formula>
    </cfRule>
  </conditionalFormatting>
  <conditionalFormatting sqref="U26:AD186">
    <cfRule type="cellIs" dxfId="48" priority="5" stopIfTrue="1" operator="lessThan">
      <formula>0</formula>
    </cfRule>
    <cfRule type="cellIs" dxfId="47" priority="6" stopIfTrue="1" operator="greaterThan">
      <formula>0</formula>
    </cfRule>
  </conditionalFormatting>
  <conditionalFormatting sqref="AE26:AE187">
    <cfRule type="cellIs" dxfId="46" priority="3" stopIfTrue="1" operator="lessThan">
      <formula>0</formula>
    </cfRule>
    <cfRule type="cellIs" dxfId="45" priority="4" stopIfTrue="1" operator="greaterThan">
      <formula>0</formula>
    </cfRule>
  </conditionalFormatting>
  <conditionalFormatting sqref="U187:AD187">
    <cfRule type="cellIs" dxfId="44" priority="1" stopIfTrue="1" operator="lessThan">
      <formula>0</formula>
    </cfRule>
    <cfRule type="cellIs" dxfId="43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32" orientation="portrait" r:id="rId1"/>
  <headerFooter>
    <oddFooter>&amp;C&amp;1#&amp;"Calibri"&amp;8&amp;KED7D31Orange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2">
    <pageSetUpPr fitToPage="1"/>
  </sheetPr>
  <dimension ref="A1:AR202"/>
  <sheetViews>
    <sheetView showGridLines="0" topLeftCell="A177" zoomScale="70" zoomScaleNormal="70" workbookViewId="0">
      <selection activeCell="M197" sqref="M197"/>
    </sheetView>
  </sheetViews>
  <sheetFormatPr baseColWidth="10" defaultRowHeight="12.5"/>
  <cols>
    <col min="1" max="1" width="5.816406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50" customWidth="1"/>
    <col min="9" max="13" width="15.54296875" style="113" customWidth="1"/>
    <col min="14" max="14" width="1.54296875" style="150" customWidth="1"/>
    <col min="15" max="19" width="15.54296875" style="113" customWidth="1"/>
    <col min="20" max="20" width="4.81640625" style="113" customWidth="1"/>
    <col min="21" max="21" width="5.1796875" style="113" customWidth="1"/>
    <col min="22" max="26" width="13.81640625" style="113" customWidth="1"/>
    <col min="27" max="27" width="1.54296875" style="150" customWidth="1"/>
    <col min="28" max="32" width="13.81640625" style="113" customWidth="1"/>
    <col min="33" max="256" width="11.453125" style="113"/>
    <col min="257" max="257" width="5.8164062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3" width="8.1796875" style="113" customWidth="1"/>
    <col min="264" max="264" width="2.453125" style="113" customWidth="1"/>
    <col min="265" max="269" width="15.54296875" style="113" customWidth="1"/>
    <col min="270" max="270" width="1.54296875" style="113" customWidth="1"/>
    <col min="271" max="275" width="15.54296875" style="113" customWidth="1"/>
    <col min="276" max="276" width="4.81640625" style="113" customWidth="1"/>
    <col min="277" max="277" width="5.1796875" style="113" customWidth="1"/>
    <col min="278" max="282" width="13.81640625" style="113" customWidth="1"/>
    <col min="283" max="283" width="1.54296875" style="113" customWidth="1"/>
    <col min="284" max="288" width="13.81640625" style="113" customWidth="1"/>
    <col min="289" max="512" width="11.453125" style="113"/>
    <col min="513" max="513" width="5.8164062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9" width="8.1796875" style="113" customWidth="1"/>
    <col min="520" max="520" width="2.453125" style="113" customWidth="1"/>
    <col min="521" max="525" width="15.54296875" style="113" customWidth="1"/>
    <col min="526" max="526" width="1.54296875" style="113" customWidth="1"/>
    <col min="527" max="531" width="15.54296875" style="113" customWidth="1"/>
    <col min="532" max="532" width="4.81640625" style="113" customWidth="1"/>
    <col min="533" max="533" width="5.1796875" style="113" customWidth="1"/>
    <col min="534" max="538" width="13.81640625" style="113" customWidth="1"/>
    <col min="539" max="539" width="1.54296875" style="113" customWidth="1"/>
    <col min="540" max="544" width="13.81640625" style="113" customWidth="1"/>
    <col min="545" max="768" width="11.453125" style="113"/>
    <col min="769" max="769" width="5.8164062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5" width="8.1796875" style="113" customWidth="1"/>
    <col min="776" max="776" width="2.453125" style="113" customWidth="1"/>
    <col min="777" max="781" width="15.54296875" style="113" customWidth="1"/>
    <col min="782" max="782" width="1.54296875" style="113" customWidth="1"/>
    <col min="783" max="787" width="15.54296875" style="113" customWidth="1"/>
    <col min="788" max="788" width="4.81640625" style="113" customWidth="1"/>
    <col min="789" max="789" width="5.1796875" style="113" customWidth="1"/>
    <col min="790" max="794" width="13.81640625" style="113" customWidth="1"/>
    <col min="795" max="795" width="1.54296875" style="113" customWidth="1"/>
    <col min="796" max="800" width="13.81640625" style="113" customWidth="1"/>
    <col min="801" max="1024" width="11.453125" style="113"/>
    <col min="1025" max="1025" width="5.8164062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1" width="8.1796875" style="113" customWidth="1"/>
    <col min="1032" max="1032" width="2.453125" style="113" customWidth="1"/>
    <col min="1033" max="1037" width="15.54296875" style="113" customWidth="1"/>
    <col min="1038" max="1038" width="1.54296875" style="113" customWidth="1"/>
    <col min="1039" max="1043" width="15.54296875" style="113" customWidth="1"/>
    <col min="1044" max="1044" width="4.81640625" style="113" customWidth="1"/>
    <col min="1045" max="1045" width="5.1796875" style="113" customWidth="1"/>
    <col min="1046" max="1050" width="13.81640625" style="113" customWidth="1"/>
    <col min="1051" max="1051" width="1.54296875" style="113" customWidth="1"/>
    <col min="1052" max="1056" width="13.81640625" style="113" customWidth="1"/>
    <col min="1057" max="1280" width="11.453125" style="113"/>
    <col min="1281" max="1281" width="5.8164062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7" width="8.1796875" style="113" customWidth="1"/>
    <col min="1288" max="1288" width="2.453125" style="113" customWidth="1"/>
    <col min="1289" max="1293" width="15.54296875" style="113" customWidth="1"/>
    <col min="1294" max="1294" width="1.54296875" style="113" customWidth="1"/>
    <col min="1295" max="1299" width="15.54296875" style="113" customWidth="1"/>
    <col min="1300" max="1300" width="4.81640625" style="113" customWidth="1"/>
    <col min="1301" max="1301" width="5.1796875" style="113" customWidth="1"/>
    <col min="1302" max="1306" width="13.81640625" style="113" customWidth="1"/>
    <col min="1307" max="1307" width="1.54296875" style="113" customWidth="1"/>
    <col min="1308" max="1312" width="13.81640625" style="113" customWidth="1"/>
    <col min="1313" max="1536" width="11.453125" style="113"/>
    <col min="1537" max="1537" width="5.8164062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3" width="8.1796875" style="113" customWidth="1"/>
    <col min="1544" max="1544" width="2.453125" style="113" customWidth="1"/>
    <col min="1545" max="1549" width="15.54296875" style="113" customWidth="1"/>
    <col min="1550" max="1550" width="1.54296875" style="113" customWidth="1"/>
    <col min="1551" max="1555" width="15.54296875" style="113" customWidth="1"/>
    <col min="1556" max="1556" width="4.81640625" style="113" customWidth="1"/>
    <col min="1557" max="1557" width="5.1796875" style="113" customWidth="1"/>
    <col min="1558" max="1562" width="13.81640625" style="113" customWidth="1"/>
    <col min="1563" max="1563" width="1.54296875" style="113" customWidth="1"/>
    <col min="1564" max="1568" width="13.81640625" style="113" customWidth="1"/>
    <col min="1569" max="1792" width="11.453125" style="113"/>
    <col min="1793" max="1793" width="5.8164062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9" width="8.1796875" style="113" customWidth="1"/>
    <col min="1800" max="1800" width="2.453125" style="113" customWidth="1"/>
    <col min="1801" max="1805" width="15.54296875" style="113" customWidth="1"/>
    <col min="1806" max="1806" width="1.54296875" style="113" customWidth="1"/>
    <col min="1807" max="1811" width="15.54296875" style="113" customWidth="1"/>
    <col min="1812" max="1812" width="4.81640625" style="113" customWidth="1"/>
    <col min="1813" max="1813" width="5.1796875" style="113" customWidth="1"/>
    <col min="1814" max="1818" width="13.81640625" style="113" customWidth="1"/>
    <col min="1819" max="1819" width="1.54296875" style="113" customWidth="1"/>
    <col min="1820" max="1824" width="13.81640625" style="113" customWidth="1"/>
    <col min="1825" max="2048" width="11.453125" style="113"/>
    <col min="2049" max="2049" width="5.8164062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5" width="8.1796875" style="113" customWidth="1"/>
    <col min="2056" max="2056" width="2.453125" style="113" customWidth="1"/>
    <col min="2057" max="2061" width="15.54296875" style="113" customWidth="1"/>
    <col min="2062" max="2062" width="1.54296875" style="113" customWidth="1"/>
    <col min="2063" max="2067" width="15.54296875" style="113" customWidth="1"/>
    <col min="2068" max="2068" width="4.81640625" style="113" customWidth="1"/>
    <col min="2069" max="2069" width="5.1796875" style="113" customWidth="1"/>
    <col min="2070" max="2074" width="13.81640625" style="113" customWidth="1"/>
    <col min="2075" max="2075" width="1.54296875" style="113" customWidth="1"/>
    <col min="2076" max="2080" width="13.81640625" style="113" customWidth="1"/>
    <col min="2081" max="2304" width="11.453125" style="113"/>
    <col min="2305" max="2305" width="5.8164062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1" width="8.1796875" style="113" customWidth="1"/>
    <col min="2312" max="2312" width="2.453125" style="113" customWidth="1"/>
    <col min="2313" max="2317" width="15.54296875" style="113" customWidth="1"/>
    <col min="2318" max="2318" width="1.54296875" style="113" customWidth="1"/>
    <col min="2319" max="2323" width="15.54296875" style="113" customWidth="1"/>
    <col min="2324" max="2324" width="4.81640625" style="113" customWidth="1"/>
    <col min="2325" max="2325" width="5.1796875" style="113" customWidth="1"/>
    <col min="2326" max="2330" width="13.81640625" style="113" customWidth="1"/>
    <col min="2331" max="2331" width="1.54296875" style="113" customWidth="1"/>
    <col min="2332" max="2336" width="13.81640625" style="113" customWidth="1"/>
    <col min="2337" max="2560" width="11.453125" style="113"/>
    <col min="2561" max="2561" width="5.8164062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7" width="8.1796875" style="113" customWidth="1"/>
    <col min="2568" max="2568" width="2.453125" style="113" customWidth="1"/>
    <col min="2569" max="2573" width="15.54296875" style="113" customWidth="1"/>
    <col min="2574" max="2574" width="1.54296875" style="113" customWidth="1"/>
    <col min="2575" max="2579" width="15.54296875" style="113" customWidth="1"/>
    <col min="2580" max="2580" width="4.81640625" style="113" customWidth="1"/>
    <col min="2581" max="2581" width="5.1796875" style="113" customWidth="1"/>
    <col min="2582" max="2586" width="13.81640625" style="113" customWidth="1"/>
    <col min="2587" max="2587" width="1.54296875" style="113" customWidth="1"/>
    <col min="2588" max="2592" width="13.81640625" style="113" customWidth="1"/>
    <col min="2593" max="2816" width="11.453125" style="113"/>
    <col min="2817" max="2817" width="5.8164062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3" width="8.1796875" style="113" customWidth="1"/>
    <col min="2824" max="2824" width="2.453125" style="113" customWidth="1"/>
    <col min="2825" max="2829" width="15.54296875" style="113" customWidth="1"/>
    <col min="2830" max="2830" width="1.54296875" style="113" customWidth="1"/>
    <col min="2831" max="2835" width="15.54296875" style="113" customWidth="1"/>
    <col min="2836" max="2836" width="4.81640625" style="113" customWidth="1"/>
    <col min="2837" max="2837" width="5.1796875" style="113" customWidth="1"/>
    <col min="2838" max="2842" width="13.81640625" style="113" customWidth="1"/>
    <col min="2843" max="2843" width="1.54296875" style="113" customWidth="1"/>
    <col min="2844" max="2848" width="13.81640625" style="113" customWidth="1"/>
    <col min="2849" max="3072" width="11.453125" style="113"/>
    <col min="3073" max="3073" width="5.8164062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9" width="8.1796875" style="113" customWidth="1"/>
    <col min="3080" max="3080" width="2.453125" style="113" customWidth="1"/>
    <col min="3081" max="3085" width="15.54296875" style="113" customWidth="1"/>
    <col min="3086" max="3086" width="1.54296875" style="113" customWidth="1"/>
    <col min="3087" max="3091" width="15.54296875" style="113" customWidth="1"/>
    <col min="3092" max="3092" width="4.81640625" style="113" customWidth="1"/>
    <col min="3093" max="3093" width="5.1796875" style="113" customWidth="1"/>
    <col min="3094" max="3098" width="13.81640625" style="113" customWidth="1"/>
    <col min="3099" max="3099" width="1.54296875" style="113" customWidth="1"/>
    <col min="3100" max="3104" width="13.81640625" style="113" customWidth="1"/>
    <col min="3105" max="3328" width="11.453125" style="113"/>
    <col min="3329" max="3329" width="5.8164062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5" width="8.1796875" style="113" customWidth="1"/>
    <col min="3336" max="3336" width="2.453125" style="113" customWidth="1"/>
    <col min="3337" max="3341" width="15.54296875" style="113" customWidth="1"/>
    <col min="3342" max="3342" width="1.54296875" style="113" customWidth="1"/>
    <col min="3343" max="3347" width="15.54296875" style="113" customWidth="1"/>
    <col min="3348" max="3348" width="4.81640625" style="113" customWidth="1"/>
    <col min="3349" max="3349" width="5.1796875" style="113" customWidth="1"/>
    <col min="3350" max="3354" width="13.81640625" style="113" customWidth="1"/>
    <col min="3355" max="3355" width="1.54296875" style="113" customWidth="1"/>
    <col min="3356" max="3360" width="13.81640625" style="113" customWidth="1"/>
    <col min="3361" max="3584" width="11.453125" style="113"/>
    <col min="3585" max="3585" width="5.8164062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1" width="8.1796875" style="113" customWidth="1"/>
    <col min="3592" max="3592" width="2.453125" style="113" customWidth="1"/>
    <col min="3593" max="3597" width="15.54296875" style="113" customWidth="1"/>
    <col min="3598" max="3598" width="1.54296875" style="113" customWidth="1"/>
    <col min="3599" max="3603" width="15.54296875" style="113" customWidth="1"/>
    <col min="3604" max="3604" width="4.81640625" style="113" customWidth="1"/>
    <col min="3605" max="3605" width="5.1796875" style="113" customWidth="1"/>
    <col min="3606" max="3610" width="13.81640625" style="113" customWidth="1"/>
    <col min="3611" max="3611" width="1.54296875" style="113" customWidth="1"/>
    <col min="3612" max="3616" width="13.81640625" style="113" customWidth="1"/>
    <col min="3617" max="3840" width="11.453125" style="113"/>
    <col min="3841" max="3841" width="5.8164062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7" width="8.1796875" style="113" customWidth="1"/>
    <col min="3848" max="3848" width="2.453125" style="113" customWidth="1"/>
    <col min="3849" max="3853" width="15.54296875" style="113" customWidth="1"/>
    <col min="3854" max="3854" width="1.54296875" style="113" customWidth="1"/>
    <col min="3855" max="3859" width="15.54296875" style="113" customWidth="1"/>
    <col min="3860" max="3860" width="4.81640625" style="113" customWidth="1"/>
    <col min="3861" max="3861" width="5.1796875" style="113" customWidth="1"/>
    <col min="3862" max="3866" width="13.81640625" style="113" customWidth="1"/>
    <col min="3867" max="3867" width="1.54296875" style="113" customWidth="1"/>
    <col min="3868" max="3872" width="13.81640625" style="113" customWidth="1"/>
    <col min="3873" max="4096" width="11.453125" style="113"/>
    <col min="4097" max="4097" width="5.8164062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3" width="8.1796875" style="113" customWidth="1"/>
    <col min="4104" max="4104" width="2.453125" style="113" customWidth="1"/>
    <col min="4105" max="4109" width="15.54296875" style="113" customWidth="1"/>
    <col min="4110" max="4110" width="1.54296875" style="113" customWidth="1"/>
    <col min="4111" max="4115" width="15.54296875" style="113" customWidth="1"/>
    <col min="4116" max="4116" width="4.81640625" style="113" customWidth="1"/>
    <col min="4117" max="4117" width="5.1796875" style="113" customWidth="1"/>
    <col min="4118" max="4122" width="13.81640625" style="113" customWidth="1"/>
    <col min="4123" max="4123" width="1.54296875" style="113" customWidth="1"/>
    <col min="4124" max="4128" width="13.81640625" style="113" customWidth="1"/>
    <col min="4129" max="4352" width="11.453125" style="113"/>
    <col min="4353" max="4353" width="5.8164062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9" width="8.1796875" style="113" customWidth="1"/>
    <col min="4360" max="4360" width="2.453125" style="113" customWidth="1"/>
    <col min="4361" max="4365" width="15.54296875" style="113" customWidth="1"/>
    <col min="4366" max="4366" width="1.54296875" style="113" customWidth="1"/>
    <col min="4367" max="4371" width="15.54296875" style="113" customWidth="1"/>
    <col min="4372" max="4372" width="4.81640625" style="113" customWidth="1"/>
    <col min="4373" max="4373" width="5.1796875" style="113" customWidth="1"/>
    <col min="4374" max="4378" width="13.81640625" style="113" customWidth="1"/>
    <col min="4379" max="4379" width="1.54296875" style="113" customWidth="1"/>
    <col min="4380" max="4384" width="13.81640625" style="113" customWidth="1"/>
    <col min="4385" max="4608" width="11.453125" style="113"/>
    <col min="4609" max="4609" width="5.8164062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5" width="8.1796875" style="113" customWidth="1"/>
    <col min="4616" max="4616" width="2.453125" style="113" customWidth="1"/>
    <col min="4617" max="4621" width="15.54296875" style="113" customWidth="1"/>
    <col min="4622" max="4622" width="1.54296875" style="113" customWidth="1"/>
    <col min="4623" max="4627" width="15.54296875" style="113" customWidth="1"/>
    <col min="4628" max="4628" width="4.81640625" style="113" customWidth="1"/>
    <col min="4629" max="4629" width="5.1796875" style="113" customWidth="1"/>
    <col min="4630" max="4634" width="13.81640625" style="113" customWidth="1"/>
    <col min="4635" max="4635" width="1.54296875" style="113" customWidth="1"/>
    <col min="4636" max="4640" width="13.81640625" style="113" customWidth="1"/>
    <col min="4641" max="4864" width="11.453125" style="113"/>
    <col min="4865" max="4865" width="5.8164062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1" width="8.1796875" style="113" customWidth="1"/>
    <col min="4872" max="4872" width="2.453125" style="113" customWidth="1"/>
    <col min="4873" max="4877" width="15.54296875" style="113" customWidth="1"/>
    <col min="4878" max="4878" width="1.54296875" style="113" customWidth="1"/>
    <col min="4879" max="4883" width="15.54296875" style="113" customWidth="1"/>
    <col min="4884" max="4884" width="4.81640625" style="113" customWidth="1"/>
    <col min="4885" max="4885" width="5.1796875" style="113" customWidth="1"/>
    <col min="4886" max="4890" width="13.81640625" style="113" customWidth="1"/>
    <col min="4891" max="4891" width="1.54296875" style="113" customWidth="1"/>
    <col min="4892" max="4896" width="13.81640625" style="113" customWidth="1"/>
    <col min="4897" max="5120" width="11.453125" style="113"/>
    <col min="5121" max="5121" width="5.8164062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7" width="8.1796875" style="113" customWidth="1"/>
    <col min="5128" max="5128" width="2.453125" style="113" customWidth="1"/>
    <col min="5129" max="5133" width="15.54296875" style="113" customWidth="1"/>
    <col min="5134" max="5134" width="1.54296875" style="113" customWidth="1"/>
    <col min="5135" max="5139" width="15.54296875" style="113" customWidth="1"/>
    <col min="5140" max="5140" width="4.81640625" style="113" customWidth="1"/>
    <col min="5141" max="5141" width="5.1796875" style="113" customWidth="1"/>
    <col min="5142" max="5146" width="13.81640625" style="113" customWidth="1"/>
    <col min="5147" max="5147" width="1.54296875" style="113" customWidth="1"/>
    <col min="5148" max="5152" width="13.81640625" style="113" customWidth="1"/>
    <col min="5153" max="5376" width="11.453125" style="113"/>
    <col min="5377" max="5377" width="5.8164062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3" width="8.1796875" style="113" customWidth="1"/>
    <col min="5384" max="5384" width="2.453125" style="113" customWidth="1"/>
    <col min="5385" max="5389" width="15.54296875" style="113" customWidth="1"/>
    <col min="5390" max="5390" width="1.54296875" style="113" customWidth="1"/>
    <col min="5391" max="5395" width="15.54296875" style="113" customWidth="1"/>
    <col min="5396" max="5396" width="4.81640625" style="113" customWidth="1"/>
    <col min="5397" max="5397" width="5.1796875" style="113" customWidth="1"/>
    <col min="5398" max="5402" width="13.81640625" style="113" customWidth="1"/>
    <col min="5403" max="5403" width="1.54296875" style="113" customWidth="1"/>
    <col min="5404" max="5408" width="13.81640625" style="113" customWidth="1"/>
    <col min="5409" max="5632" width="11.453125" style="113"/>
    <col min="5633" max="5633" width="5.8164062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9" width="8.1796875" style="113" customWidth="1"/>
    <col min="5640" max="5640" width="2.453125" style="113" customWidth="1"/>
    <col min="5641" max="5645" width="15.54296875" style="113" customWidth="1"/>
    <col min="5646" max="5646" width="1.54296875" style="113" customWidth="1"/>
    <col min="5647" max="5651" width="15.54296875" style="113" customWidth="1"/>
    <col min="5652" max="5652" width="4.81640625" style="113" customWidth="1"/>
    <col min="5653" max="5653" width="5.1796875" style="113" customWidth="1"/>
    <col min="5654" max="5658" width="13.81640625" style="113" customWidth="1"/>
    <col min="5659" max="5659" width="1.54296875" style="113" customWidth="1"/>
    <col min="5660" max="5664" width="13.81640625" style="113" customWidth="1"/>
    <col min="5665" max="5888" width="11.453125" style="113"/>
    <col min="5889" max="5889" width="5.8164062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5" width="8.1796875" style="113" customWidth="1"/>
    <col min="5896" max="5896" width="2.453125" style="113" customWidth="1"/>
    <col min="5897" max="5901" width="15.54296875" style="113" customWidth="1"/>
    <col min="5902" max="5902" width="1.54296875" style="113" customWidth="1"/>
    <col min="5903" max="5907" width="15.54296875" style="113" customWidth="1"/>
    <col min="5908" max="5908" width="4.81640625" style="113" customWidth="1"/>
    <col min="5909" max="5909" width="5.1796875" style="113" customWidth="1"/>
    <col min="5910" max="5914" width="13.81640625" style="113" customWidth="1"/>
    <col min="5915" max="5915" width="1.54296875" style="113" customWidth="1"/>
    <col min="5916" max="5920" width="13.81640625" style="113" customWidth="1"/>
    <col min="5921" max="6144" width="11.453125" style="113"/>
    <col min="6145" max="6145" width="5.8164062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1" width="8.1796875" style="113" customWidth="1"/>
    <col min="6152" max="6152" width="2.453125" style="113" customWidth="1"/>
    <col min="6153" max="6157" width="15.54296875" style="113" customWidth="1"/>
    <col min="6158" max="6158" width="1.54296875" style="113" customWidth="1"/>
    <col min="6159" max="6163" width="15.54296875" style="113" customWidth="1"/>
    <col min="6164" max="6164" width="4.81640625" style="113" customWidth="1"/>
    <col min="6165" max="6165" width="5.1796875" style="113" customWidth="1"/>
    <col min="6166" max="6170" width="13.81640625" style="113" customWidth="1"/>
    <col min="6171" max="6171" width="1.54296875" style="113" customWidth="1"/>
    <col min="6172" max="6176" width="13.81640625" style="113" customWidth="1"/>
    <col min="6177" max="6400" width="11.453125" style="113"/>
    <col min="6401" max="6401" width="5.8164062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7" width="8.1796875" style="113" customWidth="1"/>
    <col min="6408" max="6408" width="2.453125" style="113" customWidth="1"/>
    <col min="6409" max="6413" width="15.54296875" style="113" customWidth="1"/>
    <col min="6414" max="6414" width="1.54296875" style="113" customWidth="1"/>
    <col min="6415" max="6419" width="15.54296875" style="113" customWidth="1"/>
    <col min="6420" max="6420" width="4.81640625" style="113" customWidth="1"/>
    <col min="6421" max="6421" width="5.1796875" style="113" customWidth="1"/>
    <col min="6422" max="6426" width="13.81640625" style="113" customWidth="1"/>
    <col min="6427" max="6427" width="1.54296875" style="113" customWidth="1"/>
    <col min="6428" max="6432" width="13.81640625" style="113" customWidth="1"/>
    <col min="6433" max="6656" width="11.453125" style="113"/>
    <col min="6657" max="6657" width="5.8164062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3" width="8.1796875" style="113" customWidth="1"/>
    <col min="6664" max="6664" width="2.453125" style="113" customWidth="1"/>
    <col min="6665" max="6669" width="15.54296875" style="113" customWidth="1"/>
    <col min="6670" max="6670" width="1.54296875" style="113" customWidth="1"/>
    <col min="6671" max="6675" width="15.54296875" style="113" customWidth="1"/>
    <col min="6676" max="6676" width="4.81640625" style="113" customWidth="1"/>
    <col min="6677" max="6677" width="5.1796875" style="113" customWidth="1"/>
    <col min="6678" max="6682" width="13.81640625" style="113" customWidth="1"/>
    <col min="6683" max="6683" width="1.54296875" style="113" customWidth="1"/>
    <col min="6684" max="6688" width="13.81640625" style="113" customWidth="1"/>
    <col min="6689" max="6912" width="11.453125" style="113"/>
    <col min="6913" max="6913" width="5.8164062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9" width="8.1796875" style="113" customWidth="1"/>
    <col min="6920" max="6920" width="2.453125" style="113" customWidth="1"/>
    <col min="6921" max="6925" width="15.54296875" style="113" customWidth="1"/>
    <col min="6926" max="6926" width="1.54296875" style="113" customWidth="1"/>
    <col min="6927" max="6931" width="15.54296875" style="113" customWidth="1"/>
    <col min="6932" max="6932" width="4.81640625" style="113" customWidth="1"/>
    <col min="6933" max="6933" width="5.1796875" style="113" customWidth="1"/>
    <col min="6934" max="6938" width="13.81640625" style="113" customWidth="1"/>
    <col min="6939" max="6939" width="1.54296875" style="113" customWidth="1"/>
    <col min="6940" max="6944" width="13.81640625" style="113" customWidth="1"/>
    <col min="6945" max="7168" width="11.453125" style="113"/>
    <col min="7169" max="7169" width="5.8164062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5" width="8.1796875" style="113" customWidth="1"/>
    <col min="7176" max="7176" width="2.453125" style="113" customWidth="1"/>
    <col min="7177" max="7181" width="15.54296875" style="113" customWidth="1"/>
    <col min="7182" max="7182" width="1.54296875" style="113" customWidth="1"/>
    <col min="7183" max="7187" width="15.54296875" style="113" customWidth="1"/>
    <col min="7188" max="7188" width="4.81640625" style="113" customWidth="1"/>
    <col min="7189" max="7189" width="5.1796875" style="113" customWidth="1"/>
    <col min="7190" max="7194" width="13.81640625" style="113" customWidth="1"/>
    <col min="7195" max="7195" width="1.54296875" style="113" customWidth="1"/>
    <col min="7196" max="7200" width="13.81640625" style="113" customWidth="1"/>
    <col min="7201" max="7424" width="11.453125" style="113"/>
    <col min="7425" max="7425" width="5.8164062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1" width="8.1796875" style="113" customWidth="1"/>
    <col min="7432" max="7432" width="2.453125" style="113" customWidth="1"/>
    <col min="7433" max="7437" width="15.54296875" style="113" customWidth="1"/>
    <col min="7438" max="7438" width="1.54296875" style="113" customWidth="1"/>
    <col min="7439" max="7443" width="15.54296875" style="113" customWidth="1"/>
    <col min="7444" max="7444" width="4.81640625" style="113" customWidth="1"/>
    <col min="7445" max="7445" width="5.1796875" style="113" customWidth="1"/>
    <col min="7446" max="7450" width="13.81640625" style="113" customWidth="1"/>
    <col min="7451" max="7451" width="1.54296875" style="113" customWidth="1"/>
    <col min="7452" max="7456" width="13.81640625" style="113" customWidth="1"/>
    <col min="7457" max="7680" width="11.453125" style="113"/>
    <col min="7681" max="7681" width="5.8164062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7" width="8.1796875" style="113" customWidth="1"/>
    <col min="7688" max="7688" width="2.453125" style="113" customWidth="1"/>
    <col min="7689" max="7693" width="15.54296875" style="113" customWidth="1"/>
    <col min="7694" max="7694" width="1.54296875" style="113" customWidth="1"/>
    <col min="7695" max="7699" width="15.54296875" style="113" customWidth="1"/>
    <col min="7700" max="7700" width="4.81640625" style="113" customWidth="1"/>
    <col min="7701" max="7701" width="5.1796875" style="113" customWidth="1"/>
    <col min="7702" max="7706" width="13.81640625" style="113" customWidth="1"/>
    <col min="7707" max="7707" width="1.54296875" style="113" customWidth="1"/>
    <col min="7708" max="7712" width="13.81640625" style="113" customWidth="1"/>
    <col min="7713" max="7936" width="11.453125" style="113"/>
    <col min="7937" max="7937" width="5.8164062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3" width="8.1796875" style="113" customWidth="1"/>
    <col min="7944" max="7944" width="2.453125" style="113" customWidth="1"/>
    <col min="7945" max="7949" width="15.54296875" style="113" customWidth="1"/>
    <col min="7950" max="7950" width="1.54296875" style="113" customWidth="1"/>
    <col min="7951" max="7955" width="15.54296875" style="113" customWidth="1"/>
    <col min="7956" max="7956" width="4.81640625" style="113" customWidth="1"/>
    <col min="7957" max="7957" width="5.1796875" style="113" customWidth="1"/>
    <col min="7958" max="7962" width="13.81640625" style="113" customWidth="1"/>
    <col min="7963" max="7963" width="1.54296875" style="113" customWidth="1"/>
    <col min="7964" max="7968" width="13.81640625" style="113" customWidth="1"/>
    <col min="7969" max="8192" width="11.453125" style="113"/>
    <col min="8193" max="8193" width="5.8164062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9" width="8.1796875" style="113" customWidth="1"/>
    <col min="8200" max="8200" width="2.453125" style="113" customWidth="1"/>
    <col min="8201" max="8205" width="15.54296875" style="113" customWidth="1"/>
    <col min="8206" max="8206" width="1.54296875" style="113" customWidth="1"/>
    <col min="8207" max="8211" width="15.54296875" style="113" customWidth="1"/>
    <col min="8212" max="8212" width="4.81640625" style="113" customWidth="1"/>
    <col min="8213" max="8213" width="5.1796875" style="113" customWidth="1"/>
    <col min="8214" max="8218" width="13.81640625" style="113" customWidth="1"/>
    <col min="8219" max="8219" width="1.54296875" style="113" customWidth="1"/>
    <col min="8220" max="8224" width="13.81640625" style="113" customWidth="1"/>
    <col min="8225" max="8448" width="11.453125" style="113"/>
    <col min="8449" max="8449" width="5.8164062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5" width="8.1796875" style="113" customWidth="1"/>
    <col min="8456" max="8456" width="2.453125" style="113" customWidth="1"/>
    <col min="8457" max="8461" width="15.54296875" style="113" customWidth="1"/>
    <col min="8462" max="8462" width="1.54296875" style="113" customWidth="1"/>
    <col min="8463" max="8467" width="15.54296875" style="113" customWidth="1"/>
    <col min="8468" max="8468" width="4.81640625" style="113" customWidth="1"/>
    <col min="8469" max="8469" width="5.1796875" style="113" customWidth="1"/>
    <col min="8470" max="8474" width="13.81640625" style="113" customWidth="1"/>
    <col min="8475" max="8475" width="1.54296875" style="113" customWidth="1"/>
    <col min="8476" max="8480" width="13.81640625" style="113" customWidth="1"/>
    <col min="8481" max="8704" width="11.453125" style="113"/>
    <col min="8705" max="8705" width="5.8164062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1" width="8.1796875" style="113" customWidth="1"/>
    <col min="8712" max="8712" width="2.453125" style="113" customWidth="1"/>
    <col min="8713" max="8717" width="15.54296875" style="113" customWidth="1"/>
    <col min="8718" max="8718" width="1.54296875" style="113" customWidth="1"/>
    <col min="8719" max="8723" width="15.54296875" style="113" customWidth="1"/>
    <col min="8724" max="8724" width="4.81640625" style="113" customWidth="1"/>
    <col min="8725" max="8725" width="5.1796875" style="113" customWidth="1"/>
    <col min="8726" max="8730" width="13.81640625" style="113" customWidth="1"/>
    <col min="8731" max="8731" width="1.54296875" style="113" customWidth="1"/>
    <col min="8732" max="8736" width="13.81640625" style="113" customWidth="1"/>
    <col min="8737" max="8960" width="11.453125" style="113"/>
    <col min="8961" max="8961" width="5.8164062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7" width="8.1796875" style="113" customWidth="1"/>
    <col min="8968" max="8968" width="2.453125" style="113" customWidth="1"/>
    <col min="8969" max="8973" width="15.54296875" style="113" customWidth="1"/>
    <col min="8974" max="8974" width="1.54296875" style="113" customWidth="1"/>
    <col min="8975" max="8979" width="15.54296875" style="113" customWidth="1"/>
    <col min="8980" max="8980" width="4.81640625" style="113" customWidth="1"/>
    <col min="8981" max="8981" width="5.1796875" style="113" customWidth="1"/>
    <col min="8982" max="8986" width="13.81640625" style="113" customWidth="1"/>
    <col min="8987" max="8987" width="1.54296875" style="113" customWidth="1"/>
    <col min="8988" max="8992" width="13.81640625" style="113" customWidth="1"/>
    <col min="8993" max="9216" width="11.453125" style="113"/>
    <col min="9217" max="9217" width="5.8164062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3" width="8.1796875" style="113" customWidth="1"/>
    <col min="9224" max="9224" width="2.453125" style="113" customWidth="1"/>
    <col min="9225" max="9229" width="15.54296875" style="113" customWidth="1"/>
    <col min="9230" max="9230" width="1.54296875" style="113" customWidth="1"/>
    <col min="9231" max="9235" width="15.54296875" style="113" customWidth="1"/>
    <col min="9236" max="9236" width="4.81640625" style="113" customWidth="1"/>
    <col min="9237" max="9237" width="5.1796875" style="113" customWidth="1"/>
    <col min="9238" max="9242" width="13.81640625" style="113" customWidth="1"/>
    <col min="9243" max="9243" width="1.54296875" style="113" customWidth="1"/>
    <col min="9244" max="9248" width="13.81640625" style="113" customWidth="1"/>
    <col min="9249" max="9472" width="11.453125" style="113"/>
    <col min="9473" max="9473" width="5.8164062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9" width="8.1796875" style="113" customWidth="1"/>
    <col min="9480" max="9480" width="2.453125" style="113" customWidth="1"/>
    <col min="9481" max="9485" width="15.54296875" style="113" customWidth="1"/>
    <col min="9486" max="9486" width="1.54296875" style="113" customWidth="1"/>
    <col min="9487" max="9491" width="15.54296875" style="113" customWidth="1"/>
    <col min="9492" max="9492" width="4.81640625" style="113" customWidth="1"/>
    <col min="9493" max="9493" width="5.1796875" style="113" customWidth="1"/>
    <col min="9494" max="9498" width="13.81640625" style="113" customWidth="1"/>
    <col min="9499" max="9499" width="1.54296875" style="113" customWidth="1"/>
    <col min="9500" max="9504" width="13.81640625" style="113" customWidth="1"/>
    <col min="9505" max="9728" width="11.453125" style="113"/>
    <col min="9729" max="9729" width="5.8164062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5" width="8.1796875" style="113" customWidth="1"/>
    <col min="9736" max="9736" width="2.453125" style="113" customWidth="1"/>
    <col min="9737" max="9741" width="15.54296875" style="113" customWidth="1"/>
    <col min="9742" max="9742" width="1.54296875" style="113" customWidth="1"/>
    <col min="9743" max="9747" width="15.54296875" style="113" customWidth="1"/>
    <col min="9748" max="9748" width="4.81640625" style="113" customWidth="1"/>
    <col min="9749" max="9749" width="5.1796875" style="113" customWidth="1"/>
    <col min="9750" max="9754" width="13.81640625" style="113" customWidth="1"/>
    <col min="9755" max="9755" width="1.54296875" style="113" customWidth="1"/>
    <col min="9756" max="9760" width="13.81640625" style="113" customWidth="1"/>
    <col min="9761" max="9984" width="11.453125" style="113"/>
    <col min="9985" max="9985" width="5.8164062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1" width="8.1796875" style="113" customWidth="1"/>
    <col min="9992" max="9992" width="2.453125" style="113" customWidth="1"/>
    <col min="9993" max="9997" width="15.54296875" style="113" customWidth="1"/>
    <col min="9998" max="9998" width="1.54296875" style="113" customWidth="1"/>
    <col min="9999" max="10003" width="15.54296875" style="113" customWidth="1"/>
    <col min="10004" max="10004" width="4.81640625" style="113" customWidth="1"/>
    <col min="10005" max="10005" width="5.1796875" style="113" customWidth="1"/>
    <col min="10006" max="10010" width="13.81640625" style="113" customWidth="1"/>
    <col min="10011" max="10011" width="1.54296875" style="113" customWidth="1"/>
    <col min="10012" max="10016" width="13.81640625" style="113" customWidth="1"/>
    <col min="10017" max="10240" width="11.453125" style="113"/>
    <col min="10241" max="10241" width="5.8164062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7" width="8.1796875" style="113" customWidth="1"/>
    <col min="10248" max="10248" width="2.453125" style="113" customWidth="1"/>
    <col min="10249" max="10253" width="15.54296875" style="113" customWidth="1"/>
    <col min="10254" max="10254" width="1.54296875" style="113" customWidth="1"/>
    <col min="10255" max="10259" width="15.54296875" style="113" customWidth="1"/>
    <col min="10260" max="10260" width="4.81640625" style="113" customWidth="1"/>
    <col min="10261" max="10261" width="5.1796875" style="113" customWidth="1"/>
    <col min="10262" max="10266" width="13.81640625" style="113" customWidth="1"/>
    <col min="10267" max="10267" width="1.54296875" style="113" customWidth="1"/>
    <col min="10268" max="10272" width="13.81640625" style="113" customWidth="1"/>
    <col min="10273" max="10496" width="11.453125" style="113"/>
    <col min="10497" max="10497" width="5.8164062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3" width="8.1796875" style="113" customWidth="1"/>
    <col min="10504" max="10504" width="2.453125" style="113" customWidth="1"/>
    <col min="10505" max="10509" width="15.54296875" style="113" customWidth="1"/>
    <col min="10510" max="10510" width="1.54296875" style="113" customWidth="1"/>
    <col min="10511" max="10515" width="15.54296875" style="113" customWidth="1"/>
    <col min="10516" max="10516" width="4.81640625" style="113" customWidth="1"/>
    <col min="10517" max="10517" width="5.1796875" style="113" customWidth="1"/>
    <col min="10518" max="10522" width="13.81640625" style="113" customWidth="1"/>
    <col min="10523" max="10523" width="1.54296875" style="113" customWidth="1"/>
    <col min="10524" max="10528" width="13.81640625" style="113" customWidth="1"/>
    <col min="10529" max="10752" width="11.453125" style="113"/>
    <col min="10753" max="10753" width="5.8164062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9" width="8.1796875" style="113" customWidth="1"/>
    <col min="10760" max="10760" width="2.453125" style="113" customWidth="1"/>
    <col min="10761" max="10765" width="15.54296875" style="113" customWidth="1"/>
    <col min="10766" max="10766" width="1.54296875" style="113" customWidth="1"/>
    <col min="10767" max="10771" width="15.54296875" style="113" customWidth="1"/>
    <col min="10772" max="10772" width="4.81640625" style="113" customWidth="1"/>
    <col min="10773" max="10773" width="5.1796875" style="113" customWidth="1"/>
    <col min="10774" max="10778" width="13.81640625" style="113" customWidth="1"/>
    <col min="10779" max="10779" width="1.54296875" style="113" customWidth="1"/>
    <col min="10780" max="10784" width="13.81640625" style="113" customWidth="1"/>
    <col min="10785" max="11008" width="11.453125" style="113"/>
    <col min="11009" max="11009" width="5.8164062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5" width="8.1796875" style="113" customWidth="1"/>
    <col min="11016" max="11016" width="2.453125" style="113" customWidth="1"/>
    <col min="11017" max="11021" width="15.54296875" style="113" customWidth="1"/>
    <col min="11022" max="11022" width="1.54296875" style="113" customWidth="1"/>
    <col min="11023" max="11027" width="15.54296875" style="113" customWidth="1"/>
    <col min="11028" max="11028" width="4.81640625" style="113" customWidth="1"/>
    <col min="11029" max="11029" width="5.1796875" style="113" customWidth="1"/>
    <col min="11030" max="11034" width="13.81640625" style="113" customWidth="1"/>
    <col min="11035" max="11035" width="1.54296875" style="113" customWidth="1"/>
    <col min="11036" max="11040" width="13.81640625" style="113" customWidth="1"/>
    <col min="11041" max="11264" width="11.453125" style="113"/>
    <col min="11265" max="11265" width="5.8164062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1" width="8.1796875" style="113" customWidth="1"/>
    <col min="11272" max="11272" width="2.453125" style="113" customWidth="1"/>
    <col min="11273" max="11277" width="15.54296875" style="113" customWidth="1"/>
    <col min="11278" max="11278" width="1.54296875" style="113" customWidth="1"/>
    <col min="11279" max="11283" width="15.54296875" style="113" customWidth="1"/>
    <col min="11284" max="11284" width="4.81640625" style="113" customWidth="1"/>
    <col min="11285" max="11285" width="5.1796875" style="113" customWidth="1"/>
    <col min="11286" max="11290" width="13.81640625" style="113" customWidth="1"/>
    <col min="11291" max="11291" width="1.54296875" style="113" customWidth="1"/>
    <col min="11292" max="11296" width="13.81640625" style="113" customWidth="1"/>
    <col min="11297" max="11520" width="11.453125" style="113"/>
    <col min="11521" max="11521" width="5.8164062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7" width="8.1796875" style="113" customWidth="1"/>
    <col min="11528" max="11528" width="2.453125" style="113" customWidth="1"/>
    <col min="11529" max="11533" width="15.54296875" style="113" customWidth="1"/>
    <col min="11534" max="11534" width="1.54296875" style="113" customWidth="1"/>
    <col min="11535" max="11539" width="15.54296875" style="113" customWidth="1"/>
    <col min="11540" max="11540" width="4.81640625" style="113" customWidth="1"/>
    <col min="11541" max="11541" width="5.1796875" style="113" customWidth="1"/>
    <col min="11542" max="11546" width="13.81640625" style="113" customWidth="1"/>
    <col min="11547" max="11547" width="1.54296875" style="113" customWidth="1"/>
    <col min="11548" max="11552" width="13.81640625" style="113" customWidth="1"/>
    <col min="11553" max="11776" width="11.453125" style="113"/>
    <col min="11777" max="11777" width="5.8164062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3" width="8.1796875" style="113" customWidth="1"/>
    <col min="11784" max="11784" width="2.453125" style="113" customWidth="1"/>
    <col min="11785" max="11789" width="15.54296875" style="113" customWidth="1"/>
    <col min="11790" max="11790" width="1.54296875" style="113" customWidth="1"/>
    <col min="11791" max="11795" width="15.54296875" style="113" customWidth="1"/>
    <col min="11796" max="11796" width="4.81640625" style="113" customWidth="1"/>
    <col min="11797" max="11797" width="5.1796875" style="113" customWidth="1"/>
    <col min="11798" max="11802" width="13.81640625" style="113" customWidth="1"/>
    <col min="11803" max="11803" width="1.54296875" style="113" customWidth="1"/>
    <col min="11804" max="11808" width="13.81640625" style="113" customWidth="1"/>
    <col min="11809" max="12032" width="11.453125" style="113"/>
    <col min="12033" max="12033" width="5.8164062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9" width="8.1796875" style="113" customWidth="1"/>
    <col min="12040" max="12040" width="2.453125" style="113" customWidth="1"/>
    <col min="12041" max="12045" width="15.54296875" style="113" customWidth="1"/>
    <col min="12046" max="12046" width="1.54296875" style="113" customWidth="1"/>
    <col min="12047" max="12051" width="15.54296875" style="113" customWidth="1"/>
    <col min="12052" max="12052" width="4.81640625" style="113" customWidth="1"/>
    <col min="12053" max="12053" width="5.1796875" style="113" customWidth="1"/>
    <col min="12054" max="12058" width="13.81640625" style="113" customWidth="1"/>
    <col min="12059" max="12059" width="1.54296875" style="113" customWidth="1"/>
    <col min="12060" max="12064" width="13.81640625" style="113" customWidth="1"/>
    <col min="12065" max="12288" width="11.453125" style="113"/>
    <col min="12289" max="12289" width="5.8164062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5" width="8.1796875" style="113" customWidth="1"/>
    <col min="12296" max="12296" width="2.453125" style="113" customWidth="1"/>
    <col min="12297" max="12301" width="15.54296875" style="113" customWidth="1"/>
    <col min="12302" max="12302" width="1.54296875" style="113" customWidth="1"/>
    <col min="12303" max="12307" width="15.54296875" style="113" customWidth="1"/>
    <col min="12308" max="12308" width="4.81640625" style="113" customWidth="1"/>
    <col min="12309" max="12309" width="5.1796875" style="113" customWidth="1"/>
    <col min="12310" max="12314" width="13.81640625" style="113" customWidth="1"/>
    <col min="12315" max="12315" width="1.54296875" style="113" customWidth="1"/>
    <col min="12316" max="12320" width="13.81640625" style="113" customWidth="1"/>
    <col min="12321" max="12544" width="11.453125" style="113"/>
    <col min="12545" max="12545" width="5.8164062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1" width="8.1796875" style="113" customWidth="1"/>
    <col min="12552" max="12552" width="2.453125" style="113" customWidth="1"/>
    <col min="12553" max="12557" width="15.54296875" style="113" customWidth="1"/>
    <col min="12558" max="12558" width="1.54296875" style="113" customWidth="1"/>
    <col min="12559" max="12563" width="15.54296875" style="113" customWidth="1"/>
    <col min="12564" max="12564" width="4.81640625" style="113" customWidth="1"/>
    <col min="12565" max="12565" width="5.1796875" style="113" customWidth="1"/>
    <col min="12566" max="12570" width="13.81640625" style="113" customWidth="1"/>
    <col min="12571" max="12571" width="1.54296875" style="113" customWidth="1"/>
    <col min="12572" max="12576" width="13.81640625" style="113" customWidth="1"/>
    <col min="12577" max="12800" width="11.453125" style="113"/>
    <col min="12801" max="12801" width="5.8164062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7" width="8.1796875" style="113" customWidth="1"/>
    <col min="12808" max="12808" width="2.453125" style="113" customWidth="1"/>
    <col min="12809" max="12813" width="15.54296875" style="113" customWidth="1"/>
    <col min="12814" max="12814" width="1.54296875" style="113" customWidth="1"/>
    <col min="12815" max="12819" width="15.54296875" style="113" customWidth="1"/>
    <col min="12820" max="12820" width="4.81640625" style="113" customWidth="1"/>
    <col min="12821" max="12821" width="5.1796875" style="113" customWidth="1"/>
    <col min="12822" max="12826" width="13.81640625" style="113" customWidth="1"/>
    <col min="12827" max="12827" width="1.54296875" style="113" customWidth="1"/>
    <col min="12828" max="12832" width="13.81640625" style="113" customWidth="1"/>
    <col min="12833" max="13056" width="11.453125" style="113"/>
    <col min="13057" max="13057" width="5.8164062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3" width="8.1796875" style="113" customWidth="1"/>
    <col min="13064" max="13064" width="2.453125" style="113" customWidth="1"/>
    <col min="13065" max="13069" width="15.54296875" style="113" customWidth="1"/>
    <col min="13070" max="13070" width="1.54296875" style="113" customWidth="1"/>
    <col min="13071" max="13075" width="15.54296875" style="113" customWidth="1"/>
    <col min="13076" max="13076" width="4.81640625" style="113" customWidth="1"/>
    <col min="13077" max="13077" width="5.1796875" style="113" customWidth="1"/>
    <col min="13078" max="13082" width="13.81640625" style="113" customWidth="1"/>
    <col min="13083" max="13083" width="1.54296875" style="113" customWidth="1"/>
    <col min="13084" max="13088" width="13.81640625" style="113" customWidth="1"/>
    <col min="13089" max="13312" width="11.453125" style="113"/>
    <col min="13313" max="13313" width="5.8164062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9" width="8.1796875" style="113" customWidth="1"/>
    <col min="13320" max="13320" width="2.453125" style="113" customWidth="1"/>
    <col min="13321" max="13325" width="15.54296875" style="113" customWidth="1"/>
    <col min="13326" max="13326" width="1.54296875" style="113" customWidth="1"/>
    <col min="13327" max="13331" width="15.54296875" style="113" customWidth="1"/>
    <col min="13332" max="13332" width="4.81640625" style="113" customWidth="1"/>
    <col min="13333" max="13333" width="5.1796875" style="113" customWidth="1"/>
    <col min="13334" max="13338" width="13.81640625" style="113" customWidth="1"/>
    <col min="13339" max="13339" width="1.54296875" style="113" customWidth="1"/>
    <col min="13340" max="13344" width="13.81640625" style="113" customWidth="1"/>
    <col min="13345" max="13568" width="11.453125" style="113"/>
    <col min="13569" max="13569" width="5.8164062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5" width="8.1796875" style="113" customWidth="1"/>
    <col min="13576" max="13576" width="2.453125" style="113" customWidth="1"/>
    <col min="13577" max="13581" width="15.54296875" style="113" customWidth="1"/>
    <col min="13582" max="13582" width="1.54296875" style="113" customWidth="1"/>
    <col min="13583" max="13587" width="15.54296875" style="113" customWidth="1"/>
    <col min="13588" max="13588" width="4.81640625" style="113" customWidth="1"/>
    <col min="13589" max="13589" width="5.1796875" style="113" customWidth="1"/>
    <col min="13590" max="13594" width="13.81640625" style="113" customWidth="1"/>
    <col min="13595" max="13595" width="1.54296875" style="113" customWidth="1"/>
    <col min="13596" max="13600" width="13.81640625" style="113" customWidth="1"/>
    <col min="13601" max="13824" width="11.453125" style="113"/>
    <col min="13825" max="13825" width="5.8164062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1" width="8.1796875" style="113" customWidth="1"/>
    <col min="13832" max="13832" width="2.453125" style="113" customWidth="1"/>
    <col min="13833" max="13837" width="15.54296875" style="113" customWidth="1"/>
    <col min="13838" max="13838" width="1.54296875" style="113" customWidth="1"/>
    <col min="13839" max="13843" width="15.54296875" style="113" customWidth="1"/>
    <col min="13844" max="13844" width="4.81640625" style="113" customWidth="1"/>
    <col min="13845" max="13845" width="5.1796875" style="113" customWidth="1"/>
    <col min="13846" max="13850" width="13.81640625" style="113" customWidth="1"/>
    <col min="13851" max="13851" width="1.54296875" style="113" customWidth="1"/>
    <col min="13852" max="13856" width="13.81640625" style="113" customWidth="1"/>
    <col min="13857" max="14080" width="11.453125" style="113"/>
    <col min="14081" max="14081" width="5.8164062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7" width="8.1796875" style="113" customWidth="1"/>
    <col min="14088" max="14088" width="2.453125" style="113" customWidth="1"/>
    <col min="14089" max="14093" width="15.54296875" style="113" customWidth="1"/>
    <col min="14094" max="14094" width="1.54296875" style="113" customWidth="1"/>
    <col min="14095" max="14099" width="15.54296875" style="113" customWidth="1"/>
    <col min="14100" max="14100" width="4.81640625" style="113" customWidth="1"/>
    <col min="14101" max="14101" width="5.1796875" style="113" customWidth="1"/>
    <col min="14102" max="14106" width="13.81640625" style="113" customWidth="1"/>
    <col min="14107" max="14107" width="1.54296875" style="113" customWidth="1"/>
    <col min="14108" max="14112" width="13.81640625" style="113" customWidth="1"/>
    <col min="14113" max="14336" width="11.453125" style="113"/>
    <col min="14337" max="14337" width="5.8164062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3" width="8.1796875" style="113" customWidth="1"/>
    <col min="14344" max="14344" width="2.453125" style="113" customWidth="1"/>
    <col min="14345" max="14349" width="15.54296875" style="113" customWidth="1"/>
    <col min="14350" max="14350" width="1.54296875" style="113" customWidth="1"/>
    <col min="14351" max="14355" width="15.54296875" style="113" customWidth="1"/>
    <col min="14356" max="14356" width="4.81640625" style="113" customWidth="1"/>
    <col min="14357" max="14357" width="5.1796875" style="113" customWidth="1"/>
    <col min="14358" max="14362" width="13.81640625" style="113" customWidth="1"/>
    <col min="14363" max="14363" width="1.54296875" style="113" customWidth="1"/>
    <col min="14364" max="14368" width="13.81640625" style="113" customWidth="1"/>
    <col min="14369" max="14592" width="11.453125" style="113"/>
    <col min="14593" max="14593" width="5.8164062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9" width="8.1796875" style="113" customWidth="1"/>
    <col min="14600" max="14600" width="2.453125" style="113" customWidth="1"/>
    <col min="14601" max="14605" width="15.54296875" style="113" customWidth="1"/>
    <col min="14606" max="14606" width="1.54296875" style="113" customWidth="1"/>
    <col min="14607" max="14611" width="15.54296875" style="113" customWidth="1"/>
    <col min="14612" max="14612" width="4.81640625" style="113" customWidth="1"/>
    <col min="14613" max="14613" width="5.1796875" style="113" customWidth="1"/>
    <col min="14614" max="14618" width="13.81640625" style="113" customWidth="1"/>
    <col min="14619" max="14619" width="1.54296875" style="113" customWidth="1"/>
    <col min="14620" max="14624" width="13.81640625" style="113" customWidth="1"/>
    <col min="14625" max="14848" width="11.453125" style="113"/>
    <col min="14849" max="14849" width="5.8164062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5" width="8.1796875" style="113" customWidth="1"/>
    <col min="14856" max="14856" width="2.453125" style="113" customWidth="1"/>
    <col min="14857" max="14861" width="15.54296875" style="113" customWidth="1"/>
    <col min="14862" max="14862" width="1.54296875" style="113" customWidth="1"/>
    <col min="14863" max="14867" width="15.54296875" style="113" customWidth="1"/>
    <col min="14868" max="14868" width="4.81640625" style="113" customWidth="1"/>
    <col min="14869" max="14869" width="5.1796875" style="113" customWidth="1"/>
    <col min="14870" max="14874" width="13.81640625" style="113" customWidth="1"/>
    <col min="14875" max="14875" width="1.54296875" style="113" customWidth="1"/>
    <col min="14876" max="14880" width="13.81640625" style="113" customWidth="1"/>
    <col min="14881" max="15104" width="11.453125" style="113"/>
    <col min="15105" max="15105" width="5.8164062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1" width="8.1796875" style="113" customWidth="1"/>
    <col min="15112" max="15112" width="2.453125" style="113" customWidth="1"/>
    <col min="15113" max="15117" width="15.54296875" style="113" customWidth="1"/>
    <col min="15118" max="15118" width="1.54296875" style="113" customWidth="1"/>
    <col min="15119" max="15123" width="15.54296875" style="113" customWidth="1"/>
    <col min="15124" max="15124" width="4.81640625" style="113" customWidth="1"/>
    <col min="15125" max="15125" width="5.1796875" style="113" customWidth="1"/>
    <col min="15126" max="15130" width="13.81640625" style="113" customWidth="1"/>
    <col min="15131" max="15131" width="1.54296875" style="113" customWidth="1"/>
    <col min="15132" max="15136" width="13.81640625" style="113" customWidth="1"/>
    <col min="15137" max="15360" width="11.453125" style="113"/>
    <col min="15361" max="15361" width="5.8164062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7" width="8.1796875" style="113" customWidth="1"/>
    <col min="15368" max="15368" width="2.453125" style="113" customWidth="1"/>
    <col min="15369" max="15373" width="15.54296875" style="113" customWidth="1"/>
    <col min="15374" max="15374" width="1.54296875" style="113" customWidth="1"/>
    <col min="15375" max="15379" width="15.54296875" style="113" customWidth="1"/>
    <col min="15380" max="15380" width="4.81640625" style="113" customWidth="1"/>
    <col min="15381" max="15381" width="5.1796875" style="113" customWidth="1"/>
    <col min="15382" max="15386" width="13.81640625" style="113" customWidth="1"/>
    <col min="15387" max="15387" width="1.54296875" style="113" customWidth="1"/>
    <col min="15388" max="15392" width="13.81640625" style="113" customWidth="1"/>
    <col min="15393" max="15616" width="11.453125" style="113"/>
    <col min="15617" max="15617" width="5.8164062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3" width="8.1796875" style="113" customWidth="1"/>
    <col min="15624" max="15624" width="2.453125" style="113" customWidth="1"/>
    <col min="15625" max="15629" width="15.54296875" style="113" customWidth="1"/>
    <col min="15630" max="15630" width="1.54296875" style="113" customWidth="1"/>
    <col min="15631" max="15635" width="15.54296875" style="113" customWidth="1"/>
    <col min="15636" max="15636" width="4.81640625" style="113" customWidth="1"/>
    <col min="15637" max="15637" width="5.1796875" style="113" customWidth="1"/>
    <col min="15638" max="15642" width="13.81640625" style="113" customWidth="1"/>
    <col min="15643" max="15643" width="1.54296875" style="113" customWidth="1"/>
    <col min="15644" max="15648" width="13.81640625" style="113" customWidth="1"/>
    <col min="15649" max="15872" width="11.453125" style="113"/>
    <col min="15873" max="15873" width="5.8164062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9" width="8.1796875" style="113" customWidth="1"/>
    <col min="15880" max="15880" width="2.453125" style="113" customWidth="1"/>
    <col min="15881" max="15885" width="15.54296875" style="113" customWidth="1"/>
    <col min="15886" max="15886" width="1.54296875" style="113" customWidth="1"/>
    <col min="15887" max="15891" width="15.54296875" style="113" customWidth="1"/>
    <col min="15892" max="15892" width="4.81640625" style="113" customWidth="1"/>
    <col min="15893" max="15893" width="5.1796875" style="113" customWidth="1"/>
    <col min="15894" max="15898" width="13.81640625" style="113" customWidth="1"/>
    <col min="15899" max="15899" width="1.54296875" style="113" customWidth="1"/>
    <col min="15900" max="15904" width="13.81640625" style="113" customWidth="1"/>
    <col min="15905" max="16128" width="11.453125" style="113"/>
    <col min="16129" max="16129" width="5.8164062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5" width="8.1796875" style="113" customWidth="1"/>
    <col min="16136" max="16136" width="2.453125" style="113" customWidth="1"/>
    <col min="16137" max="16141" width="15.54296875" style="113" customWidth="1"/>
    <col min="16142" max="16142" width="1.54296875" style="113" customWidth="1"/>
    <col min="16143" max="16147" width="15.54296875" style="113" customWidth="1"/>
    <col min="16148" max="16148" width="4.81640625" style="113" customWidth="1"/>
    <col min="16149" max="16149" width="5.1796875" style="113" customWidth="1"/>
    <col min="16150" max="16154" width="13.81640625" style="113" customWidth="1"/>
    <col min="16155" max="16155" width="1.54296875" style="113" customWidth="1"/>
    <col min="16156" max="16160" width="13.81640625" style="113" customWidth="1"/>
    <col min="16161" max="16384" width="11.453125" style="113"/>
  </cols>
  <sheetData>
    <row r="1" spans="2:27" ht="13.5" customHeight="1" thickBot="1"/>
    <row r="2" spans="2:27" ht="23.25" customHeight="1">
      <c r="B2" s="456" t="s">
        <v>34</v>
      </c>
      <c r="C2" s="456"/>
      <c r="D2" s="456"/>
      <c r="E2" s="456"/>
      <c r="F2" s="456"/>
      <c r="G2" s="456"/>
      <c r="I2" s="678" t="s">
        <v>35</v>
      </c>
      <c r="J2" s="679"/>
      <c r="K2" s="679"/>
      <c r="L2" s="679"/>
      <c r="M2" s="669"/>
      <c r="N2" s="260"/>
      <c r="O2" s="678" t="s">
        <v>3</v>
      </c>
      <c r="P2" s="679"/>
      <c r="Q2" s="679"/>
      <c r="R2" s="679"/>
      <c r="S2" s="669"/>
      <c r="AA2" s="260"/>
    </row>
    <row r="3" spans="2:27" s="156" customFormat="1" ht="3.75" customHeight="1"/>
    <row r="4" spans="2:27" s="244" customFormat="1" ht="30" customHeight="1" thickBot="1">
      <c r="B4" s="121">
        <f>'PVP VaP - Pyme'!B4</f>
        <v>45658</v>
      </c>
      <c r="C4" s="119" t="s">
        <v>629</v>
      </c>
      <c r="D4" s="449"/>
      <c r="E4" s="449"/>
      <c r="F4" s="449"/>
      <c r="G4" s="449"/>
      <c r="H4" s="243"/>
      <c r="I4" s="304" t="s">
        <v>108</v>
      </c>
      <c r="J4" s="304" t="s">
        <v>109</v>
      </c>
      <c r="K4" s="304" t="s">
        <v>110</v>
      </c>
      <c r="L4" s="149" t="s">
        <v>111</v>
      </c>
      <c r="M4" s="149" t="s">
        <v>146</v>
      </c>
      <c r="N4" s="243"/>
      <c r="O4" s="304" t="s">
        <v>108</v>
      </c>
      <c r="P4" s="304" t="s">
        <v>109</v>
      </c>
      <c r="Q4" s="304" t="s">
        <v>110</v>
      </c>
      <c r="R4" s="149" t="s">
        <v>111</v>
      </c>
      <c r="S4" s="149" t="s">
        <v>146</v>
      </c>
      <c r="AA4" s="243"/>
    </row>
    <row r="5" spans="2:27" ht="17.25" customHeight="1">
      <c r="B5" s="781" t="s">
        <v>40</v>
      </c>
      <c r="C5" s="794"/>
      <c r="D5" s="799" t="s">
        <v>41</v>
      </c>
      <c r="E5" s="800"/>
      <c r="F5" s="800"/>
      <c r="G5" s="794"/>
      <c r="H5" s="245"/>
      <c r="I5" s="811" t="s">
        <v>302</v>
      </c>
      <c r="J5" s="811" t="s">
        <v>303</v>
      </c>
      <c r="K5" s="811" t="s">
        <v>304</v>
      </c>
      <c r="L5" s="811" t="s">
        <v>305</v>
      </c>
      <c r="M5" s="811" t="s">
        <v>306</v>
      </c>
      <c r="N5" s="246"/>
      <c r="O5" s="811" t="s">
        <v>302</v>
      </c>
      <c r="P5" s="811" t="s">
        <v>303</v>
      </c>
      <c r="Q5" s="811" t="s">
        <v>304</v>
      </c>
      <c r="R5" s="811" t="s">
        <v>305</v>
      </c>
      <c r="S5" s="811" t="s">
        <v>306</v>
      </c>
      <c r="AA5" s="246"/>
    </row>
    <row r="6" spans="2:27" ht="17.25" customHeight="1">
      <c r="B6" s="795"/>
      <c r="C6" s="796"/>
      <c r="D6" s="795"/>
      <c r="E6" s="792"/>
      <c r="F6" s="792"/>
      <c r="G6" s="796"/>
      <c r="H6" s="246"/>
      <c r="I6" s="812"/>
      <c r="J6" s="812"/>
      <c r="K6" s="812"/>
      <c r="L6" s="812"/>
      <c r="M6" s="812"/>
      <c r="N6" s="246"/>
      <c r="O6" s="812"/>
      <c r="P6" s="812"/>
      <c r="Q6" s="812"/>
      <c r="R6" s="812"/>
      <c r="S6" s="812"/>
      <c r="AA6" s="246"/>
    </row>
    <row r="7" spans="2:27" ht="17.25" customHeight="1">
      <c r="B7" s="795"/>
      <c r="C7" s="796"/>
      <c r="D7" s="795"/>
      <c r="E7" s="792"/>
      <c r="F7" s="792"/>
      <c r="G7" s="796"/>
      <c r="H7" s="246"/>
      <c r="I7" s="812"/>
      <c r="J7" s="812"/>
      <c r="K7" s="812"/>
      <c r="L7" s="812"/>
      <c r="M7" s="812"/>
      <c r="N7" s="246"/>
      <c r="O7" s="812"/>
      <c r="P7" s="812"/>
      <c r="Q7" s="812"/>
      <c r="R7" s="812"/>
      <c r="S7" s="812"/>
      <c r="AA7" s="246"/>
    </row>
    <row r="8" spans="2:27" ht="17.25" customHeight="1">
      <c r="B8" s="795"/>
      <c r="C8" s="796"/>
      <c r="D8" s="795"/>
      <c r="E8" s="792"/>
      <c r="F8" s="792"/>
      <c r="G8" s="796"/>
      <c r="H8" s="246"/>
      <c r="I8" s="812"/>
      <c r="J8" s="812"/>
      <c r="K8" s="812"/>
      <c r="L8" s="812"/>
      <c r="M8" s="812"/>
      <c r="N8" s="246"/>
      <c r="O8" s="812"/>
      <c r="P8" s="812"/>
      <c r="Q8" s="812"/>
      <c r="R8" s="812"/>
      <c r="S8" s="812"/>
      <c r="AA8" s="246"/>
    </row>
    <row r="9" spans="2:27" ht="17.25" customHeight="1">
      <c r="B9" s="795"/>
      <c r="C9" s="796"/>
      <c r="D9" s="795"/>
      <c r="E9" s="792"/>
      <c r="F9" s="792"/>
      <c r="G9" s="796"/>
      <c r="H9" s="246"/>
      <c r="I9" s="812"/>
      <c r="J9" s="812"/>
      <c r="K9" s="812"/>
      <c r="L9" s="812"/>
      <c r="M9" s="812"/>
      <c r="N9" s="246"/>
      <c r="O9" s="812"/>
      <c r="P9" s="812"/>
      <c r="Q9" s="812"/>
      <c r="R9" s="812"/>
      <c r="S9" s="812"/>
      <c r="AA9" s="246"/>
    </row>
    <row r="10" spans="2:27" ht="17.25" customHeight="1">
      <c r="B10" s="795"/>
      <c r="C10" s="796"/>
      <c r="D10" s="795"/>
      <c r="E10" s="792"/>
      <c r="F10" s="792"/>
      <c r="G10" s="796"/>
      <c r="H10" s="246"/>
      <c r="I10" s="812"/>
      <c r="J10" s="812"/>
      <c r="K10" s="812"/>
      <c r="L10" s="812"/>
      <c r="M10" s="812"/>
      <c r="N10" s="246"/>
      <c r="O10" s="812"/>
      <c r="P10" s="812"/>
      <c r="Q10" s="812"/>
      <c r="R10" s="812"/>
      <c r="S10" s="812"/>
      <c r="AA10" s="246"/>
    </row>
    <row r="11" spans="2:27" ht="17.25" customHeight="1" thickBot="1">
      <c r="B11" s="795"/>
      <c r="C11" s="796"/>
      <c r="D11" s="797"/>
      <c r="E11" s="801"/>
      <c r="F11" s="801"/>
      <c r="G11" s="798"/>
      <c r="H11" s="246"/>
      <c r="I11" s="813"/>
      <c r="J11" s="813"/>
      <c r="K11" s="813"/>
      <c r="L11" s="813"/>
      <c r="M11" s="813"/>
      <c r="N11" s="246"/>
      <c r="O11" s="813"/>
      <c r="P11" s="813"/>
      <c r="Q11" s="813"/>
      <c r="R11" s="813"/>
      <c r="S11" s="813"/>
      <c r="AA11" s="246"/>
    </row>
    <row r="12" spans="2:27" ht="30.75" customHeight="1" thickBot="1">
      <c r="B12" s="795"/>
      <c r="C12" s="796"/>
      <c r="D12" s="802" t="s">
        <v>42</v>
      </c>
      <c r="E12" s="803"/>
      <c r="F12" s="803"/>
      <c r="G12" s="804"/>
      <c r="H12" s="247"/>
      <c r="I12" s="307" t="s">
        <v>43</v>
      </c>
      <c r="J12" s="248" t="s">
        <v>43</v>
      </c>
      <c r="K12" s="248" t="s">
        <v>43</v>
      </c>
      <c r="L12" s="276" t="s">
        <v>43</v>
      </c>
      <c r="M12" s="277" t="s">
        <v>43</v>
      </c>
      <c r="N12" s="246"/>
      <c r="O12" s="307" t="s">
        <v>43</v>
      </c>
      <c r="P12" s="248" t="s">
        <v>43</v>
      </c>
      <c r="Q12" s="248" t="s">
        <v>43</v>
      </c>
      <c r="R12" s="276" t="s">
        <v>43</v>
      </c>
      <c r="S12" s="277" t="s">
        <v>43</v>
      </c>
      <c r="AA12" s="246"/>
    </row>
    <row r="13" spans="2:27" ht="65.25" customHeight="1" thickBot="1">
      <c r="B13" s="795"/>
      <c r="C13" s="796"/>
      <c r="D13" s="754" t="s">
        <v>44</v>
      </c>
      <c r="E13" s="805"/>
      <c r="F13" s="805"/>
      <c r="G13" s="806"/>
      <c r="H13" s="247"/>
      <c r="I13" s="310" t="s">
        <v>100</v>
      </c>
      <c r="J13" s="249" t="s">
        <v>100</v>
      </c>
      <c r="K13" s="249" t="s">
        <v>100</v>
      </c>
      <c r="L13" s="278" t="s">
        <v>100</v>
      </c>
      <c r="M13" s="250" t="s">
        <v>100</v>
      </c>
      <c r="N13" s="246"/>
      <c r="O13" s="310" t="s">
        <v>45</v>
      </c>
      <c r="P13" s="249" t="s">
        <v>45</v>
      </c>
      <c r="Q13" s="249" t="s">
        <v>45</v>
      </c>
      <c r="R13" s="278" t="s">
        <v>45</v>
      </c>
      <c r="S13" s="250" t="s">
        <v>45</v>
      </c>
      <c r="AA13" s="246"/>
    </row>
    <row r="14" spans="2:27" ht="21" customHeight="1" thickBot="1">
      <c r="B14" s="795"/>
      <c r="C14" s="796"/>
      <c r="D14" s="754" t="s">
        <v>46</v>
      </c>
      <c r="E14" s="807"/>
      <c r="F14" s="807"/>
      <c r="G14" s="808"/>
      <c r="H14" s="251"/>
      <c r="I14" s="252" t="s">
        <v>47</v>
      </c>
      <c r="J14" s="253" t="s">
        <v>47</v>
      </c>
      <c r="K14" s="253" t="s">
        <v>47</v>
      </c>
      <c r="L14" s="279" t="s">
        <v>47</v>
      </c>
      <c r="M14" s="254" t="s">
        <v>47</v>
      </c>
      <c r="N14" s="291"/>
      <c r="O14" s="252" t="s">
        <v>47</v>
      </c>
      <c r="P14" s="253" t="s">
        <v>47</v>
      </c>
      <c r="Q14" s="253" t="s">
        <v>47</v>
      </c>
      <c r="R14" s="279" t="s">
        <v>47</v>
      </c>
      <c r="S14" s="254" t="s">
        <v>47</v>
      </c>
      <c r="AA14" s="246"/>
    </row>
    <row r="15" spans="2:27" ht="21" customHeight="1" thickBot="1">
      <c r="B15" s="795"/>
      <c r="C15" s="796"/>
      <c r="D15" s="754" t="s">
        <v>48</v>
      </c>
      <c r="E15" s="807"/>
      <c r="F15" s="807"/>
      <c r="G15" s="808"/>
      <c r="H15" s="251"/>
      <c r="I15" s="252" t="s">
        <v>47</v>
      </c>
      <c r="J15" s="253" t="s">
        <v>47</v>
      </c>
      <c r="K15" s="253" t="s">
        <v>47</v>
      </c>
      <c r="L15" s="279" t="s">
        <v>47</v>
      </c>
      <c r="M15" s="254" t="s">
        <v>47</v>
      </c>
      <c r="N15" s="291"/>
      <c r="O15" s="252" t="s">
        <v>47</v>
      </c>
      <c r="P15" s="253" t="s">
        <v>47</v>
      </c>
      <c r="Q15" s="253" t="s">
        <v>47</v>
      </c>
      <c r="R15" s="279" t="s">
        <v>47</v>
      </c>
      <c r="S15" s="254" t="s">
        <v>47</v>
      </c>
      <c r="AA15" s="246"/>
    </row>
    <row r="16" spans="2:27" ht="21" customHeight="1" thickBot="1">
      <c r="B16" s="797"/>
      <c r="C16" s="798"/>
      <c r="D16" s="713" t="s">
        <v>51</v>
      </c>
      <c r="E16" s="809"/>
      <c r="F16" s="809"/>
      <c r="G16" s="810"/>
      <c r="H16" s="251"/>
      <c r="I16" s="252" t="s">
        <v>47</v>
      </c>
      <c r="J16" s="253" t="s">
        <v>47</v>
      </c>
      <c r="K16" s="253" t="s">
        <v>47</v>
      </c>
      <c r="L16" s="279" t="s">
        <v>47</v>
      </c>
      <c r="M16" s="254" t="s">
        <v>47</v>
      </c>
      <c r="N16" s="291"/>
      <c r="O16" s="252" t="s">
        <v>47</v>
      </c>
      <c r="P16" s="253" t="s">
        <v>47</v>
      </c>
      <c r="Q16" s="253" t="s">
        <v>47</v>
      </c>
      <c r="R16" s="279" t="s">
        <v>47</v>
      </c>
      <c r="S16" s="254" t="s">
        <v>47</v>
      </c>
      <c r="AA16" s="113"/>
    </row>
    <row r="17" spans="1:44" ht="23.25" customHeight="1">
      <c r="I17" s="25" t="s">
        <v>103</v>
      </c>
      <c r="AA17" s="113"/>
    </row>
    <row r="18" spans="1:44" ht="23.25" customHeight="1" thickBot="1">
      <c r="I18" s="157"/>
      <c r="J18" s="158" t="s">
        <v>208</v>
      </c>
      <c r="K18" s="157"/>
      <c r="L18" s="157"/>
      <c r="M18" s="157"/>
      <c r="N18" s="157"/>
      <c r="O18" s="157"/>
      <c r="P18" s="158" t="s">
        <v>208</v>
      </c>
      <c r="Q18" s="157"/>
      <c r="R18" s="157"/>
      <c r="S18" s="157"/>
      <c r="V18" s="157"/>
      <c r="W18" s="158" t="s">
        <v>209</v>
      </c>
      <c r="X18" s="157"/>
      <c r="Y18" s="157"/>
      <c r="Z18" s="157"/>
      <c r="AA18" s="157"/>
      <c r="AB18" s="157"/>
      <c r="AC18" s="158" t="s">
        <v>209</v>
      </c>
      <c r="AD18" s="157"/>
      <c r="AE18" s="157"/>
      <c r="AF18" s="157"/>
    </row>
    <row r="19" spans="1:44" ht="23.25" customHeight="1">
      <c r="B19" s="788" t="s">
        <v>52</v>
      </c>
      <c r="C19" s="789"/>
      <c r="D19" s="789"/>
      <c r="E19" s="789"/>
      <c r="F19" s="789"/>
      <c r="G19" s="790"/>
      <c r="I19" s="634" t="s">
        <v>53</v>
      </c>
      <c r="J19" s="722"/>
      <c r="K19" s="722"/>
      <c r="L19" s="722"/>
      <c r="M19" s="723"/>
      <c r="N19" s="260"/>
      <c r="O19" s="634" t="s">
        <v>54</v>
      </c>
      <c r="P19" s="722"/>
      <c r="Q19" s="722"/>
      <c r="R19" s="722"/>
      <c r="S19" s="723"/>
      <c r="V19" s="634" t="s">
        <v>105</v>
      </c>
      <c r="W19" s="722"/>
      <c r="X19" s="722"/>
      <c r="Y19" s="722"/>
      <c r="Z19" s="723"/>
      <c r="AA19" s="260"/>
      <c r="AB19" s="634" t="s">
        <v>106</v>
      </c>
      <c r="AC19" s="722"/>
      <c r="AD19" s="722"/>
      <c r="AE19" s="722"/>
      <c r="AF19" s="723"/>
    </row>
    <row r="20" spans="1:44" ht="3.75" customHeight="1">
      <c r="B20" s="791"/>
      <c r="C20" s="792"/>
      <c r="D20" s="792"/>
      <c r="E20" s="792"/>
      <c r="F20" s="792"/>
      <c r="G20" s="793"/>
      <c r="I20" s="259"/>
      <c r="J20" s="259"/>
      <c r="K20" s="260"/>
      <c r="L20" s="260"/>
      <c r="M20" s="260"/>
      <c r="N20" s="260"/>
      <c r="O20" s="259"/>
      <c r="P20" s="259"/>
      <c r="Q20" s="260"/>
      <c r="R20" s="260"/>
      <c r="S20" s="260"/>
      <c r="V20" s="259"/>
      <c r="W20" s="259"/>
      <c r="X20" s="260"/>
      <c r="Y20" s="260"/>
      <c r="Z20" s="260"/>
      <c r="AA20" s="260"/>
      <c r="AB20" s="259"/>
      <c r="AC20" s="259"/>
      <c r="AD20" s="260"/>
      <c r="AE20" s="260"/>
      <c r="AF20" s="260"/>
    </row>
    <row r="21" spans="1:44" ht="33.75" customHeight="1">
      <c r="B21" s="791"/>
      <c r="C21" s="792"/>
      <c r="D21" s="792"/>
      <c r="E21" s="792"/>
      <c r="F21" s="792"/>
      <c r="G21" s="793"/>
      <c r="I21" s="641" t="s">
        <v>55</v>
      </c>
      <c r="J21" s="642"/>
      <c r="K21" s="642"/>
      <c r="L21" s="642"/>
      <c r="M21" s="643"/>
      <c r="N21" s="243"/>
      <c r="O21" s="641" t="s">
        <v>55</v>
      </c>
      <c r="P21" s="642"/>
      <c r="Q21" s="642"/>
      <c r="R21" s="642"/>
      <c r="S21" s="643"/>
      <c r="V21" s="641" t="s">
        <v>55</v>
      </c>
      <c r="W21" s="642"/>
      <c r="X21" s="642"/>
      <c r="Y21" s="642"/>
      <c r="Z21" s="643"/>
      <c r="AA21" s="243"/>
      <c r="AB21" s="641" t="s">
        <v>55</v>
      </c>
      <c r="AC21" s="642"/>
      <c r="AD21" s="642"/>
      <c r="AE21" s="642"/>
      <c r="AF21" s="643"/>
    </row>
    <row r="22" spans="1:44" s="150" customFormat="1" ht="3.75" customHeight="1">
      <c r="B22" s="791"/>
      <c r="C22" s="792"/>
      <c r="D22" s="792"/>
      <c r="E22" s="792"/>
      <c r="F22" s="792"/>
      <c r="G22" s="793"/>
      <c r="I22" s="261"/>
      <c r="J22" s="262"/>
      <c r="K22" s="262"/>
      <c r="L22" s="262"/>
      <c r="M22" s="271"/>
      <c r="N22" s="243"/>
      <c r="O22" s="261"/>
      <c r="P22" s="262"/>
      <c r="Q22" s="262"/>
      <c r="R22" s="262"/>
      <c r="S22" s="271"/>
      <c r="V22" s="261"/>
      <c r="W22" s="262"/>
      <c r="X22" s="262"/>
      <c r="Y22" s="262"/>
      <c r="Z22" s="271"/>
      <c r="AA22" s="243"/>
      <c r="AB22" s="261"/>
      <c r="AC22" s="262"/>
      <c r="AD22" s="262"/>
      <c r="AE22" s="262"/>
      <c r="AF22" s="271"/>
    </row>
    <row r="23" spans="1:44" ht="30" customHeight="1">
      <c r="B23" s="791"/>
      <c r="C23" s="792"/>
      <c r="D23" s="792"/>
      <c r="E23" s="792"/>
      <c r="F23" s="792"/>
      <c r="G23" s="793"/>
      <c r="H23" s="263"/>
      <c r="I23" s="304" t="s">
        <v>108</v>
      </c>
      <c r="J23" s="304" t="s">
        <v>109</v>
      </c>
      <c r="K23" s="304" t="s">
        <v>110</v>
      </c>
      <c r="L23" s="149" t="s">
        <v>111</v>
      </c>
      <c r="M23" s="149" t="s">
        <v>146</v>
      </c>
      <c r="N23" s="243"/>
      <c r="O23" s="304" t="s">
        <v>108</v>
      </c>
      <c r="P23" s="304" t="s">
        <v>109</v>
      </c>
      <c r="Q23" s="304" t="s">
        <v>110</v>
      </c>
      <c r="R23" s="149" t="s">
        <v>111</v>
      </c>
      <c r="S23" s="149" t="s">
        <v>146</v>
      </c>
      <c r="V23" s="304" t="s">
        <v>108</v>
      </c>
      <c r="W23" s="304" t="s">
        <v>109</v>
      </c>
      <c r="X23" s="304" t="s">
        <v>110</v>
      </c>
      <c r="Y23" s="149" t="s">
        <v>111</v>
      </c>
      <c r="Z23" s="149" t="s">
        <v>146</v>
      </c>
      <c r="AA23" s="243"/>
      <c r="AB23" s="304" t="s">
        <v>108</v>
      </c>
      <c r="AC23" s="304" t="s">
        <v>109</v>
      </c>
      <c r="AD23" s="304" t="s">
        <v>110</v>
      </c>
      <c r="AE23" s="149" t="s">
        <v>111</v>
      </c>
      <c r="AF23" s="149" t="s">
        <v>146</v>
      </c>
    </row>
    <row r="24" spans="1:44" s="156" customFormat="1" ht="3.75" customHeight="1">
      <c r="B24" s="159"/>
      <c r="G24" s="160"/>
      <c r="I24" s="159"/>
      <c r="L24" s="160"/>
      <c r="M24" s="160"/>
      <c r="O24" s="159"/>
      <c r="R24" s="160"/>
      <c r="S24" s="160"/>
      <c r="V24" s="159"/>
      <c r="Y24" s="160"/>
      <c r="Z24" s="160"/>
      <c r="AB24" s="159"/>
      <c r="AE24" s="160"/>
      <c r="AF24" s="160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</row>
    <row r="25" spans="1:44" ht="48.75" customHeight="1">
      <c r="B25" s="226" t="s">
        <v>56</v>
      </c>
      <c r="C25" s="8" t="s">
        <v>57</v>
      </c>
      <c r="D25" s="9" t="s">
        <v>58</v>
      </c>
      <c r="E25" s="101" t="s">
        <v>123</v>
      </c>
      <c r="F25" s="226" t="s">
        <v>59</v>
      </c>
      <c r="G25" s="316"/>
      <c r="H25" s="243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3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V25" s="10" t="s">
        <v>119</v>
      </c>
      <c r="W25" s="10" t="s">
        <v>119</v>
      </c>
      <c r="X25" s="10" t="s">
        <v>119</v>
      </c>
      <c r="Y25" s="10" t="s">
        <v>119</v>
      </c>
      <c r="Z25" s="10" t="s">
        <v>119</v>
      </c>
      <c r="AA25" s="243"/>
      <c r="AB25" s="10" t="s">
        <v>119</v>
      </c>
      <c r="AC25" s="10" t="s">
        <v>119</v>
      </c>
      <c r="AD25" s="10" t="s">
        <v>119</v>
      </c>
      <c r="AE25" s="10" t="s">
        <v>119</v>
      </c>
      <c r="AF25" s="10" t="s">
        <v>119</v>
      </c>
    </row>
    <row r="26" spans="1:44">
      <c r="A26" s="109"/>
      <c r="B26" s="280" t="s">
        <v>64</v>
      </c>
      <c r="C26" s="281" t="s">
        <v>189</v>
      </c>
      <c r="D26" s="529">
        <v>0</v>
      </c>
      <c r="E26" s="530">
        <v>1.1000000000000001</v>
      </c>
      <c r="F26" s="234" t="s">
        <v>284</v>
      </c>
      <c r="G26" s="315"/>
      <c r="H26" s="264"/>
      <c r="I26" s="282">
        <v>0</v>
      </c>
      <c r="J26" s="282">
        <v>0</v>
      </c>
      <c r="K26" s="282">
        <v>0</v>
      </c>
      <c r="L26" s="282">
        <v>0</v>
      </c>
      <c r="M26" s="283">
        <v>0</v>
      </c>
      <c r="N26" s="284"/>
      <c r="O26" s="282">
        <v>0</v>
      </c>
      <c r="P26" s="282">
        <v>0</v>
      </c>
      <c r="Q26" s="282">
        <v>0</v>
      </c>
      <c r="R26" s="282">
        <v>0</v>
      </c>
      <c r="S26" s="283">
        <v>0</v>
      </c>
      <c r="V26" s="282" t="s">
        <v>15</v>
      </c>
      <c r="W26" s="282" t="s">
        <v>15</v>
      </c>
      <c r="X26" s="282" t="s">
        <v>15</v>
      </c>
      <c r="Y26" s="282" t="s">
        <v>15</v>
      </c>
      <c r="Z26" s="283" t="s">
        <v>15</v>
      </c>
      <c r="AA26" s="284"/>
      <c r="AB26" s="282" t="s">
        <v>15</v>
      </c>
      <c r="AC26" s="282" t="s">
        <v>15</v>
      </c>
      <c r="AD26" s="282" t="s">
        <v>15</v>
      </c>
      <c r="AE26" s="282" t="s">
        <v>15</v>
      </c>
      <c r="AF26" s="283" t="s">
        <v>15</v>
      </c>
    </row>
    <row r="27" spans="1:44">
      <c r="B27" s="273" t="s">
        <v>64</v>
      </c>
      <c r="C27" s="286" t="s">
        <v>385</v>
      </c>
      <c r="D27" s="189">
        <v>239</v>
      </c>
      <c r="E27" s="115">
        <v>3.75</v>
      </c>
      <c r="F27" s="237" t="s">
        <v>284</v>
      </c>
      <c r="G27" s="314"/>
      <c r="H27" s="264"/>
      <c r="I27" s="267">
        <v>58</v>
      </c>
      <c r="J27" s="267">
        <v>83</v>
      </c>
      <c r="K27" s="267">
        <v>108</v>
      </c>
      <c r="L27" s="267">
        <v>120</v>
      </c>
      <c r="M27" s="268">
        <v>120</v>
      </c>
      <c r="N27" s="284"/>
      <c r="O27" s="267">
        <v>58</v>
      </c>
      <c r="P27" s="267">
        <v>83</v>
      </c>
      <c r="Q27" s="267">
        <v>108</v>
      </c>
      <c r="R27" s="267">
        <v>120</v>
      </c>
      <c r="S27" s="268">
        <v>120</v>
      </c>
      <c r="V27" s="267">
        <v>123</v>
      </c>
      <c r="W27" s="267">
        <v>73</v>
      </c>
      <c r="X27" s="267">
        <v>24</v>
      </c>
      <c r="Y27" s="267">
        <v>0</v>
      </c>
      <c r="Z27" s="268">
        <v>0</v>
      </c>
      <c r="AA27" s="284"/>
      <c r="AB27" s="267">
        <v>123</v>
      </c>
      <c r="AC27" s="267">
        <v>73</v>
      </c>
      <c r="AD27" s="267">
        <v>24</v>
      </c>
      <c r="AE27" s="267">
        <v>0</v>
      </c>
      <c r="AF27" s="268">
        <v>0</v>
      </c>
    </row>
    <row r="28" spans="1:44">
      <c r="A28" s="109"/>
      <c r="B28" s="280" t="s">
        <v>64</v>
      </c>
      <c r="C28" s="281" t="s">
        <v>386</v>
      </c>
      <c r="D28" s="191">
        <v>0</v>
      </c>
      <c r="E28" s="300">
        <v>3.75</v>
      </c>
      <c r="F28" s="239" t="s">
        <v>284</v>
      </c>
      <c r="G28" s="315"/>
      <c r="H28" s="264"/>
      <c r="I28" s="265">
        <v>0</v>
      </c>
      <c r="J28" s="265">
        <v>0</v>
      </c>
      <c r="K28" s="265">
        <v>0</v>
      </c>
      <c r="L28" s="265">
        <v>0</v>
      </c>
      <c r="M28" s="266">
        <v>0</v>
      </c>
      <c r="N28" s="284"/>
      <c r="O28" s="265">
        <v>0</v>
      </c>
      <c r="P28" s="265">
        <v>0</v>
      </c>
      <c r="Q28" s="265">
        <v>0</v>
      </c>
      <c r="R28" s="265">
        <v>0</v>
      </c>
      <c r="S28" s="266">
        <v>0</v>
      </c>
      <c r="V28" s="265" t="s">
        <v>15</v>
      </c>
      <c r="W28" s="265" t="s">
        <v>15</v>
      </c>
      <c r="X28" s="265" t="s">
        <v>15</v>
      </c>
      <c r="Y28" s="265" t="s">
        <v>15</v>
      </c>
      <c r="Z28" s="266" t="s">
        <v>15</v>
      </c>
      <c r="AA28" s="284"/>
      <c r="AB28" s="265" t="s">
        <v>15</v>
      </c>
      <c r="AC28" s="265" t="s">
        <v>15</v>
      </c>
      <c r="AD28" s="265" t="s">
        <v>15</v>
      </c>
      <c r="AE28" s="265" t="s">
        <v>15</v>
      </c>
      <c r="AF28" s="266" t="s">
        <v>15</v>
      </c>
    </row>
    <row r="29" spans="1:44">
      <c r="B29" s="273" t="s">
        <v>346</v>
      </c>
      <c r="C29" s="286" t="s">
        <v>347</v>
      </c>
      <c r="D29" s="189">
        <v>64</v>
      </c>
      <c r="E29" s="115">
        <v>1.1000000000000001</v>
      </c>
      <c r="F29" s="237" t="s">
        <v>4</v>
      </c>
      <c r="G29" s="314"/>
      <c r="H29" s="264"/>
      <c r="I29" s="267">
        <v>32</v>
      </c>
      <c r="J29" s="267">
        <v>32</v>
      </c>
      <c r="K29" s="267">
        <v>0</v>
      </c>
      <c r="L29" s="267">
        <v>0</v>
      </c>
      <c r="M29" s="268">
        <v>0</v>
      </c>
      <c r="N29" s="284"/>
      <c r="O29" s="267">
        <v>32</v>
      </c>
      <c r="P29" s="267">
        <v>32</v>
      </c>
      <c r="Q29" s="267">
        <v>0</v>
      </c>
      <c r="R29" s="267">
        <v>0</v>
      </c>
      <c r="S29" s="268">
        <v>0</v>
      </c>
      <c r="V29" s="267">
        <v>0</v>
      </c>
      <c r="W29" s="267">
        <v>0</v>
      </c>
      <c r="X29" s="267" t="s">
        <v>15</v>
      </c>
      <c r="Y29" s="267" t="s">
        <v>15</v>
      </c>
      <c r="Z29" s="268" t="s">
        <v>15</v>
      </c>
      <c r="AA29" s="284"/>
      <c r="AB29" s="267">
        <v>0</v>
      </c>
      <c r="AC29" s="267">
        <v>0</v>
      </c>
      <c r="AD29" s="267" t="s">
        <v>15</v>
      </c>
      <c r="AE29" s="267" t="s">
        <v>15</v>
      </c>
      <c r="AF29" s="268" t="s">
        <v>15</v>
      </c>
    </row>
    <row r="30" spans="1:44">
      <c r="A30" s="109"/>
      <c r="B30" s="280" t="s">
        <v>533</v>
      </c>
      <c r="C30" s="281" t="s">
        <v>534</v>
      </c>
      <c r="D30" s="188">
        <v>77</v>
      </c>
      <c r="E30" s="114">
        <v>1.1000000000000001</v>
      </c>
      <c r="F30" s="239" t="s">
        <v>4</v>
      </c>
      <c r="G30" s="315"/>
      <c r="H30" s="264"/>
      <c r="I30" s="282">
        <v>39</v>
      </c>
      <c r="J30" s="282">
        <v>39</v>
      </c>
      <c r="K30" s="282">
        <v>0</v>
      </c>
      <c r="L30" s="282">
        <v>0</v>
      </c>
      <c r="M30" s="283">
        <v>0</v>
      </c>
      <c r="N30" s="284"/>
      <c r="O30" s="282">
        <v>39</v>
      </c>
      <c r="P30" s="282">
        <v>39</v>
      </c>
      <c r="Q30" s="282">
        <v>0</v>
      </c>
      <c r="R30" s="282">
        <v>0</v>
      </c>
      <c r="S30" s="283">
        <v>0</v>
      </c>
      <c r="T30" s="109"/>
      <c r="U30" s="109"/>
      <c r="V30" s="282">
        <v>0</v>
      </c>
      <c r="W30" s="282">
        <v>0</v>
      </c>
      <c r="X30" s="282" t="s">
        <v>15</v>
      </c>
      <c r="Y30" s="282" t="s">
        <v>15</v>
      </c>
      <c r="Z30" s="283" t="s">
        <v>15</v>
      </c>
      <c r="AA30" s="284"/>
      <c r="AB30" s="282">
        <v>0</v>
      </c>
      <c r="AC30" s="282">
        <v>0</v>
      </c>
      <c r="AD30" s="282" t="s">
        <v>15</v>
      </c>
      <c r="AE30" s="282" t="s">
        <v>15</v>
      </c>
      <c r="AF30" s="283" t="s">
        <v>15</v>
      </c>
    </row>
    <row r="31" spans="1:44">
      <c r="B31" s="273" t="s">
        <v>62</v>
      </c>
      <c r="C31" s="286" t="s">
        <v>584</v>
      </c>
      <c r="D31" s="189">
        <v>137</v>
      </c>
      <c r="E31" s="115">
        <v>0</v>
      </c>
      <c r="F31" s="237" t="s">
        <v>458</v>
      </c>
      <c r="G31" s="314"/>
      <c r="H31" s="264"/>
      <c r="I31" s="267">
        <v>20</v>
      </c>
      <c r="J31" s="267">
        <v>30</v>
      </c>
      <c r="K31" s="267">
        <v>41</v>
      </c>
      <c r="L31" s="267">
        <v>50</v>
      </c>
      <c r="M31" s="268">
        <v>66</v>
      </c>
      <c r="N31" s="284"/>
      <c r="O31" s="267">
        <v>49</v>
      </c>
      <c r="P31" s="267">
        <v>64</v>
      </c>
      <c r="Q31" s="267">
        <v>88</v>
      </c>
      <c r="R31" s="267">
        <v>112</v>
      </c>
      <c r="S31" s="268">
        <v>112</v>
      </c>
      <c r="T31" s="109"/>
      <c r="U31" s="109"/>
      <c r="V31" s="267">
        <v>98</v>
      </c>
      <c r="W31" s="267">
        <v>78</v>
      </c>
      <c r="X31" s="267">
        <v>54.999999999999886</v>
      </c>
      <c r="Y31" s="267">
        <v>38</v>
      </c>
      <c r="Z31" s="268">
        <v>5</v>
      </c>
      <c r="AA31" s="284"/>
      <c r="AB31" s="267">
        <v>40.000000000000057</v>
      </c>
      <c r="AC31" s="267">
        <v>10</v>
      </c>
      <c r="AD31" s="267">
        <v>-39</v>
      </c>
      <c r="AE31" s="267">
        <v>-86.539999999999992</v>
      </c>
      <c r="AF31" s="268">
        <v>-86.539999999999992</v>
      </c>
    </row>
    <row r="32" spans="1:44">
      <c r="A32" s="109"/>
      <c r="B32" s="280" t="s">
        <v>62</v>
      </c>
      <c r="C32" s="281" t="s">
        <v>585</v>
      </c>
      <c r="D32" s="188">
        <v>184</v>
      </c>
      <c r="E32" s="114">
        <v>0</v>
      </c>
      <c r="F32" s="239" t="s">
        <v>458</v>
      </c>
      <c r="G32" s="315"/>
      <c r="H32" s="264"/>
      <c r="I32" s="265">
        <v>26</v>
      </c>
      <c r="J32" s="265">
        <v>36</v>
      </c>
      <c r="K32" s="265">
        <v>48</v>
      </c>
      <c r="L32" s="265">
        <v>56</v>
      </c>
      <c r="M32" s="266">
        <v>73</v>
      </c>
      <c r="N32" s="284"/>
      <c r="O32" s="265">
        <v>49</v>
      </c>
      <c r="P32" s="265">
        <v>64</v>
      </c>
      <c r="Q32" s="265">
        <v>88</v>
      </c>
      <c r="R32" s="265">
        <v>121</v>
      </c>
      <c r="S32" s="266">
        <v>125</v>
      </c>
      <c r="T32" s="109"/>
      <c r="U32" s="109"/>
      <c r="V32" s="265">
        <v>132</v>
      </c>
      <c r="W32" s="265">
        <v>112</v>
      </c>
      <c r="X32" s="265">
        <v>88.999999999999886</v>
      </c>
      <c r="Y32" s="265">
        <v>72</v>
      </c>
      <c r="Z32" s="266">
        <v>39</v>
      </c>
      <c r="AA32" s="284"/>
      <c r="AB32" s="265">
        <v>87.000000000000057</v>
      </c>
      <c r="AC32" s="265">
        <v>57</v>
      </c>
      <c r="AD32" s="265">
        <v>8</v>
      </c>
      <c r="AE32" s="265">
        <v>-57</v>
      </c>
      <c r="AF32" s="266">
        <v>-66.079999999999984</v>
      </c>
    </row>
    <row r="33" spans="1:32">
      <c r="B33" s="273" t="s">
        <v>62</v>
      </c>
      <c r="C33" s="286" t="s">
        <v>420</v>
      </c>
      <c r="D33" s="189">
        <v>279</v>
      </c>
      <c r="E33" s="115">
        <v>0</v>
      </c>
      <c r="F33" s="237" t="s">
        <v>458</v>
      </c>
      <c r="G33" s="314"/>
      <c r="H33" s="264"/>
      <c r="I33" s="267">
        <v>44</v>
      </c>
      <c r="J33" s="267">
        <v>54</v>
      </c>
      <c r="K33" s="267">
        <v>66</v>
      </c>
      <c r="L33" s="267">
        <v>74</v>
      </c>
      <c r="M33" s="268">
        <v>91</v>
      </c>
      <c r="N33" s="284"/>
      <c r="O33" s="267">
        <v>67</v>
      </c>
      <c r="P33" s="267">
        <v>82</v>
      </c>
      <c r="Q33" s="267">
        <v>106</v>
      </c>
      <c r="R33" s="267">
        <v>139</v>
      </c>
      <c r="S33" s="268">
        <v>187</v>
      </c>
      <c r="T33" s="109"/>
      <c r="U33" s="109"/>
      <c r="V33" s="267">
        <v>190.46</v>
      </c>
      <c r="W33" s="267">
        <v>170.46</v>
      </c>
      <c r="X33" s="267">
        <v>147.45999999999989</v>
      </c>
      <c r="Y33" s="267">
        <v>130.46</v>
      </c>
      <c r="Z33" s="268">
        <v>97.460000000000008</v>
      </c>
      <c r="AA33" s="284"/>
      <c r="AB33" s="267">
        <v>145.46000000000006</v>
      </c>
      <c r="AC33" s="267">
        <v>115.46000000000001</v>
      </c>
      <c r="AD33" s="267">
        <v>66.460000000000008</v>
      </c>
      <c r="AE33" s="267">
        <v>1.460000000000008</v>
      </c>
      <c r="AF33" s="268">
        <v>-94.229999999999961</v>
      </c>
    </row>
    <row r="34" spans="1:32">
      <c r="A34" s="109"/>
      <c r="B34" s="280" t="s">
        <v>62</v>
      </c>
      <c r="C34" s="281" t="s">
        <v>586</v>
      </c>
      <c r="D34" s="188">
        <v>532</v>
      </c>
      <c r="E34" s="114">
        <v>2.5</v>
      </c>
      <c r="F34" s="239" t="s">
        <v>459</v>
      </c>
      <c r="G34" s="315"/>
      <c r="H34" s="264"/>
      <c r="I34" s="282">
        <v>26</v>
      </c>
      <c r="J34" s="282">
        <v>69</v>
      </c>
      <c r="K34" s="282">
        <v>81</v>
      </c>
      <c r="L34" s="282">
        <v>89</v>
      </c>
      <c r="M34" s="283">
        <v>106</v>
      </c>
      <c r="N34" s="284"/>
      <c r="O34" s="282">
        <v>49</v>
      </c>
      <c r="P34" s="282">
        <v>97</v>
      </c>
      <c r="Q34" s="282">
        <v>121</v>
      </c>
      <c r="R34" s="282">
        <v>154</v>
      </c>
      <c r="S34" s="283">
        <v>210</v>
      </c>
      <c r="T34" s="109"/>
      <c r="U34" s="109"/>
      <c r="V34" s="282">
        <v>480</v>
      </c>
      <c r="W34" s="282">
        <v>393.81</v>
      </c>
      <c r="X34" s="282">
        <v>370.80999999999989</v>
      </c>
      <c r="Y34" s="282">
        <v>353.81</v>
      </c>
      <c r="Z34" s="283">
        <v>320.81</v>
      </c>
      <c r="AA34" s="284"/>
      <c r="AB34" s="282">
        <v>435.00000000000006</v>
      </c>
      <c r="AC34" s="282">
        <v>338.81</v>
      </c>
      <c r="AD34" s="282">
        <v>289.81</v>
      </c>
      <c r="AE34" s="282">
        <v>224.81</v>
      </c>
      <c r="AF34" s="283">
        <v>112.81</v>
      </c>
    </row>
    <row r="35" spans="1:32">
      <c r="B35" s="273" t="s">
        <v>62</v>
      </c>
      <c r="C35" s="286" t="s">
        <v>587</v>
      </c>
      <c r="D35" s="189">
        <v>555</v>
      </c>
      <c r="E35" s="115">
        <v>2.5</v>
      </c>
      <c r="F35" s="237" t="s">
        <v>459</v>
      </c>
      <c r="G35" s="314"/>
      <c r="H35" s="264"/>
      <c r="I35" s="267">
        <v>26</v>
      </c>
      <c r="J35" s="267">
        <v>69</v>
      </c>
      <c r="K35" s="267">
        <v>81</v>
      </c>
      <c r="L35" s="267">
        <v>89</v>
      </c>
      <c r="M35" s="268">
        <v>106</v>
      </c>
      <c r="N35" s="284"/>
      <c r="O35" s="267">
        <v>49</v>
      </c>
      <c r="P35" s="267">
        <v>97</v>
      </c>
      <c r="Q35" s="267">
        <v>121</v>
      </c>
      <c r="R35" s="267">
        <v>154</v>
      </c>
      <c r="S35" s="268">
        <v>210</v>
      </c>
      <c r="T35" s="109"/>
      <c r="U35" s="109"/>
      <c r="V35" s="267">
        <v>503</v>
      </c>
      <c r="W35" s="267">
        <v>416.25</v>
      </c>
      <c r="X35" s="267">
        <v>393.24999999999989</v>
      </c>
      <c r="Y35" s="267">
        <v>376.25</v>
      </c>
      <c r="Z35" s="268">
        <v>343.25</v>
      </c>
      <c r="AA35" s="284"/>
      <c r="AB35" s="267">
        <v>458.00000000000006</v>
      </c>
      <c r="AC35" s="267">
        <v>361.25</v>
      </c>
      <c r="AD35" s="267">
        <v>312.25</v>
      </c>
      <c r="AE35" s="267">
        <v>247.25</v>
      </c>
      <c r="AF35" s="268">
        <v>135.25</v>
      </c>
    </row>
    <row r="36" spans="1:32">
      <c r="A36" s="109"/>
      <c r="B36" s="280" t="s">
        <v>346</v>
      </c>
      <c r="C36" s="281" t="s">
        <v>387</v>
      </c>
      <c r="D36" s="191">
        <v>71</v>
      </c>
      <c r="E36" s="300">
        <v>0</v>
      </c>
      <c r="F36" s="239" t="s">
        <v>458</v>
      </c>
      <c r="G36" s="315"/>
      <c r="H36" s="264"/>
      <c r="I36" s="265">
        <v>36</v>
      </c>
      <c r="J36" s="265">
        <v>36</v>
      </c>
      <c r="K36" s="265">
        <v>36</v>
      </c>
      <c r="L36" s="265">
        <v>36</v>
      </c>
      <c r="M36" s="266">
        <v>36</v>
      </c>
      <c r="N36" s="284"/>
      <c r="O36" s="265">
        <v>36</v>
      </c>
      <c r="P36" s="265">
        <v>36</v>
      </c>
      <c r="Q36" s="265">
        <v>36</v>
      </c>
      <c r="R36" s="265">
        <v>36</v>
      </c>
      <c r="S36" s="266">
        <v>36</v>
      </c>
      <c r="V36" s="265">
        <v>0</v>
      </c>
      <c r="W36" s="265">
        <v>0</v>
      </c>
      <c r="X36" s="265">
        <v>0</v>
      </c>
      <c r="Y36" s="265">
        <v>0</v>
      </c>
      <c r="Z36" s="266">
        <v>0</v>
      </c>
      <c r="AA36" s="284"/>
      <c r="AB36" s="265">
        <v>0</v>
      </c>
      <c r="AC36" s="265">
        <v>0</v>
      </c>
      <c r="AD36" s="265">
        <v>0</v>
      </c>
      <c r="AE36" s="265">
        <v>0</v>
      </c>
      <c r="AF36" s="266">
        <v>0</v>
      </c>
    </row>
    <row r="37" spans="1:32">
      <c r="B37" s="273" t="s">
        <v>346</v>
      </c>
      <c r="C37" s="286" t="s">
        <v>388</v>
      </c>
      <c r="D37" s="189">
        <v>49</v>
      </c>
      <c r="E37" s="115">
        <v>0</v>
      </c>
      <c r="F37" s="237" t="s">
        <v>458</v>
      </c>
      <c r="G37" s="314"/>
      <c r="H37" s="264"/>
      <c r="I37" s="267">
        <v>25</v>
      </c>
      <c r="J37" s="267">
        <v>25</v>
      </c>
      <c r="K37" s="267">
        <v>25</v>
      </c>
      <c r="L37" s="267">
        <v>25</v>
      </c>
      <c r="M37" s="268">
        <v>25</v>
      </c>
      <c r="N37" s="284"/>
      <c r="O37" s="267">
        <v>25</v>
      </c>
      <c r="P37" s="267">
        <v>25</v>
      </c>
      <c r="Q37" s="267">
        <v>25</v>
      </c>
      <c r="R37" s="267">
        <v>25</v>
      </c>
      <c r="S37" s="268">
        <v>25</v>
      </c>
      <c r="V37" s="267">
        <v>0</v>
      </c>
      <c r="W37" s="267">
        <v>0</v>
      </c>
      <c r="X37" s="267">
        <v>0</v>
      </c>
      <c r="Y37" s="267">
        <v>0</v>
      </c>
      <c r="Z37" s="268">
        <v>0</v>
      </c>
      <c r="AA37" s="284"/>
      <c r="AB37" s="267">
        <v>0</v>
      </c>
      <c r="AC37" s="267">
        <v>0</v>
      </c>
      <c r="AD37" s="267">
        <v>0</v>
      </c>
      <c r="AE37" s="267">
        <v>0</v>
      </c>
      <c r="AF37" s="268">
        <v>0</v>
      </c>
    </row>
    <row r="38" spans="1:32">
      <c r="A38" s="109"/>
      <c r="B38" s="280" t="s">
        <v>65</v>
      </c>
      <c r="C38" s="281" t="s">
        <v>564</v>
      </c>
      <c r="D38" s="188">
        <v>172</v>
      </c>
      <c r="E38" s="114">
        <v>0</v>
      </c>
      <c r="F38" s="239" t="s">
        <v>458</v>
      </c>
      <c r="G38" s="315"/>
      <c r="H38" s="264"/>
      <c r="I38" s="282">
        <v>41</v>
      </c>
      <c r="J38" s="282">
        <v>51</v>
      </c>
      <c r="K38" s="282">
        <v>63</v>
      </c>
      <c r="L38" s="282">
        <v>71</v>
      </c>
      <c r="M38" s="283">
        <v>88</v>
      </c>
      <c r="N38" s="284"/>
      <c r="O38" s="282">
        <v>64</v>
      </c>
      <c r="P38" s="282">
        <v>79</v>
      </c>
      <c r="Q38" s="282">
        <v>103</v>
      </c>
      <c r="R38" s="282">
        <v>122</v>
      </c>
      <c r="S38" s="283">
        <v>122</v>
      </c>
      <c r="V38" s="282">
        <v>90</v>
      </c>
      <c r="W38" s="282">
        <v>70</v>
      </c>
      <c r="X38" s="282">
        <v>46.999999999999886</v>
      </c>
      <c r="Y38" s="282">
        <v>30</v>
      </c>
      <c r="Z38" s="283">
        <v>-3</v>
      </c>
      <c r="AA38" s="284"/>
      <c r="AB38" s="282">
        <v>45.000000000000057</v>
      </c>
      <c r="AC38" s="282">
        <v>15</v>
      </c>
      <c r="AD38" s="282">
        <v>-34</v>
      </c>
      <c r="AE38" s="282">
        <v>-72</v>
      </c>
      <c r="AF38" s="283">
        <v>-72</v>
      </c>
    </row>
    <row r="39" spans="1:32">
      <c r="B39" s="273" t="s">
        <v>65</v>
      </c>
      <c r="C39" s="286" t="s">
        <v>565</v>
      </c>
      <c r="D39" s="189">
        <v>240</v>
      </c>
      <c r="E39" s="115">
        <v>0</v>
      </c>
      <c r="F39" s="237" t="s">
        <v>458</v>
      </c>
      <c r="G39" s="314"/>
      <c r="H39" s="264"/>
      <c r="I39" s="267">
        <v>52</v>
      </c>
      <c r="J39" s="267">
        <v>62</v>
      </c>
      <c r="K39" s="267">
        <v>73</v>
      </c>
      <c r="L39" s="267">
        <v>82</v>
      </c>
      <c r="M39" s="268">
        <v>98</v>
      </c>
      <c r="N39" s="284"/>
      <c r="O39" s="267">
        <v>74</v>
      </c>
      <c r="P39" s="267">
        <v>89</v>
      </c>
      <c r="Q39" s="267">
        <v>114</v>
      </c>
      <c r="R39" s="267">
        <v>146</v>
      </c>
      <c r="S39" s="268">
        <v>154</v>
      </c>
      <c r="V39" s="267">
        <v>137</v>
      </c>
      <c r="W39" s="267">
        <v>117</v>
      </c>
      <c r="X39" s="267">
        <v>93.999999999999886</v>
      </c>
      <c r="Y39" s="267">
        <v>77</v>
      </c>
      <c r="Z39" s="268">
        <v>44</v>
      </c>
      <c r="AA39" s="284"/>
      <c r="AB39" s="267">
        <v>92.000000000000057</v>
      </c>
      <c r="AC39" s="267">
        <v>62</v>
      </c>
      <c r="AD39" s="267">
        <v>13</v>
      </c>
      <c r="AE39" s="267">
        <v>-52</v>
      </c>
      <c r="AF39" s="268">
        <v>-67.5</v>
      </c>
    </row>
    <row r="40" spans="1:32">
      <c r="A40" s="109"/>
      <c r="B40" s="280" t="s">
        <v>115</v>
      </c>
      <c r="C40" s="281" t="s">
        <v>407</v>
      </c>
      <c r="D40" s="188">
        <v>44</v>
      </c>
      <c r="E40" s="114">
        <v>0</v>
      </c>
      <c r="F40" s="239" t="s">
        <v>458</v>
      </c>
      <c r="G40" s="315"/>
      <c r="H40" s="264"/>
      <c r="I40" s="265">
        <v>22</v>
      </c>
      <c r="J40" s="265">
        <v>22</v>
      </c>
      <c r="K40" s="265">
        <v>22</v>
      </c>
      <c r="L40" s="265">
        <v>22</v>
      </c>
      <c r="M40" s="266">
        <v>22</v>
      </c>
      <c r="N40" s="284"/>
      <c r="O40" s="265">
        <v>22</v>
      </c>
      <c r="P40" s="265">
        <v>22</v>
      </c>
      <c r="Q40" s="265">
        <v>22</v>
      </c>
      <c r="R40" s="265">
        <v>22</v>
      </c>
      <c r="S40" s="266">
        <v>22</v>
      </c>
      <c r="T40" s="109"/>
      <c r="U40" s="109"/>
      <c r="V40" s="265">
        <v>0</v>
      </c>
      <c r="W40" s="265">
        <v>0</v>
      </c>
      <c r="X40" s="265">
        <v>0</v>
      </c>
      <c r="Y40" s="265">
        <v>0</v>
      </c>
      <c r="Z40" s="266">
        <v>0</v>
      </c>
      <c r="AA40" s="284"/>
      <c r="AB40" s="265">
        <v>0</v>
      </c>
      <c r="AC40" s="265">
        <v>0</v>
      </c>
      <c r="AD40" s="265">
        <v>0</v>
      </c>
      <c r="AE40" s="265">
        <v>0</v>
      </c>
      <c r="AF40" s="266">
        <v>0</v>
      </c>
    </row>
    <row r="41" spans="1:32">
      <c r="B41" s="273" t="s">
        <v>115</v>
      </c>
      <c r="C41" s="286" t="s">
        <v>408</v>
      </c>
      <c r="D41" s="189">
        <v>77</v>
      </c>
      <c r="E41" s="115">
        <v>0</v>
      </c>
      <c r="F41" s="237" t="s">
        <v>458</v>
      </c>
      <c r="G41" s="314"/>
      <c r="H41" s="264"/>
      <c r="I41" s="267">
        <v>39</v>
      </c>
      <c r="J41" s="267">
        <v>39</v>
      </c>
      <c r="K41" s="267">
        <v>39</v>
      </c>
      <c r="L41" s="267">
        <v>39</v>
      </c>
      <c r="M41" s="268">
        <v>39</v>
      </c>
      <c r="N41" s="284"/>
      <c r="O41" s="267">
        <v>39</v>
      </c>
      <c r="P41" s="267">
        <v>39</v>
      </c>
      <c r="Q41" s="267">
        <v>39</v>
      </c>
      <c r="R41" s="267">
        <v>39</v>
      </c>
      <c r="S41" s="268">
        <v>39</v>
      </c>
      <c r="V41" s="267">
        <v>0</v>
      </c>
      <c r="W41" s="267">
        <v>0</v>
      </c>
      <c r="X41" s="267">
        <v>0</v>
      </c>
      <c r="Y41" s="267">
        <v>0</v>
      </c>
      <c r="Z41" s="268">
        <v>0</v>
      </c>
      <c r="AA41" s="284"/>
      <c r="AB41" s="267">
        <v>0</v>
      </c>
      <c r="AC41" s="267">
        <v>0</v>
      </c>
      <c r="AD41" s="267">
        <v>0</v>
      </c>
      <c r="AE41" s="267">
        <v>0</v>
      </c>
      <c r="AF41" s="268">
        <v>0</v>
      </c>
    </row>
    <row r="42" spans="1:32">
      <c r="A42" s="109"/>
      <c r="B42" s="280" t="s">
        <v>181</v>
      </c>
      <c r="C42" s="281" t="s">
        <v>544</v>
      </c>
      <c r="D42" s="188">
        <v>93</v>
      </c>
      <c r="E42" s="114">
        <v>0</v>
      </c>
      <c r="F42" s="239" t="s">
        <v>458</v>
      </c>
      <c r="G42" s="315"/>
      <c r="H42" s="264"/>
      <c r="I42" s="282">
        <v>26</v>
      </c>
      <c r="J42" s="282">
        <v>36</v>
      </c>
      <c r="K42" s="282">
        <v>48</v>
      </c>
      <c r="L42" s="282">
        <v>56</v>
      </c>
      <c r="M42" s="283">
        <v>73</v>
      </c>
      <c r="N42" s="284"/>
      <c r="O42" s="282">
        <v>49</v>
      </c>
      <c r="P42" s="282">
        <v>64</v>
      </c>
      <c r="Q42" s="282">
        <v>88</v>
      </c>
      <c r="R42" s="282">
        <v>86</v>
      </c>
      <c r="S42" s="283">
        <v>86</v>
      </c>
      <c r="T42" s="109"/>
      <c r="U42" s="109"/>
      <c r="V42" s="282">
        <v>41</v>
      </c>
      <c r="W42" s="282">
        <v>21</v>
      </c>
      <c r="X42" s="282">
        <v>-2.0000000000001137</v>
      </c>
      <c r="Y42" s="282">
        <v>-19</v>
      </c>
      <c r="Z42" s="283">
        <v>-52</v>
      </c>
      <c r="AA42" s="284"/>
      <c r="AB42" s="282">
        <v>-3.9999999999999432</v>
      </c>
      <c r="AC42" s="282">
        <v>-34</v>
      </c>
      <c r="AD42" s="282">
        <v>-83</v>
      </c>
      <c r="AE42" s="282">
        <v>-79.78</v>
      </c>
      <c r="AF42" s="283">
        <v>-79.78</v>
      </c>
    </row>
    <row r="43" spans="1:32">
      <c r="B43" s="273" t="s">
        <v>421</v>
      </c>
      <c r="C43" s="286" t="s">
        <v>422</v>
      </c>
      <c r="D43" s="189">
        <v>48</v>
      </c>
      <c r="E43" s="115">
        <v>0</v>
      </c>
      <c r="F43" s="237" t="s">
        <v>460</v>
      </c>
      <c r="G43" s="314"/>
      <c r="I43" s="267">
        <v>24</v>
      </c>
      <c r="J43" s="267">
        <v>24</v>
      </c>
      <c r="K43" s="267">
        <v>24</v>
      </c>
      <c r="L43" s="267">
        <v>24</v>
      </c>
      <c r="M43" s="268">
        <v>24</v>
      </c>
      <c r="O43" s="267">
        <v>24</v>
      </c>
      <c r="P43" s="267">
        <v>24</v>
      </c>
      <c r="Q43" s="267">
        <v>24</v>
      </c>
      <c r="R43" s="267">
        <v>24</v>
      </c>
      <c r="S43" s="268">
        <v>24</v>
      </c>
      <c r="V43" s="267">
        <v>0</v>
      </c>
      <c r="W43" s="267">
        <v>0</v>
      </c>
      <c r="X43" s="267">
        <v>0</v>
      </c>
      <c r="Y43" s="267">
        <v>0</v>
      </c>
      <c r="Z43" s="268">
        <v>0</v>
      </c>
      <c r="AB43" s="267">
        <v>0</v>
      </c>
      <c r="AC43" s="267">
        <v>0</v>
      </c>
      <c r="AD43" s="267">
        <v>0</v>
      </c>
      <c r="AE43" s="267">
        <v>0</v>
      </c>
      <c r="AF43" s="268">
        <v>0</v>
      </c>
    </row>
    <row r="44" spans="1:32">
      <c r="A44" s="109"/>
      <c r="B44" s="280" t="s">
        <v>423</v>
      </c>
      <c r="C44" s="281" t="s">
        <v>535</v>
      </c>
      <c r="D44" s="188">
        <v>520</v>
      </c>
      <c r="E44" s="114">
        <v>3.25</v>
      </c>
      <c r="F44" s="239" t="s">
        <v>190</v>
      </c>
      <c r="G44" s="315"/>
      <c r="I44" s="265">
        <v>115</v>
      </c>
      <c r="J44" s="265">
        <v>125</v>
      </c>
      <c r="K44" s="265">
        <v>136</v>
      </c>
      <c r="L44" s="265">
        <v>145</v>
      </c>
      <c r="M44" s="266">
        <v>161</v>
      </c>
      <c r="O44" s="265">
        <v>137</v>
      </c>
      <c r="P44" s="265">
        <v>152</v>
      </c>
      <c r="Q44" s="265">
        <v>177</v>
      </c>
      <c r="R44" s="265">
        <v>209</v>
      </c>
      <c r="S44" s="266">
        <v>265</v>
      </c>
      <c r="V44" s="265">
        <v>290.88</v>
      </c>
      <c r="W44" s="265">
        <v>270.88</v>
      </c>
      <c r="X44" s="265">
        <v>247.87999999999988</v>
      </c>
      <c r="Y44" s="265">
        <v>230.88</v>
      </c>
      <c r="Z44" s="266">
        <v>197.88</v>
      </c>
      <c r="AB44" s="265">
        <v>245.88000000000005</v>
      </c>
      <c r="AC44" s="265">
        <v>215.88</v>
      </c>
      <c r="AD44" s="265">
        <v>166.88</v>
      </c>
      <c r="AE44" s="265">
        <v>101.88</v>
      </c>
      <c r="AF44" s="266">
        <v>-10.120000000000005</v>
      </c>
    </row>
    <row r="45" spans="1:32">
      <c r="B45" s="273" t="s">
        <v>423</v>
      </c>
      <c r="C45" s="286" t="s">
        <v>536</v>
      </c>
      <c r="D45" s="189">
        <v>564</v>
      </c>
      <c r="E45" s="115">
        <v>3.25</v>
      </c>
      <c r="F45" s="237" t="s">
        <v>190</v>
      </c>
      <c r="G45" s="314"/>
      <c r="I45" s="267">
        <v>104</v>
      </c>
      <c r="J45" s="267">
        <v>114</v>
      </c>
      <c r="K45" s="267">
        <v>125</v>
      </c>
      <c r="L45" s="267">
        <v>134</v>
      </c>
      <c r="M45" s="268">
        <v>150</v>
      </c>
      <c r="O45" s="267">
        <v>126</v>
      </c>
      <c r="P45" s="267">
        <v>141</v>
      </c>
      <c r="Q45" s="267">
        <v>166</v>
      </c>
      <c r="R45" s="267">
        <v>198</v>
      </c>
      <c r="S45" s="268">
        <v>254</v>
      </c>
      <c r="V45" s="267">
        <v>356.01</v>
      </c>
      <c r="W45" s="267">
        <v>336.01</v>
      </c>
      <c r="X45" s="267">
        <v>313.00999999999988</v>
      </c>
      <c r="Y45" s="267">
        <v>296.01</v>
      </c>
      <c r="Z45" s="268">
        <v>263.01</v>
      </c>
      <c r="AB45" s="267">
        <v>311.01000000000005</v>
      </c>
      <c r="AC45" s="267">
        <v>281.01</v>
      </c>
      <c r="AD45" s="267">
        <v>232.01</v>
      </c>
      <c r="AE45" s="267">
        <v>167.01</v>
      </c>
      <c r="AF45" s="268">
        <v>55.009999999999991</v>
      </c>
    </row>
    <row r="46" spans="1:32">
      <c r="A46" s="109"/>
      <c r="B46" s="280" t="s">
        <v>423</v>
      </c>
      <c r="C46" s="281" t="s">
        <v>578</v>
      </c>
      <c r="D46" s="188">
        <v>823</v>
      </c>
      <c r="E46" s="114">
        <v>3.25</v>
      </c>
      <c r="F46" s="239" t="s">
        <v>190</v>
      </c>
      <c r="G46" s="315"/>
      <c r="I46" s="282">
        <v>26</v>
      </c>
      <c r="J46" s="282">
        <v>152</v>
      </c>
      <c r="K46" s="282">
        <v>163</v>
      </c>
      <c r="L46" s="282">
        <v>172</v>
      </c>
      <c r="M46" s="283">
        <v>188</v>
      </c>
      <c r="O46" s="282">
        <v>49</v>
      </c>
      <c r="P46" s="282">
        <v>179</v>
      </c>
      <c r="Q46" s="282">
        <v>204</v>
      </c>
      <c r="R46" s="282">
        <v>236</v>
      </c>
      <c r="S46" s="283">
        <v>292</v>
      </c>
      <c r="V46" s="282">
        <v>771</v>
      </c>
      <c r="W46" s="282">
        <v>519.11</v>
      </c>
      <c r="X46" s="282">
        <v>496.1099999999999</v>
      </c>
      <c r="Y46" s="282">
        <v>479.11</v>
      </c>
      <c r="Z46" s="283">
        <v>446.11</v>
      </c>
      <c r="AB46" s="282">
        <v>726</v>
      </c>
      <c r="AC46" s="282">
        <v>464.11</v>
      </c>
      <c r="AD46" s="282">
        <v>415.11</v>
      </c>
      <c r="AE46" s="282">
        <v>350.11</v>
      </c>
      <c r="AF46" s="283">
        <v>238.11</v>
      </c>
    </row>
    <row r="47" spans="1:32">
      <c r="B47" s="273" t="s">
        <v>423</v>
      </c>
      <c r="C47" s="286" t="s">
        <v>579</v>
      </c>
      <c r="D47" s="189">
        <v>1062</v>
      </c>
      <c r="E47" s="115">
        <v>3.25</v>
      </c>
      <c r="F47" s="237" t="s">
        <v>190</v>
      </c>
      <c r="G47" s="314"/>
      <c r="I47" s="267">
        <v>26</v>
      </c>
      <c r="J47" s="267">
        <v>189</v>
      </c>
      <c r="K47" s="267">
        <v>200</v>
      </c>
      <c r="L47" s="267">
        <v>209</v>
      </c>
      <c r="M47" s="268">
        <v>225</v>
      </c>
      <c r="O47" s="267">
        <v>49</v>
      </c>
      <c r="P47" s="267">
        <v>216</v>
      </c>
      <c r="Q47" s="267">
        <v>241</v>
      </c>
      <c r="R47" s="267">
        <v>273</v>
      </c>
      <c r="S47" s="268">
        <v>329</v>
      </c>
      <c r="V47" s="267">
        <v>1010</v>
      </c>
      <c r="W47" s="267">
        <v>684.73</v>
      </c>
      <c r="X47" s="267">
        <v>661.7299999999999</v>
      </c>
      <c r="Y47" s="267">
        <v>644.73</v>
      </c>
      <c r="Z47" s="268">
        <v>611.73</v>
      </c>
      <c r="AB47" s="267">
        <v>965</v>
      </c>
      <c r="AC47" s="267">
        <v>629.73</v>
      </c>
      <c r="AD47" s="267">
        <v>580.73</v>
      </c>
      <c r="AE47" s="267">
        <v>515.73</v>
      </c>
      <c r="AF47" s="268">
        <v>403.73</v>
      </c>
    </row>
    <row r="48" spans="1:32">
      <c r="A48" s="109"/>
      <c r="B48" s="280" t="s">
        <v>423</v>
      </c>
      <c r="C48" s="281" t="s">
        <v>580</v>
      </c>
      <c r="D48" s="188">
        <v>1234</v>
      </c>
      <c r="E48" s="114">
        <v>3.25</v>
      </c>
      <c r="F48" s="239" t="s">
        <v>190</v>
      </c>
      <c r="G48" s="315"/>
      <c r="I48" s="282">
        <v>26</v>
      </c>
      <c r="J48" s="282">
        <v>203</v>
      </c>
      <c r="K48" s="282">
        <v>215</v>
      </c>
      <c r="L48" s="282">
        <v>223</v>
      </c>
      <c r="M48" s="283">
        <v>240</v>
      </c>
      <c r="O48" s="282">
        <v>49</v>
      </c>
      <c r="P48" s="282">
        <v>231</v>
      </c>
      <c r="Q48" s="282">
        <v>255</v>
      </c>
      <c r="R48" s="282">
        <v>288</v>
      </c>
      <c r="S48" s="283">
        <v>344</v>
      </c>
      <c r="V48" s="282">
        <v>1182</v>
      </c>
      <c r="W48" s="282">
        <v>827.7</v>
      </c>
      <c r="X48" s="282">
        <v>804.7</v>
      </c>
      <c r="Y48" s="282">
        <v>787.7</v>
      </c>
      <c r="Z48" s="283">
        <v>754.7</v>
      </c>
      <c r="AB48" s="282">
        <v>1137</v>
      </c>
      <c r="AC48" s="282">
        <v>772.7</v>
      </c>
      <c r="AD48" s="282">
        <v>723.7</v>
      </c>
      <c r="AE48" s="282">
        <v>658.7</v>
      </c>
      <c r="AF48" s="283">
        <v>546.70000000000005</v>
      </c>
    </row>
    <row r="49" spans="1:32">
      <c r="B49" s="273" t="s">
        <v>318</v>
      </c>
      <c r="C49" s="286" t="s">
        <v>545</v>
      </c>
      <c r="D49" s="189">
        <v>539</v>
      </c>
      <c r="E49" s="115">
        <v>3.25</v>
      </c>
      <c r="F49" s="237" t="s">
        <v>190</v>
      </c>
      <c r="G49" s="314"/>
      <c r="I49" s="267">
        <v>162</v>
      </c>
      <c r="J49" s="267">
        <v>172</v>
      </c>
      <c r="K49" s="267">
        <v>183</v>
      </c>
      <c r="L49" s="267">
        <v>192</v>
      </c>
      <c r="M49" s="268">
        <v>208</v>
      </c>
      <c r="O49" s="267">
        <v>184</v>
      </c>
      <c r="P49" s="267">
        <v>199</v>
      </c>
      <c r="Q49" s="267">
        <v>224</v>
      </c>
      <c r="R49" s="267">
        <v>269</v>
      </c>
      <c r="S49" s="268">
        <v>312</v>
      </c>
      <c r="V49" s="267">
        <v>215.25</v>
      </c>
      <c r="W49" s="267">
        <v>195.25</v>
      </c>
      <c r="X49" s="267">
        <v>172.24999999999989</v>
      </c>
      <c r="Y49" s="267">
        <v>155.25</v>
      </c>
      <c r="Z49" s="268">
        <v>122.25</v>
      </c>
      <c r="AB49" s="267">
        <v>170.25000000000006</v>
      </c>
      <c r="AC49" s="267">
        <v>140.25</v>
      </c>
      <c r="AD49" s="267">
        <v>91.25</v>
      </c>
      <c r="AE49" s="267">
        <v>0.25</v>
      </c>
      <c r="AF49" s="268">
        <v>-85.75</v>
      </c>
    </row>
    <row r="50" spans="1:32">
      <c r="A50" s="109"/>
      <c r="B50" s="280" t="s">
        <v>318</v>
      </c>
      <c r="C50" s="281" t="s">
        <v>546</v>
      </c>
      <c r="D50" s="188">
        <v>309</v>
      </c>
      <c r="E50" s="114">
        <v>3.25</v>
      </c>
      <c r="F50" s="239" t="s">
        <v>190</v>
      </c>
      <c r="G50" s="315"/>
      <c r="I50" s="265">
        <v>85</v>
      </c>
      <c r="J50" s="265">
        <v>95</v>
      </c>
      <c r="K50" s="265">
        <v>107</v>
      </c>
      <c r="L50" s="265">
        <v>115</v>
      </c>
      <c r="M50" s="266">
        <v>132</v>
      </c>
      <c r="O50" s="265">
        <v>108</v>
      </c>
      <c r="P50" s="265">
        <v>123</v>
      </c>
      <c r="Q50" s="265">
        <v>147</v>
      </c>
      <c r="R50" s="265">
        <v>180</v>
      </c>
      <c r="S50" s="266">
        <v>189</v>
      </c>
      <c r="V50" s="265">
        <v>138.25</v>
      </c>
      <c r="W50" s="265">
        <v>118.25</v>
      </c>
      <c r="X50" s="265">
        <v>95.249999999999886</v>
      </c>
      <c r="Y50" s="265">
        <v>78.25</v>
      </c>
      <c r="Z50" s="266">
        <v>45.25</v>
      </c>
      <c r="AB50" s="265">
        <v>93.250000000000057</v>
      </c>
      <c r="AC50" s="265">
        <v>63.25</v>
      </c>
      <c r="AD50" s="265">
        <v>14.25</v>
      </c>
      <c r="AE50" s="265">
        <v>-50.75</v>
      </c>
      <c r="AF50" s="266">
        <v>-68.125</v>
      </c>
    </row>
    <row r="51" spans="1:32">
      <c r="B51" s="273" t="s">
        <v>318</v>
      </c>
      <c r="C51" s="286" t="s">
        <v>547</v>
      </c>
      <c r="D51" s="189">
        <v>661</v>
      </c>
      <c r="E51" s="115">
        <v>3.25</v>
      </c>
      <c r="F51" s="237" t="s">
        <v>190</v>
      </c>
      <c r="G51" s="314"/>
      <c r="I51" s="267">
        <v>165</v>
      </c>
      <c r="J51" s="267">
        <v>175</v>
      </c>
      <c r="K51" s="267">
        <v>187</v>
      </c>
      <c r="L51" s="267">
        <v>195</v>
      </c>
      <c r="M51" s="268">
        <v>212</v>
      </c>
      <c r="O51" s="267">
        <v>188</v>
      </c>
      <c r="P51" s="267">
        <v>203</v>
      </c>
      <c r="Q51" s="267">
        <v>227</v>
      </c>
      <c r="R51" s="267">
        <v>260</v>
      </c>
      <c r="S51" s="268">
        <v>330</v>
      </c>
      <c r="V51" s="267">
        <v>330.25</v>
      </c>
      <c r="W51" s="267">
        <v>310.25</v>
      </c>
      <c r="X51" s="267">
        <v>287.24999999999989</v>
      </c>
      <c r="Y51" s="267">
        <v>270.25</v>
      </c>
      <c r="Z51" s="268">
        <v>237.25</v>
      </c>
      <c r="AB51" s="267">
        <v>285.25</v>
      </c>
      <c r="AC51" s="267">
        <v>255.25</v>
      </c>
      <c r="AD51" s="267">
        <v>206.25</v>
      </c>
      <c r="AE51" s="267">
        <v>141.25</v>
      </c>
      <c r="AF51" s="268">
        <v>0.25</v>
      </c>
    </row>
    <row r="52" spans="1:32">
      <c r="A52" s="109"/>
      <c r="B52" s="280" t="s">
        <v>318</v>
      </c>
      <c r="C52" s="281" t="s">
        <v>588</v>
      </c>
      <c r="D52" s="188">
        <v>181</v>
      </c>
      <c r="E52" s="114">
        <v>3.25</v>
      </c>
      <c r="F52" s="239" t="s">
        <v>190</v>
      </c>
      <c r="G52" s="315"/>
      <c r="I52" s="282">
        <v>50</v>
      </c>
      <c r="J52" s="282">
        <v>60</v>
      </c>
      <c r="K52" s="282">
        <v>72</v>
      </c>
      <c r="L52" s="282">
        <v>80</v>
      </c>
      <c r="M52" s="283">
        <v>97</v>
      </c>
      <c r="O52" s="282">
        <v>73</v>
      </c>
      <c r="P52" s="282">
        <v>88</v>
      </c>
      <c r="Q52" s="282">
        <v>112</v>
      </c>
      <c r="R52" s="282">
        <v>124</v>
      </c>
      <c r="S52" s="283">
        <v>124</v>
      </c>
      <c r="V52" s="282">
        <v>80.25</v>
      </c>
      <c r="W52" s="282">
        <v>60.25</v>
      </c>
      <c r="X52" s="282">
        <v>37.249999999999886</v>
      </c>
      <c r="Y52" s="282">
        <v>20.25</v>
      </c>
      <c r="Z52" s="283">
        <v>-12.75</v>
      </c>
      <c r="AB52" s="282">
        <v>35.250000000000057</v>
      </c>
      <c r="AC52" s="282">
        <v>5.25</v>
      </c>
      <c r="AD52" s="282">
        <v>-43.75</v>
      </c>
      <c r="AE52" s="282">
        <v>-67.125</v>
      </c>
      <c r="AF52" s="283">
        <v>-67.125</v>
      </c>
    </row>
    <row r="53" spans="1:32">
      <c r="B53" s="273" t="s">
        <v>318</v>
      </c>
      <c r="C53" s="286" t="s">
        <v>581</v>
      </c>
      <c r="D53" s="189">
        <v>1653</v>
      </c>
      <c r="E53" s="115">
        <v>3.25</v>
      </c>
      <c r="F53" s="237" t="s">
        <v>190</v>
      </c>
      <c r="G53" s="314"/>
      <c r="I53" s="267">
        <v>26</v>
      </c>
      <c r="J53" s="267">
        <v>281</v>
      </c>
      <c r="K53" s="267">
        <v>292</v>
      </c>
      <c r="L53" s="267">
        <v>301</v>
      </c>
      <c r="M53" s="268">
        <v>317</v>
      </c>
      <c r="O53" s="267">
        <v>49</v>
      </c>
      <c r="P53" s="267">
        <v>308</v>
      </c>
      <c r="Q53" s="267">
        <v>333</v>
      </c>
      <c r="R53" s="267">
        <v>365</v>
      </c>
      <c r="S53" s="268">
        <v>421</v>
      </c>
      <c r="V53" s="267">
        <v>1601</v>
      </c>
      <c r="W53" s="267">
        <v>1091.25</v>
      </c>
      <c r="X53" s="267">
        <v>1068.25</v>
      </c>
      <c r="Y53" s="267">
        <v>1051.25</v>
      </c>
      <c r="Z53" s="268">
        <v>1018.25</v>
      </c>
      <c r="AB53" s="267">
        <v>1556</v>
      </c>
      <c r="AC53" s="267">
        <v>1036.25</v>
      </c>
      <c r="AD53" s="267">
        <v>987.25</v>
      </c>
      <c r="AE53" s="267">
        <v>922.25</v>
      </c>
      <c r="AF53" s="268">
        <v>810.25</v>
      </c>
    </row>
    <row r="54" spans="1:32">
      <c r="A54" s="109"/>
      <c r="B54" s="280" t="s">
        <v>318</v>
      </c>
      <c r="C54" s="281" t="s">
        <v>461</v>
      </c>
      <c r="D54" s="188">
        <v>358</v>
      </c>
      <c r="E54" s="114">
        <v>3.25</v>
      </c>
      <c r="F54" s="239" t="s">
        <v>190</v>
      </c>
      <c r="G54" s="315"/>
      <c r="I54" s="282">
        <v>74</v>
      </c>
      <c r="J54" s="282">
        <v>84</v>
      </c>
      <c r="K54" s="282">
        <v>95</v>
      </c>
      <c r="L54" s="282">
        <v>104</v>
      </c>
      <c r="M54" s="283">
        <v>120</v>
      </c>
      <c r="O54" s="282">
        <v>96</v>
      </c>
      <c r="P54" s="282">
        <v>111</v>
      </c>
      <c r="Q54" s="282">
        <v>136</v>
      </c>
      <c r="R54" s="282">
        <v>179</v>
      </c>
      <c r="S54" s="283">
        <v>224</v>
      </c>
      <c r="V54" s="282">
        <v>210.25</v>
      </c>
      <c r="W54" s="282">
        <v>190.25</v>
      </c>
      <c r="X54" s="282">
        <v>167.24999999999989</v>
      </c>
      <c r="Y54" s="282">
        <v>150.25</v>
      </c>
      <c r="Z54" s="283">
        <v>117.25</v>
      </c>
      <c r="AB54" s="282">
        <v>165.25000000000006</v>
      </c>
      <c r="AC54" s="282">
        <v>135.25</v>
      </c>
      <c r="AD54" s="282">
        <v>86.25</v>
      </c>
      <c r="AE54" s="282">
        <v>0.25</v>
      </c>
      <c r="AF54" s="283">
        <v>-90.75</v>
      </c>
    </row>
    <row r="55" spans="1:32">
      <c r="B55" s="273" t="s">
        <v>318</v>
      </c>
      <c r="C55" s="286" t="s">
        <v>508</v>
      </c>
      <c r="D55" s="189">
        <v>1074</v>
      </c>
      <c r="E55" s="115">
        <v>3.25</v>
      </c>
      <c r="F55" s="237" t="s">
        <v>190</v>
      </c>
      <c r="G55" s="314"/>
      <c r="I55" s="267">
        <v>26</v>
      </c>
      <c r="J55" s="267">
        <v>222</v>
      </c>
      <c r="K55" s="267">
        <v>233</v>
      </c>
      <c r="L55" s="267">
        <v>242</v>
      </c>
      <c r="M55" s="268">
        <v>258</v>
      </c>
      <c r="O55" s="267">
        <v>49</v>
      </c>
      <c r="P55" s="267">
        <v>249</v>
      </c>
      <c r="Q55" s="267">
        <v>274</v>
      </c>
      <c r="R55" s="267">
        <v>306</v>
      </c>
      <c r="S55" s="268">
        <v>362</v>
      </c>
      <c r="V55" s="267">
        <v>1022</v>
      </c>
      <c r="W55" s="267">
        <v>630.25</v>
      </c>
      <c r="X55" s="267">
        <v>607.24999999999989</v>
      </c>
      <c r="Y55" s="267">
        <v>590.25</v>
      </c>
      <c r="Z55" s="268">
        <v>557.25</v>
      </c>
      <c r="AB55" s="267">
        <v>977</v>
      </c>
      <c r="AC55" s="267">
        <v>575.25</v>
      </c>
      <c r="AD55" s="267">
        <v>526.25</v>
      </c>
      <c r="AE55" s="267">
        <v>461.25</v>
      </c>
      <c r="AF55" s="268">
        <v>349.25</v>
      </c>
    </row>
    <row r="56" spans="1:32">
      <c r="A56" s="109"/>
      <c r="B56" s="280" t="s">
        <v>318</v>
      </c>
      <c r="C56" s="118" t="s">
        <v>630</v>
      </c>
      <c r="D56" s="188">
        <v>137</v>
      </c>
      <c r="E56" s="114">
        <v>3.75</v>
      </c>
      <c r="F56" s="239" t="s">
        <v>210</v>
      </c>
      <c r="G56" s="315"/>
      <c r="I56" s="282">
        <v>26</v>
      </c>
      <c r="J56" s="282">
        <v>36</v>
      </c>
      <c r="K56" s="282">
        <v>48</v>
      </c>
      <c r="L56" s="282">
        <v>56</v>
      </c>
      <c r="M56" s="283">
        <v>73</v>
      </c>
      <c r="O56" s="282">
        <v>49</v>
      </c>
      <c r="P56" s="282">
        <v>64</v>
      </c>
      <c r="Q56" s="282">
        <v>88</v>
      </c>
      <c r="R56" s="282">
        <v>112</v>
      </c>
      <c r="S56" s="283">
        <v>112</v>
      </c>
      <c r="V56" s="282">
        <v>85</v>
      </c>
      <c r="W56" s="282">
        <v>65</v>
      </c>
      <c r="X56" s="282">
        <v>41.999999999999886</v>
      </c>
      <c r="Y56" s="282">
        <v>25</v>
      </c>
      <c r="Z56" s="283">
        <v>-8</v>
      </c>
      <c r="AB56" s="282">
        <v>40.000000000000057</v>
      </c>
      <c r="AC56" s="282">
        <v>10</v>
      </c>
      <c r="AD56" s="282">
        <v>-39</v>
      </c>
      <c r="AE56" s="282">
        <v>-86.375</v>
      </c>
      <c r="AF56" s="283">
        <v>-86.375</v>
      </c>
    </row>
    <row r="57" spans="1:32">
      <c r="B57" s="273" t="s">
        <v>318</v>
      </c>
      <c r="C57" s="286" t="s">
        <v>537</v>
      </c>
      <c r="D57" s="189">
        <v>204</v>
      </c>
      <c r="E57" s="115">
        <v>3.75</v>
      </c>
      <c r="F57" s="237" t="s">
        <v>191</v>
      </c>
      <c r="G57" s="314"/>
      <c r="I57" s="267">
        <v>41</v>
      </c>
      <c r="J57" s="267">
        <v>51</v>
      </c>
      <c r="K57" s="267">
        <v>62</v>
      </c>
      <c r="L57" s="267">
        <v>71</v>
      </c>
      <c r="M57" s="268">
        <v>87</v>
      </c>
      <c r="O57" s="267">
        <v>63</v>
      </c>
      <c r="P57" s="267">
        <v>78</v>
      </c>
      <c r="Q57" s="267">
        <v>103</v>
      </c>
      <c r="R57" s="267">
        <v>135</v>
      </c>
      <c r="S57" s="268">
        <v>135</v>
      </c>
      <c r="V57" s="267">
        <v>122.75</v>
      </c>
      <c r="W57" s="267">
        <v>102.75</v>
      </c>
      <c r="X57" s="267">
        <v>79.749999999999886</v>
      </c>
      <c r="Y57" s="267">
        <v>62.75</v>
      </c>
      <c r="Z57" s="268">
        <v>29.75</v>
      </c>
      <c r="AB57" s="267">
        <v>77.750000000000057</v>
      </c>
      <c r="AC57" s="267">
        <v>47.75</v>
      </c>
      <c r="AD57" s="267">
        <v>-1.25</v>
      </c>
      <c r="AE57" s="267">
        <v>-66.25</v>
      </c>
      <c r="AF57" s="268">
        <v>-66.25</v>
      </c>
    </row>
    <row r="58" spans="1:32">
      <c r="A58" s="109"/>
      <c r="B58" s="280" t="s">
        <v>61</v>
      </c>
      <c r="C58" s="281" t="s">
        <v>482</v>
      </c>
      <c r="D58" s="188">
        <v>751</v>
      </c>
      <c r="E58" s="114">
        <v>5.33</v>
      </c>
      <c r="F58" s="239" t="s">
        <v>193</v>
      </c>
      <c r="G58" s="315"/>
      <c r="I58" s="282">
        <v>26</v>
      </c>
      <c r="J58" s="282">
        <v>134</v>
      </c>
      <c r="K58" s="282">
        <v>145</v>
      </c>
      <c r="L58" s="282">
        <v>154</v>
      </c>
      <c r="M58" s="283">
        <v>170</v>
      </c>
      <c r="O58" s="282">
        <v>49</v>
      </c>
      <c r="P58" s="282">
        <v>161</v>
      </c>
      <c r="Q58" s="282">
        <v>186</v>
      </c>
      <c r="R58" s="282">
        <v>218</v>
      </c>
      <c r="S58" s="283">
        <v>274</v>
      </c>
      <c r="V58" s="282">
        <v>699</v>
      </c>
      <c r="W58" s="282">
        <v>483.33000000000004</v>
      </c>
      <c r="X58" s="282">
        <v>460.32999999999993</v>
      </c>
      <c r="Y58" s="282">
        <v>443.33000000000004</v>
      </c>
      <c r="Z58" s="283">
        <v>410.33000000000004</v>
      </c>
      <c r="AB58" s="282">
        <v>654</v>
      </c>
      <c r="AC58" s="282">
        <v>428.33000000000004</v>
      </c>
      <c r="AD58" s="282">
        <v>379.33000000000004</v>
      </c>
      <c r="AE58" s="282">
        <v>314.33000000000004</v>
      </c>
      <c r="AF58" s="283">
        <v>202.33000000000004</v>
      </c>
    </row>
    <row r="59" spans="1:32">
      <c r="B59" s="273" t="s">
        <v>61</v>
      </c>
      <c r="C59" s="286" t="s">
        <v>509</v>
      </c>
      <c r="D59" s="189">
        <v>915</v>
      </c>
      <c r="E59" s="115">
        <v>5.33</v>
      </c>
      <c r="F59" s="237" t="s">
        <v>193</v>
      </c>
      <c r="G59" s="314"/>
      <c r="I59" s="267">
        <v>26</v>
      </c>
      <c r="J59" s="267">
        <v>186</v>
      </c>
      <c r="K59" s="267">
        <v>197</v>
      </c>
      <c r="L59" s="267">
        <v>206</v>
      </c>
      <c r="M59" s="268">
        <v>222</v>
      </c>
      <c r="O59" s="267">
        <v>49</v>
      </c>
      <c r="P59" s="267">
        <v>213</v>
      </c>
      <c r="Q59" s="267">
        <v>238</v>
      </c>
      <c r="R59" s="267">
        <v>280</v>
      </c>
      <c r="S59" s="268">
        <v>336</v>
      </c>
      <c r="V59" s="267">
        <v>863</v>
      </c>
      <c r="W59" s="267">
        <v>543.33000000000004</v>
      </c>
      <c r="X59" s="267">
        <v>520.32999999999993</v>
      </c>
      <c r="Y59" s="267">
        <v>503.33000000000004</v>
      </c>
      <c r="Z59" s="268">
        <v>470.33000000000004</v>
      </c>
      <c r="AB59" s="267">
        <v>818</v>
      </c>
      <c r="AC59" s="267">
        <v>488.33000000000004</v>
      </c>
      <c r="AD59" s="267">
        <v>439.33000000000004</v>
      </c>
      <c r="AE59" s="267">
        <v>354.33000000000004</v>
      </c>
      <c r="AF59" s="268">
        <v>242.33000000000004</v>
      </c>
    </row>
    <row r="60" spans="1:32">
      <c r="A60" s="109"/>
      <c r="B60" s="280" t="s">
        <v>62</v>
      </c>
      <c r="C60" s="118" t="s">
        <v>631</v>
      </c>
      <c r="D60" s="191">
        <v>367</v>
      </c>
      <c r="E60" s="300">
        <v>3.75</v>
      </c>
      <c r="F60" s="239" t="s">
        <v>210</v>
      </c>
      <c r="G60" s="315"/>
      <c r="I60" s="265">
        <v>44</v>
      </c>
      <c r="J60" s="265">
        <v>54</v>
      </c>
      <c r="K60" s="265">
        <v>66</v>
      </c>
      <c r="L60" s="265">
        <v>74</v>
      </c>
      <c r="M60" s="266">
        <v>91</v>
      </c>
      <c r="O60" s="265">
        <v>67</v>
      </c>
      <c r="P60" s="265">
        <v>82</v>
      </c>
      <c r="Q60" s="265">
        <v>106</v>
      </c>
      <c r="R60" s="265">
        <v>139</v>
      </c>
      <c r="S60" s="266">
        <v>195</v>
      </c>
      <c r="V60" s="265">
        <v>278.95</v>
      </c>
      <c r="W60" s="265">
        <v>258.95</v>
      </c>
      <c r="X60" s="265">
        <v>235.94999999999987</v>
      </c>
      <c r="Y60" s="265">
        <v>218.95</v>
      </c>
      <c r="Z60" s="266">
        <v>185.95</v>
      </c>
      <c r="AB60" s="265">
        <v>233.95000000000005</v>
      </c>
      <c r="AC60" s="265">
        <v>203.95</v>
      </c>
      <c r="AD60" s="265">
        <v>154.94999999999999</v>
      </c>
      <c r="AE60" s="265">
        <v>89.949999999999989</v>
      </c>
      <c r="AF60" s="266">
        <v>-22.050000000000011</v>
      </c>
    </row>
    <row r="61" spans="1:32">
      <c r="B61" s="273" t="s">
        <v>62</v>
      </c>
      <c r="C61" s="286" t="s">
        <v>538</v>
      </c>
      <c r="D61" s="189">
        <v>623</v>
      </c>
      <c r="E61" s="115">
        <v>3.75</v>
      </c>
      <c r="F61" s="237" t="s">
        <v>191</v>
      </c>
      <c r="G61" s="314"/>
      <c r="I61" s="267">
        <v>26</v>
      </c>
      <c r="J61" s="267">
        <v>70</v>
      </c>
      <c r="K61" s="267">
        <v>81</v>
      </c>
      <c r="L61" s="267">
        <v>90</v>
      </c>
      <c r="M61" s="268">
        <v>106</v>
      </c>
      <c r="O61" s="267">
        <v>49</v>
      </c>
      <c r="P61" s="267">
        <v>97</v>
      </c>
      <c r="Q61" s="267">
        <v>122</v>
      </c>
      <c r="R61" s="267">
        <v>154</v>
      </c>
      <c r="S61" s="268">
        <v>210</v>
      </c>
      <c r="V61" s="267">
        <v>571</v>
      </c>
      <c r="W61" s="267">
        <v>483.99</v>
      </c>
      <c r="X61" s="267">
        <v>460.9899999999999</v>
      </c>
      <c r="Y61" s="267">
        <v>443.99</v>
      </c>
      <c r="Z61" s="268">
        <v>410.99</v>
      </c>
      <c r="AB61" s="267">
        <v>526</v>
      </c>
      <c r="AC61" s="267">
        <v>428.99</v>
      </c>
      <c r="AD61" s="267">
        <v>379.99</v>
      </c>
      <c r="AE61" s="267">
        <v>314.99</v>
      </c>
      <c r="AF61" s="268">
        <v>202.99</v>
      </c>
    </row>
    <row r="62" spans="1:32">
      <c r="A62" s="109"/>
      <c r="B62" s="280" t="s">
        <v>62</v>
      </c>
      <c r="C62" s="281" t="s">
        <v>539</v>
      </c>
      <c r="D62" s="188">
        <v>847</v>
      </c>
      <c r="E62" s="114">
        <v>3.75</v>
      </c>
      <c r="F62" s="239" t="s">
        <v>191</v>
      </c>
      <c r="G62" s="315"/>
      <c r="I62" s="282">
        <v>26</v>
      </c>
      <c r="J62" s="282">
        <v>89</v>
      </c>
      <c r="K62" s="282">
        <v>101</v>
      </c>
      <c r="L62" s="282">
        <v>109</v>
      </c>
      <c r="M62" s="283">
        <v>126</v>
      </c>
      <c r="O62" s="282">
        <v>49</v>
      </c>
      <c r="P62" s="282">
        <v>117</v>
      </c>
      <c r="Q62" s="282">
        <v>141</v>
      </c>
      <c r="R62" s="282">
        <v>174</v>
      </c>
      <c r="S62" s="283">
        <v>230</v>
      </c>
      <c r="V62" s="282">
        <v>795</v>
      </c>
      <c r="W62" s="282">
        <v>668.39</v>
      </c>
      <c r="X62" s="282">
        <v>645.38999999999987</v>
      </c>
      <c r="Y62" s="282">
        <v>628.39</v>
      </c>
      <c r="Z62" s="283">
        <v>595.39</v>
      </c>
      <c r="AB62" s="282">
        <v>750</v>
      </c>
      <c r="AC62" s="282">
        <v>613.39</v>
      </c>
      <c r="AD62" s="282">
        <v>564.39</v>
      </c>
      <c r="AE62" s="282">
        <v>499.39</v>
      </c>
      <c r="AF62" s="283">
        <v>387.39</v>
      </c>
    </row>
    <row r="63" spans="1:32">
      <c r="B63" s="273" t="s">
        <v>62</v>
      </c>
      <c r="C63" s="286" t="s">
        <v>540</v>
      </c>
      <c r="D63" s="189">
        <v>1044</v>
      </c>
      <c r="E63" s="115">
        <v>3.75</v>
      </c>
      <c r="F63" s="237" t="s">
        <v>191</v>
      </c>
      <c r="G63" s="314"/>
      <c r="I63" s="267">
        <v>26</v>
      </c>
      <c r="J63" s="267">
        <v>96</v>
      </c>
      <c r="K63" s="267">
        <v>107</v>
      </c>
      <c r="L63" s="267">
        <v>116</v>
      </c>
      <c r="M63" s="268">
        <v>132</v>
      </c>
      <c r="O63" s="267">
        <v>49</v>
      </c>
      <c r="P63" s="267">
        <v>123</v>
      </c>
      <c r="Q63" s="267">
        <v>148</v>
      </c>
      <c r="R63" s="267">
        <v>180</v>
      </c>
      <c r="S63" s="268">
        <v>236</v>
      </c>
      <c r="V63" s="267">
        <v>992</v>
      </c>
      <c r="W63" s="267">
        <v>852.79</v>
      </c>
      <c r="X63" s="267">
        <v>829.78999999999985</v>
      </c>
      <c r="Y63" s="267">
        <v>812.79</v>
      </c>
      <c r="Z63" s="268">
        <v>779.79</v>
      </c>
      <c r="AB63" s="267">
        <v>947</v>
      </c>
      <c r="AC63" s="267">
        <v>797.79</v>
      </c>
      <c r="AD63" s="267">
        <v>748.79</v>
      </c>
      <c r="AE63" s="267">
        <v>683.79</v>
      </c>
      <c r="AF63" s="268">
        <v>571.79</v>
      </c>
    </row>
    <row r="64" spans="1:32">
      <c r="A64" s="109"/>
      <c r="B64" s="280" t="s">
        <v>62</v>
      </c>
      <c r="C64" s="281" t="s">
        <v>330</v>
      </c>
      <c r="D64" s="188">
        <v>920</v>
      </c>
      <c r="E64" s="114">
        <v>3.25</v>
      </c>
      <c r="F64" s="239" t="s">
        <v>190</v>
      </c>
      <c r="G64" s="315"/>
      <c r="I64" s="265">
        <v>26</v>
      </c>
      <c r="J64" s="265">
        <v>198</v>
      </c>
      <c r="K64" s="265">
        <v>210</v>
      </c>
      <c r="L64" s="265">
        <v>218</v>
      </c>
      <c r="M64" s="266">
        <v>235</v>
      </c>
      <c r="O64" s="265">
        <v>49</v>
      </c>
      <c r="P64" s="265">
        <v>226</v>
      </c>
      <c r="Q64" s="265">
        <v>248</v>
      </c>
      <c r="R64" s="265">
        <v>278</v>
      </c>
      <c r="S64" s="266">
        <v>331</v>
      </c>
      <c r="V64" s="265">
        <v>868</v>
      </c>
      <c r="W64" s="265">
        <v>523.25</v>
      </c>
      <c r="X64" s="265">
        <v>500.24999999999989</v>
      </c>
      <c r="Y64" s="265">
        <v>483.25</v>
      </c>
      <c r="Z64" s="266">
        <v>450.25</v>
      </c>
      <c r="AB64" s="265">
        <v>823</v>
      </c>
      <c r="AC64" s="265">
        <v>468.25</v>
      </c>
      <c r="AD64" s="265">
        <v>424.25</v>
      </c>
      <c r="AE64" s="265">
        <v>364.25</v>
      </c>
      <c r="AF64" s="266">
        <v>257.25</v>
      </c>
    </row>
    <row r="65" spans="1:32">
      <c r="B65" s="273" t="s">
        <v>62</v>
      </c>
      <c r="C65" s="286" t="s">
        <v>424</v>
      </c>
      <c r="D65" s="189">
        <v>883</v>
      </c>
      <c r="E65" s="115">
        <v>3.25</v>
      </c>
      <c r="F65" s="237" t="s">
        <v>190</v>
      </c>
      <c r="G65" s="314"/>
      <c r="I65" s="267">
        <v>26</v>
      </c>
      <c r="J65" s="267">
        <v>153</v>
      </c>
      <c r="K65" s="267">
        <v>164</v>
      </c>
      <c r="L65" s="267">
        <v>173</v>
      </c>
      <c r="M65" s="268">
        <v>189</v>
      </c>
      <c r="O65" s="267">
        <v>49</v>
      </c>
      <c r="P65" s="267">
        <v>180</v>
      </c>
      <c r="Q65" s="267">
        <v>205</v>
      </c>
      <c r="R65" s="267">
        <v>232</v>
      </c>
      <c r="S65" s="268">
        <v>286</v>
      </c>
      <c r="V65" s="267">
        <v>831</v>
      </c>
      <c r="W65" s="267">
        <v>577.25</v>
      </c>
      <c r="X65" s="267">
        <v>554.24999999999989</v>
      </c>
      <c r="Y65" s="267">
        <v>537.25</v>
      </c>
      <c r="Z65" s="268">
        <v>504.25</v>
      </c>
      <c r="AB65" s="267">
        <v>786</v>
      </c>
      <c r="AC65" s="267">
        <v>522.25</v>
      </c>
      <c r="AD65" s="267">
        <v>473.25</v>
      </c>
      <c r="AE65" s="267">
        <v>418.25</v>
      </c>
      <c r="AF65" s="268">
        <v>311.25</v>
      </c>
    </row>
    <row r="66" spans="1:32">
      <c r="A66" s="109"/>
      <c r="B66" s="280" t="s">
        <v>62</v>
      </c>
      <c r="C66" s="281" t="s">
        <v>589</v>
      </c>
      <c r="D66" s="188">
        <v>883</v>
      </c>
      <c r="E66" s="114">
        <v>3.25</v>
      </c>
      <c r="F66" s="239" t="s">
        <v>190</v>
      </c>
      <c r="G66" s="315"/>
      <c r="I66" s="282">
        <v>26</v>
      </c>
      <c r="J66" s="282">
        <v>115</v>
      </c>
      <c r="K66" s="282">
        <v>126</v>
      </c>
      <c r="L66" s="282">
        <v>135</v>
      </c>
      <c r="M66" s="283">
        <v>151</v>
      </c>
      <c r="O66" s="282">
        <v>49</v>
      </c>
      <c r="P66" s="282">
        <v>142</v>
      </c>
      <c r="Q66" s="282">
        <v>164</v>
      </c>
      <c r="R66" s="282">
        <v>194</v>
      </c>
      <c r="S66" s="283">
        <v>248</v>
      </c>
      <c r="V66" s="282">
        <v>831</v>
      </c>
      <c r="W66" s="282">
        <v>653.25</v>
      </c>
      <c r="X66" s="282">
        <v>630.24999999999989</v>
      </c>
      <c r="Y66" s="282">
        <v>613.25</v>
      </c>
      <c r="Z66" s="283">
        <v>580.25</v>
      </c>
      <c r="AB66" s="282">
        <v>786</v>
      </c>
      <c r="AC66" s="282">
        <v>598.25</v>
      </c>
      <c r="AD66" s="282">
        <v>554.25</v>
      </c>
      <c r="AE66" s="282">
        <v>494.25</v>
      </c>
      <c r="AF66" s="283">
        <v>387.25</v>
      </c>
    </row>
    <row r="67" spans="1:32">
      <c r="B67" s="273" t="s">
        <v>62</v>
      </c>
      <c r="C67" s="286" t="s">
        <v>590</v>
      </c>
      <c r="D67" s="189">
        <v>983</v>
      </c>
      <c r="E67" s="115">
        <v>3.25</v>
      </c>
      <c r="F67" s="237" t="s">
        <v>190</v>
      </c>
      <c r="G67" s="314"/>
      <c r="I67" s="267">
        <v>26</v>
      </c>
      <c r="J67" s="267">
        <v>115</v>
      </c>
      <c r="K67" s="267">
        <v>126</v>
      </c>
      <c r="L67" s="267">
        <v>135</v>
      </c>
      <c r="M67" s="268">
        <v>151</v>
      </c>
      <c r="O67" s="267">
        <v>49</v>
      </c>
      <c r="P67" s="267">
        <v>142</v>
      </c>
      <c r="Q67" s="267">
        <v>164</v>
      </c>
      <c r="R67" s="267">
        <v>194</v>
      </c>
      <c r="S67" s="268">
        <v>248</v>
      </c>
      <c r="V67" s="267">
        <v>931</v>
      </c>
      <c r="W67" s="267">
        <v>753.25</v>
      </c>
      <c r="X67" s="267">
        <v>730.24999999999989</v>
      </c>
      <c r="Y67" s="267">
        <v>713.25</v>
      </c>
      <c r="Z67" s="268">
        <v>680.25</v>
      </c>
      <c r="AB67" s="267">
        <v>886</v>
      </c>
      <c r="AC67" s="267">
        <v>698.25</v>
      </c>
      <c r="AD67" s="267">
        <v>654.25</v>
      </c>
      <c r="AE67" s="267">
        <v>594.25</v>
      </c>
      <c r="AF67" s="268">
        <v>487.25</v>
      </c>
    </row>
    <row r="68" spans="1:32">
      <c r="A68" s="109"/>
      <c r="B68" s="280" t="s">
        <v>62</v>
      </c>
      <c r="C68" s="281" t="s">
        <v>591</v>
      </c>
      <c r="D68" s="188">
        <v>998</v>
      </c>
      <c r="E68" s="114">
        <v>3.25</v>
      </c>
      <c r="F68" s="239" t="s">
        <v>190</v>
      </c>
      <c r="G68" s="315"/>
      <c r="I68" s="265">
        <v>26</v>
      </c>
      <c r="J68" s="265">
        <v>115</v>
      </c>
      <c r="K68" s="265">
        <v>126</v>
      </c>
      <c r="L68" s="265">
        <v>135</v>
      </c>
      <c r="M68" s="266">
        <v>151</v>
      </c>
      <c r="O68" s="265">
        <v>49</v>
      </c>
      <c r="P68" s="265">
        <v>142</v>
      </c>
      <c r="Q68" s="265">
        <v>164</v>
      </c>
      <c r="R68" s="265">
        <v>194</v>
      </c>
      <c r="S68" s="266">
        <v>248</v>
      </c>
      <c r="V68" s="265">
        <v>946</v>
      </c>
      <c r="W68" s="265">
        <v>768.25</v>
      </c>
      <c r="X68" s="265">
        <v>745.24999999999989</v>
      </c>
      <c r="Y68" s="265">
        <v>728.25</v>
      </c>
      <c r="Z68" s="266">
        <v>695.25</v>
      </c>
      <c r="AB68" s="265">
        <v>901</v>
      </c>
      <c r="AC68" s="265">
        <v>713.25</v>
      </c>
      <c r="AD68" s="265">
        <v>669.25</v>
      </c>
      <c r="AE68" s="265">
        <v>609.25</v>
      </c>
      <c r="AF68" s="266">
        <v>502.25</v>
      </c>
    </row>
    <row r="69" spans="1:32">
      <c r="B69" s="273" t="s">
        <v>62</v>
      </c>
      <c r="C69" s="286" t="s">
        <v>592</v>
      </c>
      <c r="D69" s="189">
        <v>1097</v>
      </c>
      <c r="E69" s="115">
        <v>3.25</v>
      </c>
      <c r="F69" s="237" t="s">
        <v>190</v>
      </c>
      <c r="G69" s="314"/>
      <c r="I69" s="267">
        <v>26</v>
      </c>
      <c r="J69" s="267">
        <v>115</v>
      </c>
      <c r="K69" s="267">
        <v>126</v>
      </c>
      <c r="L69" s="267">
        <v>135</v>
      </c>
      <c r="M69" s="268">
        <v>151</v>
      </c>
      <c r="O69" s="267">
        <v>49</v>
      </c>
      <c r="P69" s="267">
        <v>142</v>
      </c>
      <c r="Q69" s="267">
        <v>164</v>
      </c>
      <c r="R69" s="267">
        <v>194</v>
      </c>
      <c r="S69" s="268">
        <v>248</v>
      </c>
      <c r="V69" s="267">
        <v>1045</v>
      </c>
      <c r="W69" s="267">
        <v>867.25</v>
      </c>
      <c r="X69" s="267">
        <v>844.24999999999989</v>
      </c>
      <c r="Y69" s="267">
        <v>827.25</v>
      </c>
      <c r="Z69" s="268">
        <v>794.25</v>
      </c>
      <c r="AB69" s="267">
        <v>1000</v>
      </c>
      <c r="AC69" s="267">
        <v>812.25</v>
      </c>
      <c r="AD69" s="267">
        <v>768.25</v>
      </c>
      <c r="AE69" s="267">
        <v>708.25</v>
      </c>
      <c r="AF69" s="268">
        <v>601.25</v>
      </c>
    </row>
    <row r="70" spans="1:32">
      <c r="A70" s="109"/>
      <c r="B70" s="280" t="s">
        <v>62</v>
      </c>
      <c r="C70" s="281" t="s">
        <v>593</v>
      </c>
      <c r="D70" s="188">
        <v>1074</v>
      </c>
      <c r="E70" s="114">
        <v>3.25</v>
      </c>
      <c r="F70" s="239" t="s">
        <v>190</v>
      </c>
      <c r="G70" s="315"/>
      <c r="I70" s="282">
        <v>26</v>
      </c>
      <c r="J70" s="282">
        <v>116</v>
      </c>
      <c r="K70" s="282">
        <v>127</v>
      </c>
      <c r="L70" s="282">
        <v>136</v>
      </c>
      <c r="M70" s="283">
        <v>152</v>
      </c>
      <c r="O70" s="282">
        <v>49</v>
      </c>
      <c r="P70" s="282">
        <v>143</v>
      </c>
      <c r="Q70" s="282">
        <v>165</v>
      </c>
      <c r="R70" s="282">
        <v>195</v>
      </c>
      <c r="S70" s="283">
        <v>249</v>
      </c>
      <c r="V70" s="282">
        <v>1022</v>
      </c>
      <c r="W70" s="282">
        <v>842.25</v>
      </c>
      <c r="X70" s="282">
        <v>819.24999999999989</v>
      </c>
      <c r="Y70" s="282">
        <v>802.25</v>
      </c>
      <c r="Z70" s="283">
        <v>769.25</v>
      </c>
      <c r="AB70" s="282">
        <v>977</v>
      </c>
      <c r="AC70" s="282">
        <v>787.25</v>
      </c>
      <c r="AD70" s="282">
        <v>743.25</v>
      </c>
      <c r="AE70" s="282">
        <v>683.25</v>
      </c>
      <c r="AF70" s="283">
        <v>576.25</v>
      </c>
    </row>
    <row r="71" spans="1:32">
      <c r="B71" s="273" t="s">
        <v>62</v>
      </c>
      <c r="C71" s="286" t="s">
        <v>594</v>
      </c>
      <c r="D71" s="189">
        <v>1174</v>
      </c>
      <c r="E71" s="115">
        <v>3.25</v>
      </c>
      <c r="F71" s="237" t="s">
        <v>190</v>
      </c>
      <c r="G71" s="314"/>
      <c r="I71" s="267">
        <v>26</v>
      </c>
      <c r="J71" s="267">
        <v>116</v>
      </c>
      <c r="K71" s="267">
        <v>127</v>
      </c>
      <c r="L71" s="267">
        <v>136</v>
      </c>
      <c r="M71" s="268">
        <v>152</v>
      </c>
      <c r="O71" s="267">
        <v>49</v>
      </c>
      <c r="P71" s="267">
        <v>143</v>
      </c>
      <c r="Q71" s="267">
        <v>165</v>
      </c>
      <c r="R71" s="267">
        <v>195</v>
      </c>
      <c r="S71" s="268">
        <v>249</v>
      </c>
      <c r="V71" s="267">
        <v>1122</v>
      </c>
      <c r="W71" s="267">
        <v>942.25</v>
      </c>
      <c r="X71" s="267">
        <v>919.25</v>
      </c>
      <c r="Y71" s="267">
        <v>902.25</v>
      </c>
      <c r="Z71" s="268">
        <v>869.25</v>
      </c>
      <c r="AB71" s="267">
        <v>1077</v>
      </c>
      <c r="AC71" s="267">
        <v>887.25</v>
      </c>
      <c r="AD71" s="267">
        <v>843.25</v>
      </c>
      <c r="AE71" s="267">
        <v>783.25</v>
      </c>
      <c r="AF71" s="268">
        <v>676.25</v>
      </c>
    </row>
    <row r="72" spans="1:32">
      <c r="A72" s="109"/>
      <c r="B72" s="280" t="s">
        <v>62</v>
      </c>
      <c r="C72" s="281" t="s">
        <v>595</v>
      </c>
      <c r="D72" s="188">
        <v>1265</v>
      </c>
      <c r="E72" s="114">
        <v>3.25</v>
      </c>
      <c r="F72" s="239" t="s">
        <v>190</v>
      </c>
      <c r="G72" s="315"/>
      <c r="I72" s="265">
        <v>26</v>
      </c>
      <c r="J72" s="265">
        <v>116</v>
      </c>
      <c r="K72" s="265">
        <v>127</v>
      </c>
      <c r="L72" s="265">
        <v>136</v>
      </c>
      <c r="M72" s="266">
        <v>152</v>
      </c>
      <c r="O72" s="265">
        <v>49</v>
      </c>
      <c r="P72" s="265">
        <v>143</v>
      </c>
      <c r="Q72" s="265">
        <v>165</v>
      </c>
      <c r="R72" s="265">
        <v>195</v>
      </c>
      <c r="S72" s="266">
        <v>249</v>
      </c>
      <c r="V72" s="265">
        <v>1213</v>
      </c>
      <c r="W72" s="265">
        <v>1033.25</v>
      </c>
      <c r="X72" s="265">
        <v>1010.25</v>
      </c>
      <c r="Y72" s="265">
        <v>993.25</v>
      </c>
      <c r="Z72" s="266">
        <v>960.25</v>
      </c>
      <c r="AB72" s="265">
        <v>1168</v>
      </c>
      <c r="AC72" s="265">
        <v>978.25</v>
      </c>
      <c r="AD72" s="265">
        <v>934.25</v>
      </c>
      <c r="AE72" s="265">
        <v>874.25</v>
      </c>
      <c r="AF72" s="266">
        <v>767.25</v>
      </c>
    </row>
    <row r="73" spans="1:32">
      <c r="B73" s="273" t="s">
        <v>62</v>
      </c>
      <c r="C73" s="286" t="s">
        <v>596</v>
      </c>
      <c r="D73" s="189">
        <v>1456</v>
      </c>
      <c r="E73" s="115">
        <v>3.25</v>
      </c>
      <c r="F73" s="237" t="s">
        <v>190</v>
      </c>
      <c r="G73" s="314"/>
      <c r="I73" s="267">
        <v>26</v>
      </c>
      <c r="J73" s="267">
        <v>116</v>
      </c>
      <c r="K73" s="267">
        <v>127</v>
      </c>
      <c r="L73" s="267">
        <v>136</v>
      </c>
      <c r="M73" s="268">
        <v>152</v>
      </c>
      <c r="O73" s="267">
        <v>49</v>
      </c>
      <c r="P73" s="267">
        <v>143</v>
      </c>
      <c r="Q73" s="267">
        <v>165</v>
      </c>
      <c r="R73" s="267">
        <v>195</v>
      </c>
      <c r="S73" s="268">
        <v>249</v>
      </c>
      <c r="V73" s="267">
        <v>1404</v>
      </c>
      <c r="W73" s="267">
        <v>1224.25</v>
      </c>
      <c r="X73" s="267">
        <v>1201.25</v>
      </c>
      <c r="Y73" s="267">
        <v>1184.25</v>
      </c>
      <c r="Z73" s="268">
        <v>1151.25</v>
      </c>
      <c r="AB73" s="267">
        <v>1359</v>
      </c>
      <c r="AC73" s="267">
        <v>1169.25</v>
      </c>
      <c r="AD73" s="267">
        <v>1125.25</v>
      </c>
      <c r="AE73" s="267">
        <v>1065.25</v>
      </c>
      <c r="AF73" s="268">
        <v>958.25</v>
      </c>
    </row>
    <row r="74" spans="1:32">
      <c r="A74" s="109"/>
      <c r="B74" s="280" t="s">
        <v>167</v>
      </c>
      <c r="C74" s="281" t="s">
        <v>425</v>
      </c>
      <c r="D74" s="188">
        <v>462</v>
      </c>
      <c r="E74" s="114">
        <v>5.33</v>
      </c>
      <c r="F74" s="239" t="s">
        <v>193</v>
      </c>
      <c r="G74" s="315"/>
      <c r="I74" s="282">
        <v>64</v>
      </c>
      <c r="J74" s="282">
        <v>74</v>
      </c>
      <c r="K74" s="282">
        <v>86</v>
      </c>
      <c r="L74" s="282">
        <v>94</v>
      </c>
      <c r="M74" s="283">
        <v>111</v>
      </c>
      <c r="O74" s="282">
        <v>87</v>
      </c>
      <c r="P74" s="282">
        <v>102</v>
      </c>
      <c r="Q74" s="282">
        <v>126</v>
      </c>
      <c r="R74" s="282">
        <v>159</v>
      </c>
      <c r="S74" s="283">
        <v>215</v>
      </c>
      <c r="V74" s="282">
        <v>333.33</v>
      </c>
      <c r="W74" s="282">
        <v>313.33</v>
      </c>
      <c r="X74" s="282">
        <v>290.32999999999987</v>
      </c>
      <c r="Y74" s="282">
        <v>273.33</v>
      </c>
      <c r="Z74" s="283">
        <v>240.32999999999998</v>
      </c>
      <c r="AB74" s="282">
        <v>288.33000000000004</v>
      </c>
      <c r="AC74" s="282">
        <v>258.33</v>
      </c>
      <c r="AD74" s="282">
        <v>209.32999999999998</v>
      </c>
      <c r="AE74" s="282">
        <v>144.32999999999998</v>
      </c>
      <c r="AF74" s="283">
        <v>32.329999999999984</v>
      </c>
    </row>
    <row r="75" spans="1:32">
      <c r="B75" s="273" t="s">
        <v>167</v>
      </c>
      <c r="C75" s="286" t="s">
        <v>620</v>
      </c>
      <c r="D75" s="189">
        <v>620</v>
      </c>
      <c r="E75" s="115">
        <v>5.33</v>
      </c>
      <c r="F75" s="237" t="s">
        <v>193</v>
      </c>
      <c r="G75" s="314"/>
      <c r="I75" s="267">
        <v>26</v>
      </c>
      <c r="J75" s="267">
        <v>94</v>
      </c>
      <c r="K75" s="267">
        <v>106</v>
      </c>
      <c r="L75" s="267">
        <v>114</v>
      </c>
      <c r="M75" s="268">
        <v>131</v>
      </c>
      <c r="O75" s="267">
        <v>49</v>
      </c>
      <c r="P75" s="267">
        <v>122</v>
      </c>
      <c r="Q75" s="267">
        <v>146</v>
      </c>
      <c r="R75" s="267">
        <v>179</v>
      </c>
      <c r="S75" s="268">
        <v>235</v>
      </c>
      <c r="V75" s="267">
        <v>568</v>
      </c>
      <c r="W75" s="267">
        <v>431.59000000000003</v>
      </c>
      <c r="X75" s="267">
        <v>408.58999999999992</v>
      </c>
      <c r="Y75" s="267">
        <v>391.59000000000003</v>
      </c>
      <c r="Z75" s="268">
        <v>358.59000000000003</v>
      </c>
      <c r="AB75" s="267">
        <v>523</v>
      </c>
      <c r="AC75" s="267">
        <v>376.59000000000003</v>
      </c>
      <c r="AD75" s="267">
        <v>327.59000000000003</v>
      </c>
      <c r="AE75" s="267">
        <v>262.59000000000003</v>
      </c>
      <c r="AF75" s="268">
        <v>150.59000000000003</v>
      </c>
    </row>
    <row r="76" spans="1:32">
      <c r="A76" s="109"/>
      <c r="B76" s="280" t="s">
        <v>167</v>
      </c>
      <c r="C76" s="281" t="s">
        <v>410</v>
      </c>
      <c r="D76" s="188">
        <v>638</v>
      </c>
      <c r="E76" s="114">
        <v>5.33</v>
      </c>
      <c r="F76" s="239" t="s">
        <v>193</v>
      </c>
      <c r="G76" s="315"/>
      <c r="I76" s="265">
        <v>26</v>
      </c>
      <c r="J76" s="265">
        <v>78</v>
      </c>
      <c r="K76" s="265">
        <v>90</v>
      </c>
      <c r="L76" s="265">
        <v>98</v>
      </c>
      <c r="M76" s="266">
        <v>115</v>
      </c>
      <c r="O76" s="265">
        <v>49</v>
      </c>
      <c r="P76" s="265">
        <v>106</v>
      </c>
      <c r="Q76" s="265">
        <v>130</v>
      </c>
      <c r="R76" s="265">
        <v>210</v>
      </c>
      <c r="S76" s="266">
        <v>265</v>
      </c>
      <c r="V76" s="265">
        <v>586</v>
      </c>
      <c r="W76" s="265">
        <v>481.59000000000003</v>
      </c>
      <c r="X76" s="265">
        <v>458.58999999999992</v>
      </c>
      <c r="Y76" s="265">
        <v>441.59000000000003</v>
      </c>
      <c r="Z76" s="266">
        <v>408.59000000000003</v>
      </c>
      <c r="AB76" s="265">
        <v>541</v>
      </c>
      <c r="AC76" s="265">
        <v>426.59000000000003</v>
      </c>
      <c r="AD76" s="265">
        <v>377.59000000000003</v>
      </c>
      <c r="AE76" s="265">
        <v>218.59000000000003</v>
      </c>
      <c r="AF76" s="266">
        <v>108.59000000000003</v>
      </c>
    </row>
    <row r="77" spans="1:32">
      <c r="B77" s="273" t="s">
        <v>167</v>
      </c>
      <c r="C77" s="286" t="s">
        <v>597</v>
      </c>
      <c r="D77" s="189">
        <v>915</v>
      </c>
      <c r="E77" s="115">
        <v>5.33</v>
      </c>
      <c r="F77" s="237" t="s">
        <v>193</v>
      </c>
      <c r="G77" s="314"/>
      <c r="I77" s="267">
        <v>26</v>
      </c>
      <c r="J77" s="267">
        <v>121</v>
      </c>
      <c r="K77" s="267">
        <v>133</v>
      </c>
      <c r="L77" s="267">
        <v>141</v>
      </c>
      <c r="M77" s="268">
        <v>158</v>
      </c>
      <c r="O77" s="267">
        <v>49</v>
      </c>
      <c r="P77" s="267">
        <v>149</v>
      </c>
      <c r="Q77" s="267">
        <v>173</v>
      </c>
      <c r="R77" s="267">
        <v>206</v>
      </c>
      <c r="S77" s="268">
        <v>262</v>
      </c>
      <c r="V77" s="267">
        <v>863</v>
      </c>
      <c r="W77" s="267">
        <v>672.33</v>
      </c>
      <c r="X77" s="267">
        <v>649.32999999999993</v>
      </c>
      <c r="Y77" s="267">
        <v>632.33000000000004</v>
      </c>
      <c r="Z77" s="268">
        <v>599.33000000000004</v>
      </c>
      <c r="AB77" s="267">
        <v>818</v>
      </c>
      <c r="AC77" s="267">
        <v>617.33000000000004</v>
      </c>
      <c r="AD77" s="267">
        <v>568.33000000000004</v>
      </c>
      <c r="AE77" s="267">
        <v>503.33000000000004</v>
      </c>
      <c r="AF77" s="268">
        <v>391.33000000000004</v>
      </c>
    </row>
    <row r="78" spans="1:32">
      <c r="A78" s="109"/>
      <c r="B78" s="280" t="s">
        <v>167</v>
      </c>
      <c r="C78" s="281" t="s">
        <v>450</v>
      </c>
      <c r="D78" s="188">
        <v>948</v>
      </c>
      <c r="E78" s="114">
        <v>5.33</v>
      </c>
      <c r="F78" s="239" t="s">
        <v>193</v>
      </c>
      <c r="G78" s="315"/>
      <c r="I78" s="282">
        <v>26</v>
      </c>
      <c r="J78" s="282">
        <v>95</v>
      </c>
      <c r="K78" s="282">
        <v>106</v>
      </c>
      <c r="L78" s="282">
        <v>115</v>
      </c>
      <c r="M78" s="283">
        <v>131</v>
      </c>
      <c r="O78" s="282">
        <v>49</v>
      </c>
      <c r="P78" s="282">
        <v>122</v>
      </c>
      <c r="Q78" s="282">
        <v>147</v>
      </c>
      <c r="R78" s="282">
        <v>179</v>
      </c>
      <c r="S78" s="283">
        <v>235</v>
      </c>
      <c r="V78" s="282">
        <v>896</v>
      </c>
      <c r="W78" s="282">
        <v>758.33</v>
      </c>
      <c r="X78" s="282">
        <v>735.32999999999993</v>
      </c>
      <c r="Y78" s="282">
        <v>718.33</v>
      </c>
      <c r="Z78" s="283">
        <v>685.33</v>
      </c>
      <c r="AB78" s="282">
        <v>851</v>
      </c>
      <c r="AC78" s="282">
        <v>703.33</v>
      </c>
      <c r="AD78" s="282">
        <v>654.33000000000004</v>
      </c>
      <c r="AE78" s="282">
        <v>589.33000000000004</v>
      </c>
      <c r="AF78" s="283">
        <v>477.33000000000004</v>
      </c>
    </row>
    <row r="79" spans="1:32">
      <c r="B79" s="273" t="s">
        <v>63</v>
      </c>
      <c r="C79" s="286" t="s">
        <v>351</v>
      </c>
      <c r="D79" s="189">
        <v>215</v>
      </c>
      <c r="E79" s="115">
        <v>0</v>
      </c>
      <c r="F79" s="237" t="s">
        <v>195</v>
      </c>
      <c r="G79" s="314"/>
      <c r="I79" s="267">
        <v>42</v>
      </c>
      <c r="J79" s="267">
        <v>52</v>
      </c>
      <c r="K79" s="267">
        <v>64</v>
      </c>
      <c r="L79" s="267">
        <v>72</v>
      </c>
      <c r="M79" s="268">
        <v>89</v>
      </c>
      <c r="O79" s="267">
        <v>65</v>
      </c>
      <c r="P79" s="267">
        <v>80</v>
      </c>
      <c r="Q79" s="267">
        <v>104</v>
      </c>
      <c r="R79" s="267">
        <v>137</v>
      </c>
      <c r="S79" s="268">
        <v>140</v>
      </c>
      <c r="V79" s="267">
        <v>131</v>
      </c>
      <c r="W79" s="267">
        <v>111</v>
      </c>
      <c r="X79" s="267">
        <v>87.999999999999886</v>
      </c>
      <c r="Y79" s="267">
        <v>71</v>
      </c>
      <c r="Z79" s="268">
        <v>38</v>
      </c>
      <c r="AB79" s="267">
        <v>86.000000000000057</v>
      </c>
      <c r="AC79" s="267">
        <v>56</v>
      </c>
      <c r="AD79" s="267">
        <v>7</v>
      </c>
      <c r="AE79" s="267">
        <v>-58</v>
      </c>
      <c r="AF79" s="268">
        <v>-64.5</v>
      </c>
    </row>
    <row r="80" spans="1:32">
      <c r="A80" s="109"/>
      <c r="B80" s="280" t="s">
        <v>63</v>
      </c>
      <c r="C80" s="281" t="s">
        <v>409</v>
      </c>
      <c r="D80" s="188">
        <v>396</v>
      </c>
      <c r="E80" s="114">
        <v>0</v>
      </c>
      <c r="F80" s="239" t="s">
        <v>195</v>
      </c>
      <c r="G80" s="315"/>
      <c r="I80" s="282">
        <v>81</v>
      </c>
      <c r="J80" s="282">
        <v>91</v>
      </c>
      <c r="K80" s="282">
        <v>102</v>
      </c>
      <c r="L80" s="282">
        <v>111</v>
      </c>
      <c r="M80" s="283">
        <v>127</v>
      </c>
      <c r="O80" s="282">
        <v>103</v>
      </c>
      <c r="P80" s="282">
        <v>118</v>
      </c>
      <c r="Q80" s="282">
        <v>143</v>
      </c>
      <c r="R80" s="282">
        <v>175</v>
      </c>
      <c r="S80" s="283">
        <v>231</v>
      </c>
      <c r="V80" s="282">
        <v>235</v>
      </c>
      <c r="W80" s="282">
        <v>215</v>
      </c>
      <c r="X80" s="282">
        <v>191.99999999999989</v>
      </c>
      <c r="Y80" s="282">
        <v>175</v>
      </c>
      <c r="Z80" s="283">
        <v>142</v>
      </c>
      <c r="AB80" s="282">
        <v>190.00000000000006</v>
      </c>
      <c r="AC80" s="282">
        <v>160</v>
      </c>
      <c r="AD80" s="282">
        <v>111</v>
      </c>
      <c r="AE80" s="282">
        <v>46</v>
      </c>
      <c r="AF80" s="283">
        <v>-66</v>
      </c>
    </row>
    <row r="81" spans="1:32">
      <c r="B81" s="273" t="s">
        <v>63</v>
      </c>
      <c r="C81" s="286" t="s">
        <v>411</v>
      </c>
      <c r="D81" s="189">
        <v>479</v>
      </c>
      <c r="E81" s="115">
        <v>0</v>
      </c>
      <c r="F81" s="237" t="s">
        <v>195</v>
      </c>
      <c r="G81" s="314"/>
      <c r="I81" s="267">
        <v>86</v>
      </c>
      <c r="J81" s="267">
        <v>96</v>
      </c>
      <c r="K81" s="267">
        <v>107</v>
      </c>
      <c r="L81" s="267">
        <v>116</v>
      </c>
      <c r="M81" s="268">
        <v>132</v>
      </c>
      <c r="O81" s="267">
        <v>108</v>
      </c>
      <c r="P81" s="267">
        <v>123</v>
      </c>
      <c r="Q81" s="267">
        <v>148</v>
      </c>
      <c r="R81" s="267">
        <v>180</v>
      </c>
      <c r="S81" s="268">
        <v>236</v>
      </c>
      <c r="V81" s="267">
        <v>308</v>
      </c>
      <c r="W81" s="267">
        <v>288</v>
      </c>
      <c r="X81" s="267">
        <v>264.99999999999989</v>
      </c>
      <c r="Y81" s="267">
        <v>248</v>
      </c>
      <c r="Z81" s="268">
        <v>215</v>
      </c>
      <c r="AB81" s="267">
        <v>263.00000000000006</v>
      </c>
      <c r="AC81" s="267">
        <v>233</v>
      </c>
      <c r="AD81" s="267">
        <v>184</v>
      </c>
      <c r="AE81" s="267">
        <v>119</v>
      </c>
      <c r="AF81" s="268">
        <v>7</v>
      </c>
    </row>
    <row r="82" spans="1:32">
      <c r="A82" s="109"/>
      <c r="B82" s="280" t="s">
        <v>63</v>
      </c>
      <c r="C82" s="281" t="s">
        <v>510</v>
      </c>
      <c r="D82" s="188">
        <v>1735</v>
      </c>
      <c r="E82" s="114">
        <v>0</v>
      </c>
      <c r="F82" s="239" t="s">
        <v>195</v>
      </c>
      <c r="G82" s="315"/>
      <c r="I82" s="282">
        <v>26</v>
      </c>
      <c r="J82" s="282">
        <v>36</v>
      </c>
      <c r="K82" s="282">
        <v>438</v>
      </c>
      <c r="L82" s="282">
        <v>446</v>
      </c>
      <c r="M82" s="283">
        <v>463</v>
      </c>
      <c r="O82" s="282">
        <v>49</v>
      </c>
      <c r="P82" s="282">
        <v>64</v>
      </c>
      <c r="Q82" s="282">
        <v>478</v>
      </c>
      <c r="R82" s="282">
        <v>511</v>
      </c>
      <c r="S82" s="283">
        <v>567</v>
      </c>
      <c r="V82" s="282">
        <v>1683</v>
      </c>
      <c r="W82" s="282">
        <v>1663</v>
      </c>
      <c r="X82" s="282">
        <v>859.8</v>
      </c>
      <c r="Y82" s="282">
        <v>842.8</v>
      </c>
      <c r="Z82" s="283">
        <v>809.8</v>
      </c>
      <c r="AB82" s="282">
        <v>1638</v>
      </c>
      <c r="AC82" s="282">
        <v>1608</v>
      </c>
      <c r="AD82" s="282">
        <v>778.8</v>
      </c>
      <c r="AE82" s="282">
        <v>713.8</v>
      </c>
      <c r="AF82" s="283">
        <v>601.79999999999995</v>
      </c>
    </row>
    <row r="83" spans="1:32">
      <c r="B83" s="273" t="s">
        <v>63</v>
      </c>
      <c r="C83" s="286" t="s">
        <v>412</v>
      </c>
      <c r="D83" s="189">
        <v>537</v>
      </c>
      <c r="E83" s="115">
        <v>0</v>
      </c>
      <c r="F83" s="237" t="s">
        <v>195</v>
      </c>
      <c r="G83" s="314"/>
      <c r="I83" s="267">
        <v>92</v>
      </c>
      <c r="J83" s="267">
        <v>102</v>
      </c>
      <c r="K83" s="267">
        <v>114</v>
      </c>
      <c r="L83" s="267">
        <v>122</v>
      </c>
      <c r="M83" s="268">
        <v>139</v>
      </c>
      <c r="O83" s="267">
        <v>115</v>
      </c>
      <c r="P83" s="267">
        <v>130</v>
      </c>
      <c r="Q83" s="267">
        <v>154</v>
      </c>
      <c r="R83" s="267">
        <v>187</v>
      </c>
      <c r="S83" s="268">
        <v>243</v>
      </c>
      <c r="V83" s="267">
        <v>352.8</v>
      </c>
      <c r="W83" s="267">
        <v>332.8</v>
      </c>
      <c r="X83" s="267">
        <v>309.7999999999999</v>
      </c>
      <c r="Y83" s="267">
        <v>292.8</v>
      </c>
      <c r="Z83" s="268">
        <v>259.8</v>
      </c>
      <c r="AB83" s="267">
        <v>307.80000000000007</v>
      </c>
      <c r="AC83" s="267">
        <v>277.8</v>
      </c>
      <c r="AD83" s="267">
        <v>228.8</v>
      </c>
      <c r="AE83" s="267">
        <v>163.80000000000001</v>
      </c>
      <c r="AF83" s="268">
        <v>51.800000000000011</v>
      </c>
    </row>
    <row r="84" spans="1:32">
      <c r="A84" s="109"/>
      <c r="B84" s="280" t="s">
        <v>63</v>
      </c>
      <c r="C84" s="281" t="s">
        <v>511</v>
      </c>
      <c r="D84" s="188">
        <v>2396</v>
      </c>
      <c r="E84" s="114">
        <v>0</v>
      </c>
      <c r="F84" s="239" t="s">
        <v>195</v>
      </c>
      <c r="G84" s="315"/>
      <c r="I84" s="265">
        <v>26</v>
      </c>
      <c r="J84" s="265">
        <v>36</v>
      </c>
      <c r="K84" s="265">
        <v>606</v>
      </c>
      <c r="L84" s="265">
        <v>614</v>
      </c>
      <c r="M84" s="266">
        <v>631</v>
      </c>
      <c r="O84" s="265">
        <v>49</v>
      </c>
      <c r="P84" s="265">
        <v>64</v>
      </c>
      <c r="Q84" s="265">
        <v>646</v>
      </c>
      <c r="R84" s="265">
        <v>679</v>
      </c>
      <c r="S84" s="266">
        <v>735</v>
      </c>
      <c r="V84" s="265">
        <v>2344</v>
      </c>
      <c r="W84" s="265">
        <v>2324</v>
      </c>
      <c r="X84" s="265">
        <v>1184.8</v>
      </c>
      <c r="Y84" s="265">
        <v>1167.8</v>
      </c>
      <c r="Z84" s="266">
        <v>1134.8</v>
      </c>
      <c r="AB84" s="265">
        <v>2299</v>
      </c>
      <c r="AC84" s="265">
        <v>2269</v>
      </c>
      <c r="AD84" s="265">
        <v>1103.8</v>
      </c>
      <c r="AE84" s="265">
        <v>1038.8</v>
      </c>
      <c r="AF84" s="266">
        <v>926.8</v>
      </c>
    </row>
    <row r="85" spans="1:32">
      <c r="B85" s="273" t="s">
        <v>63</v>
      </c>
      <c r="C85" s="286" t="s">
        <v>413</v>
      </c>
      <c r="D85" s="189">
        <v>686</v>
      </c>
      <c r="E85" s="115">
        <v>0</v>
      </c>
      <c r="F85" s="237" t="s">
        <v>195</v>
      </c>
      <c r="G85" s="314"/>
      <c r="I85" s="267">
        <v>26</v>
      </c>
      <c r="J85" s="267">
        <v>36</v>
      </c>
      <c r="K85" s="267">
        <v>151</v>
      </c>
      <c r="L85" s="267">
        <v>159</v>
      </c>
      <c r="M85" s="268">
        <v>176</v>
      </c>
      <c r="O85" s="267">
        <v>49</v>
      </c>
      <c r="P85" s="267">
        <v>64</v>
      </c>
      <c r="Q85" s="267">
        <v>191</v>
      </c>
      <c r="R85" s="267">
        <v>224</v>
      </c>
      <c r="S85" s="268">
        <v>280</v>
      </c>
      <c r="V85" s="267">
        <v>634</v>
      </c>
      <c r="W85" s="267">
        <v>614</v>
      </c>
      <c r="X85" s="267">
        <v>384.7999999999999</v>
      </c>
      <c r="Y85" s="267">
        <v>367.8</v>
      </c>
      <c r="Z85" s="268">
        <v>334.8</v>
      </c>
      <c r="AB85" s="267">
        <v>589</v>
      </c>
      <c r="AC85" s="267">
        <v>559</v>
      </c>
      <c r="AD85" s="267">
        <v>303.8</v>
      </c>
      <c r="AE85" s="267">
        <v>238.8</v>
      </c>
      <c r="AF85" s="268">
        <v>126.80000000000001</v>
      </c>
    </row>
    <row r="86" spans="1:32">
      <c r="A86" s="109"/>
      <c r="B86" s="280" t="s">
        <v>63</v>
      </c>
      <c r="C86" s="281" t="s">
        <v>512</v>
      </c>
      <c r="D86" s="188">
        <v>1157</v>
      </c>
      <c r="E86" s="114">
        <v>0</v>
      </c>
      <c r="F86" s="239" t="s">
        <v>195</v>
      </c>
      <c r="G86" s="315"/>
      <c r="I86" s="282">
        <v>26</v>
      </c>
      <c r="J86" s="282">
        <v>36</v>
      </c>
      <c r="K86" s="282">
        <v>249</v>
      </c>
      <c r="L86" s="282">
        <v>258</v>
      </c>
      <c r="M86" s="283">
        <v>274</v>
      </c>
      <c r="O86" s="282">
        <v>49</v>
      </c>
      <c r="P86" s="282">
        <v>64</v>
      </c>
      <c r="Q86" s="282">
        <v>290</v>
      </c>
      <c r="R86" s="282">
        <v>322</v>
      </c>
      <c r="S86" s="283">
        <v>378</v>
      </c>
      <c r="V86" s="282">
        <v>1105</v>
      </c>
      <c r="W86" s="282">
        <v>1085</v>
      </c>
      <c r="X86" s="282">
        <v>658.85</v>
      </c>
      <c r="Y86" s="282">
        <v>641.85</v>
      </c>
      <c r="Z86" s="283">
        <v>608.85</v>
      </c>
      <c r="AB86" s="282">
        <v>1060</v>
      </c>
      <c r="AC86" s="282">
        <v>1030</v>
      </c>
      <c r="AD86" s="282">
        <v>577.85</v>
      </c>
      <c r="AE86" s="282">
        <v>512.85</v>
      </c>
      <c r="AF86" s="283">
        <v>400.85</v>
      </c>
    </row>
    <row r="87" spans="1:32">
      <c r="B87" s="273" t="s">
        <v>63</v>
      </c>
      <c r="C87" s="286" t="s">
        <v>548</v>
      </c>
      <c r="D87" s="189">
        <v>867</v>
      </c>
      <c r="E87" s="115">
        <v>5.33</v>
      </c>
      <c r="F87" s="237" t="s">
        <v>193</v>
      </c>
      <c r="G87" s="314"/>
      <c r="I87" s="267">
        <v>26</v>
      </c>
      <c r="J87" s="267">
        <v>155</v>
      </c>
      <c r="K87" s="267">
        <v>166</v>
      </c>
      <c r="L87" s="267">
        <v>175</v>
      </c>
      <c r="M87" s="268">
        <v>191</v>
      </c>
      <c r="O87" s="267">
        <v>49</v>
      </c>
      <c r="P87" s="267">
        <v>182</v>
      </c>
      <c r="Q87" s="267">
        <v>207</v>
      </c>
      <c r="R87" s="267">
        <v>239</v>
      </c>
      <c r="S87" s="268">
        <v>295</v>
      </c>
      <c r="V87" s="267">
        <v>815</v>
      </c>
      <c r="W87" s="267">
        <v>557.64</v>
      </c>
      <c r="X87" s="267">
        <v>534.63999999999987</v>
      </c>
      <c r="Y87" s="267">
        <v>517.64</v>
      </c>
      <c r="Z87" s="268">
        <v>484.64</v>
      </c>
      <c r="AB87" s="267">
        <v>770</v>
      </c>
      <c r="AC87" s="267">
        <v>502.64</v>
      </c>
      <c r="AD87" s="267">
        <v>453.64</v>
      </c>
      <c r="AE87" s="267">
        <v>388.64</v>
      </c>
      <c r="AF87" s="268">
        <v>276.64</v>
      </c>
    </row>
    <row r="88" spans="1:32">
      <c r="A88" s="109"/>
      <c r="B88" s="280" t="s">
        <v>167</v>
      </c>
      <c r="C88" s="281" t="s">
        <v>598</v>
      </c>
      <c r="D88" s="191">
        <v>140</v>
      </c>
      <c r="E88" s="300">
        <v>0</v>
      </c>
      <c r="F88" s="239" t="s">
        <v>599</v>
      </c>
      <c r="G88" s="315"/>
      <c r="I88" s="265">
        <v>26</v>
      </c>
      <c r="J88" s="265">
        <v>36</v>
      </c>
      <c r="K88" s="265">
        <v>48</v>
      </c>
      <c r="L88" s="265">
        <v>56</v>
      </c>
      <c r="M88" s="266">
        <v>73</v>
      </c>
      <c r="O88" s="265">
        <v>49</v>
      </c>
      <c r="P88" s="265">
        <v>64</v>
      </c>
      <c r="Q88" s="265">
        <v>88</v>
      </c>
      <c r="R88" s="265">
        <v>107</v>
      </c>
      <c r="S88" s="266">
        <v>107</v>
      </c>
      <c r="V88" s="265">
        <v>88</v>
      </c>
      <c r="W88" s="265">
        <v>68</v>
      </c>
      <c r="X88" s="265">
        <v>44.999999999999886</v>
      </c>
      <c r="Y88" s="265">
        <v>28</v>
      </c>
      <c r="Z88" s="266">
        <v>-5</v>
      </c>
      <c r="AB88" s="265">
        <v>43.000000000000057</v>
      </c>
      <c r="AC88" s="265">
        <v>13</v>
      </c>
      <c r="AD88" s="265">
        <v>-36</v>
      </c>
      <c r="AE88" s="265">
        <v>-73.34</v>
      </c>
      <c r="AF88" s="266">
        <v>-73.34</v>
      </c>
    </row>
    <row r="89" spans="1:32">
      <c r="B89" s="273" t="s">
        <v>426</v>
      </c>
      <c r="C89" s="286" t="s">
        <v>582</v>
      </c>
      <c r="D89" s="189">
        <v>481</v>
      </c>
      <c r="E89" s="115">
        <v>3.25</v>
      </c>
      <c r="F89" s="237" t="s">
        <v>190</v>
      </c>
      <c r="G89" s="314"/>
      <c r="I89" s="267">
        <v>104</v>
      </c>
      <c r="J89" s="267">
        <v>114</v>
      </c>
      <c r="K89" s="267">
        <v>125</v>
      </c>
      <c r="L89" s="267">
        <v>134</v>
      </c>
      <c r="M89" s="268">
        <v>150</v>
      </c>
      <c r="O89" s="267">
        <v>126</v>
      </c>
      <c r="P89" s="267">
        <v>141</v>
      </c>
      <c r="Q89" s="267">
        <v>166</v>
      </c>
      <c r="R89" s="267">
        <v>198</v>
      </c>
      <c r="S89" s="268">
        <v>254</v>
      </c>
      <c r="V89" s="267">
        <v>273.02999999999997</v>
      </c>
      <c r="W89" s="267">
        <v>253.02999999999997</v>
      </c>
      <c r="X89" s="267">
        <v>230.02999999999986</v>
      </c>
      <c r="Y89" s="267">
        <v>213.02999999999997</v>
      </c>
      <c r="Z89" s="268">
        <v>180.02999999999997</v>
      </c>
      <c r="AB89" s="267">
        <v>228.03000000000003</v>
      </c>
      <c r="AC89" s="267">
        <v>198.02999999999997</v>
      </c>
      <c r="AD89" s="267">
        <v>149.02999999999997</v>
      </c>
      <c r="AE89" s="267">
        <v>84.029999999999973</v>
      </c>
      <c r="AF89" s="268">
        <v>-27.970000000000027</v>
      </c>
    </row>
    <row r="90" spans="1:32">
      <c r="A90" s="109"/>
      <c r="B90" s="280" t="s">
        <v>426</v>
      </c>
      <c r="C90" s="281" t="s">
        <v>529</v>
      </c>
      <c r="D90" s="188">
        <v>658</v>
      </c>
      <c r="E90" s="114">
        <v>3.25</v>
      </c>
      <c r="F90" s="239" t="s">
        <v>190</v>
      </c>
      <c r="G90" s="315"/>
      <c r="I90" s="282">
        <v>163</v>
      </c>
      <c r="J90" s="282">
        <v>173</v>
      </c>
      <c r="K90" s="282">
        <v>184</v>
      </c>
      <c r="L90" s="282">
        <v>193</v>
      </c>
      <c r="M90" s="283">
        <v>209</v>
      </c>
      <c r="O90" s="282">
        <v>185</v>
      </c>
      <c r="P90" s="282">
        <v>200</v>
      </c>
      <c r="Q90" s="282">
        <v>225</v>
      </c>
      <c r="R90" s="282">
        <v>257</v>
      </c>
      <c r="S90" s="283">
        <v>329</v>
      </c>
      <c r="V90" s="282">
        <v>332.04999999999995</v>
      </c>
      <c r="W90" s="282">
        <v>312.04999999999995</v>
      </c>
      <c r="X90" s="282">
        <v>289.04999999999984</v>
      </c>
      <c r="Y90" s="282">
        <v>272.04999999999995</v>
      </c>
      <c r="Z90" s="283">
        <v>239.04999999999995</v>
      </c>
      <c r="AB90" s="282">
        <v>287.04999999999995</v>
      </c>
      <c r="AC90" s="282">
        <v>257.04999999999995</v>
      </c>
      <c r="AD90" s="282">
        <v>208.04999999999995</v>
      </c>
      <c r="AE90" s="282">
        <v>143.04999999999995</v>
      </c>
      <c r="AF90" s="283">
        <v>4.9999999999954525E-2</v>
      </c>
    </row>
    <row r="91" spans="1:32">
      <c r="B91" s="273" t="s">
        <v>426</v>
      </c>
      <c r="C91" s="286" t="s">
        <v>462</v>
      </c>
      <c r="D91" s="189">
        <v>177</v>
      </c>
      <c r="E91" s="115">
        <v>3.25</v>
      </c>
      <c r="F91" s="237" t="s">
        <v>190</v>
      </c>
      <c r="G91" s="314"/>
      <c r="I91" s="267">
        <v>55</v>
      </c>
      <c r="J91" s="267">
        <v>65</v>
      </c>
      <c r="K91" s="267">
        <v>76</v>
      </c>
      <c r="L91" s="267">
        <v>85</v>
      </c>
      <c r="M91" s="268">
        <v>101</v>
      </c>
      <c r="O91" s="267">
        <v>77</v>
      </c>
      <c r="P91" s="267">
        <v>92</v>
      </c>
      <c r="Q91" s="267">
        <v>117</v>
      </c>
      <c r="R91" s="267">
        <v>119</v>
      </c>
      <c r="S91" s="268">
        <v>119</v>
      </c>
      <c r="V91" s="267">
        <v>67.710000000000008</v>
      </c>
      <c r="W91" s="267">
        <v>47.710000000000008</v>
      </c>
      <c r="X91" s="267">
        <v>24.709999999999894</v>
      </c>
      <c r="Y91" s="267">
        <v>7.710000000000008</v>
      </c>
      <c r="Z91" s="268">
        <v>-25.289999999999992</v>
      </c>
      <c r="AB91" s="267">
        <v>22.710000000000065</v>
      </c>
      <c r="AC91" s="267">
        <v>-7.289999999999992</v>
      </c>
      <c r="AD91" s="267">
        <v>-56.289999999999992</v>
      </c>
      <c r="AE91" s="267">
        <v>-60.855000000000004</v>
      </c>
      <c r="AF91" s="268">
        <v>-60.855000000000018</v>
      </c>
    </row>
    <row r="92" spans="1:32">
      <c r="A92" s="109"/>
      <c r="B92" s="280" t="s">
        <v>426</v>
      </c>
      <c r="C92" s="118" t="s">
        <v>632</v>
      </c>
      <c r="D92" s="188">
        <v>183</v>
      </c>
      <c r="E92" s="114">
        <v>3.25</v>
      </c>
      <c r="F92" s="239" t="s">
        <v>190</v>
      </c>
      <c r="G92" s="315"/>
      <c r="I92" s="282">
        <v>50</v>
      </c>
      <c r="J92" s="282">
        <v>60</v>
      </c>
      <c r="K92" s="282">
        <v>71</v>
      </c>
      <c r="L92" s="282">
        <v>80</v>
      </c>
      <c r="M92" s="283">
        <v>96</v>
      </c>
      <c r="O92" s="282">
        <v>72</v>
      </c>
      <c r="P92" s="282">
        <v>87</v>
      </c>
      <c r="Q92" s="282">
        <v>112</v>
      </c>
      <c r="R92" s="282">
        <v>126</v>
      </c>
      <c r="S92" s="283">
        <v>126</v>
      </c>
      <c r="V92" s="282">
        <v>83.789999999999992</v>
      </c>
      <c r="W92" s="282">
        <v>63.789999999999992</v>
      </c>
      <c r="X92" s="282">
        <v>40.789999999999878</v>
      </c>
      <c r="Y92" s="282">
        <v>23.789999999999992</v>
      </c>
      <c r="Z92" s="283">
        <v>-9.210000000000008</v>
      </c>
      <c r="AB92" s="282">
        <v>38.790000000000049</v>
      </c>
      <c r="AC92" s="282">
        <v>8.789999999999992</v>
      </c>
      <c r="AD92" s="282">
        <v>-40.210000000000008</v>
      </c>
      <c r="AE92" s="282">
        <v>-68.89500000000001</v>
      </c>
      <c r="AF92" s="283">
        <v>-68.89500000000001</v>
      </c>
    </row>
    <row r="93" spans="1:32">
      <c r="B93" s="273" t="s">
        <v>426</v>
      </c>
      <c r="C93" s="286" t="s">
        <v>463</v>
      </c>
      <c r="D93" s="189">
        <v>199</v>
      </c>
      <c r="E93" s="115">
        <v>3.25</v>
      </c>
      <c r="F93" s="237" t="s">
        <v>190</v>
      </c>
      <c r="G93" s="314"/>
      <c r="I93" s="267">
        <v>45</v>
      </c>
      <c r="J93" s="267">
        <v>55</v>
      </c>
      <c r="K93" s="267">
        <v>67</v>
      </c>
      <c r="L93" s="267">
        <v>75</v>
      </c>
      <c r="M93" s="268">
        <v>92</v>
      </c>
      <c r="O93" s="267">
        <v>68</v>
      </c>
      <c r="P93" s="267">
        <v>83</v>
      </c>
      <c r="Q93" s="267">
        <v>107</v>
      </c>
      <c r="R93" s="267">
        <v>140</v>
      </c>
      <c r="S93" s="268">
        <v>140</v>
      </c>
      <c r="V93" s="267">
        <v>108.49000000000001</v>
      </c>
      <c r="W93" s="267">
        <v>88.490000000000009</v>
      </c>
      <c r="X93" s="267">
        <v>65.489999999999895</v>
      </c>
      <c r="Y93" s="267">
        <v>48.490000000000009</v>
      </c>
      <c r="Z93" s="268">
        <v>15.490000000000009</v>
      </c>
      <c r="AB93" s="267">
        <v>63.490000000000066</v>
      </c>
      <c r="AC93" s="267">
        <v>33.490000000000009</v>
      </c>
      <c r="AD93" s="267">
        <v>-15.509999999999991</v>
      </c>
      <c r="AE93" s="267">
        <v>-80.509999999999991</v>
      </c>
      <c r="AF93" s="268">
        <v>-80.509999999999991</v>
      </c>
    </row>
    <row r="94" spans="1:32">
      <c r="A94" s="109"/>
      <c r="B94" s="280" t="s">
        <v>426</v>
      </c>
      <c r="C94" s="281" t="s">
        <v>621</v>
      </c>
      <c r="D94" s="188">
        <v>255</v>
      </c>
      <c r="E94" s="114">
        <v>3.25</v>
      </c>
      <c r="F94" s="239" t="s">
        <v>190</v>
      </c>
      <c r="G94" s="315"/>
      <c r="I94" s="282">
        <v>64</v>
      </c>
      <c r="J94" s="282">
        <v>74</v>
      </c>
      <c r="K94" s="282">
        <v>86</v>
      </c>
      <c r="L94" s="282">
        <v>94</v>
      </c>
      <c r="M94" s="283">
        <v>111</v>
      </c>
      <c r="O94" s="282">
        <v>87</v>
      </c>
      <c r="P94" s="282">
        <v>102</v>
      </c>
      <c r="Q94" s="282">
        <v>126</v>
      </c>
      <c r="R94" s="282">
        <v>159</v>
      </c>
      <c r="S94" s="283">
        <v>159</v>
      </c>
      <c r="V94" s="282">
        <v>126.75</v>
      </c>
      <c r="W94" s="282">
        <v>106.75</v>
      </c>
      <c r="X94" s="282">
        <v>83.749999999999886</v>
      </c>
      <c r="Y94" s="282">
        <v>66.75</v>
      </c>
      <c r="Z94" s="283">
        <v>33.75</v>
      </c>
      <c r="AB94" s="282">
        <v>81.750000000000057</v>
      </c>
      <c r="AC94" s="282">
        <v>51.75</v>
      </c>
      <c r="AD94" s="282">
        <v>2.75</v>
      </c>
      <c r="AE94" s="282">
        <v>-62.25</v>
      </c>
      <c r="AF94" s="283">
        <v>-62.375</v>
      </c>
    </row>
    <row r="95" spans="1:32">
      <c r="B95" s="273" t="s">
        <v>426</v>
      </c>
      <c r="C95" s="286" t="s">
        <v>553</v>
      </c>
      <c r="D95" s="189">
        <v>353</v>
      </c>
      <c r="E95" s="115">
        <v>3.25</v>
      </c>
      <c r="F95" s="237" t="s">
        <v>190</v>
      </c>
      <c r="G95" s="314"/>
      <c r="I95" s="267">
        <v>64</v>
      </c>
      <c r="J95" s="267">
        <v>74</v>
      </c>
      <c r="K95" s="267">
        <v>85</v>
      </c>
      <c r="L95" s="267">
        <v>94</v>
      </c>
      <c r="M95" s="268">
        <v>110</v>
      </c>
      <c r="O95" s="267">
        <v>86</v>
      </c>
      <c r="P95" s="267">
        <v>101</v>
      </c>
      <c r="Q95" s="267">
        <v>126</v>
      </c>
      <c r="R95" s="267">
        <v>176</v>
      </c>
      <c r="S95" s="268">
        <v>214</v>
      </c>
      <c r="V95" s="267">
        <v>225.26</v>
      </c>
      <c r="W95" s="267">
        <v>205.26</v>
      </c>
      <c r="X95" s="267">
        <v>182.25999999999988</v>
      </c>
      <c r="Y95" s="267">
        <v>165.26</v>
      </c>
      <c r="Z95" s="268">
        <v>132.26</v>
      </c>
      <c r="AB95" s="267">
        <v>180.26000000000005</v>
      </c>
      <c r="AC95" s="267">
        <v>150.26</v>
      </c>
      <c r="AD95" s="267">
        <v>101.25999999999999</v>
      </c>
      <c r="AE95" s="267">
        <v>0.25999999999999091</v>
      </c>
      <c r="AF95" s="268">
        <v>-75.740000000000009</v>
      </c>
    </row>
    <row r="96" spans="1:32">
      <c r="A96" s="109"/>
      <c r="B96" s="280" t="s">
        <v>426</v>
      </c>
      <c r="C96" s="281" t="s">
        <v>622</v>
      </c>
      <c r="D96" s="188">
        <v>481</v>
      </c>
      <c r="E96" s="114">
        <v>3.25</v>
      </c>
      <c r="F96" s="239" t="s">
        <v>190</v>
      </c>
      <c r="G96" s="315"/>
      <c r="I96" s="282">
        <v>99</v>
      </c>
      <c r="J96" s="282">
        <v>109</v>
      </c>
      <c r="K96" s="282">
        <v>120</v>
      </c>
      <c r="L96" s="282">
        <v>129</v>
      </c>
      <c r="M96" s="283">
        <v>145</v>
      </c>
      <c r="O96" s="282">
        <v>121</v>
      </c>
      <c r="P96" s="282">
        <v>136</v>
      </c>
      <c r="Q96" s="282">
        <v>161</v>
      </c>
      <c r="R96" s="282">
        <v>216</v>
      </c>
      <c r="S96" s="283">
        <v>249</v>
      </c>
      <c r="V96" s="282">
        <v>283.02999999999997</v>
      </c>
      <c r="W96" s="282">
        <v>263.02999999999997</v>
      </c>
      <c r="X96" s="282">
        <v>240.02999999999986</v>
      </c>
      <c r="Y96" s="282">
        <v>223.02999999999997</v>
      </c>
      <c r="Z96" s="283">
        <v>190.02999999999997</v>
      </c>
      <c r="AB96" s="282">
        <v>238.03000000000003</v>
      </c>
      <c r="AC96" s="282">
        <v>208.02999999999997</v>
      </c>
      <c r="AD96" s="282">
        <v>159.02999999999997</v>
      </c>
      <c r="AE96" s="282">
        <v>49.029999999999973</v>
      </c>
      <c r="AF96" s="283">
        <v>-17.970000000000027</v>
      </c>
    </row>
    <row r="97" spans="1:32">
      <c r="B97" s="273" t="s">
        <v>426</v>
      </c>
      <c r="C97" s="286" t="s">
        <v>549</v>
      </c>
      <c r="D97" s="189">
        <v>869</v>
      </c>
      <c r="E97" s="115">
        <v>3.25</v>
      </c>
      <c r="F97" s="237" t="s">
        <v>190</v>
      </c>
      <c r="G97" s="314"/>
      <c r="I97" s="267">
        <v>26</v>
      </c>
      <c r="J97" s="267">
        <v>176</v>
      </c>
      <c r="K97" s="267">
        <v>187</v>
      </c>
      <c r="L97" s="267">
        <v>196</v>
      </c>
      <c r="M97" s="268">
        <v>212</v>
      </c>
      <c r="O97" s="267">
        <v>49</v>
      </c>
      <c r="P97" s="267">
        <v>203</v>
      </c>
      <c r="Q97" s="267">
        <v>228</v>
      </c>
      <c r="R97" s="267">
        <v>260</v>
      </c>
      <c r="S97" s="268">
        <v>316</v>
      </c>
      <c r="V97" s="267">
        <v>817</v>
      </c>
      <c r="W97" s="267">
        <v>517.78</v>
      </c>
      <c r="X97" s="267">
        <v>494.77999999999986</v>
      </c>
      <c r="Y97" s="267">
        <v>477.78</v>
      </c>
      <c r="Z97" s="268">
        <v>444.78</v>
      </c>
      <c r="AB97" s="267">
        <v>772</v>
      </c>
      <c r="AC97" s="267">
        <v>462.78</v>
      </c>
      <c r="AD97" s="267">
        <v>413.78</v>
      </c>
      <c r="AE97" s="267">
        <v>348.78</v>
      </c>
      <c r="AF97" s="268">
        <v>236.77999999999997</v>
      </c>
    </row>
    <row r="98" spans="1:32">
      <c r="A98" s="109"/>
      <c r="B98" s="280" t="s">
        <v>183</v>
      </c>
      <c r="C98" s="281" t="s">
        <v>613</v>
      </c>
      <c r="D98" s="188">
        <v>160</v>
      </c>
      <c r="E98" s="114">
        <v>3.25</v>
      </c>
      <c r="F98" s="239" t="s">
        <v>190</v>
      </c>
      <c r="G98" s="315"/>
      <c r="I98" s="282">
        <v>51</v>
      </c>
      <c r="J98" s="282">
        <v>61</v>
      </c>
      <c r="K98" s="282">
        <v>73</v>
      </c>
      <c r="L98" s="282">
        <v>81</v>
      </c>
      <c r="M98" s="283">
        <v>98</v>
      </c>
      <c r="O98" s="282">
        <v>74</v>
      </c>
      <c r="P98" s="282">
        <v>89</v>
      </c>
      <c r="Q98" s="282">
        <v>113</v>
      </c>
      <c r="R98" s="282">
        <v>108</v>
      </c>
      <c r="S98" s="283">
        <v>108</v>
      </c>
      <c r="V98" s="282">
        <v>57.980000000000004</v>
      </c>
      <c r="W98" s="282">
        <v>37.980000000000004</v>
      </c>
      <c r="X98" s="282">
        <v>14.97999999999989</v>
      </c>
      <c r="Y98" s="282">
        <v>-2.019999999999996</v>
      </c>
      <c r="Z98" s="283">
        <v>-35.019999999999996</v>
      </c>
      <c r="AB98" s="282">
        <v>12.980000000000061</v>
      </c>
      <c r="AC98" s="282">
        <v>-17.019999999999996</v>
      </c>
      <c r="AD98" s="282">
        <v>-66.02</v>
      </c>
      <c r="AE98" s="282">
        <v>-55.989999999999981</v>
      </c>
      <c r="AF98" s="283">
        <v>-55.989999999999981</v>
      </c>
    </row>
    <row r="99" spans="1:32">
      <c r="B99" s="273" t="s">
        <v>183</v>
      </c>
      <c r="C99" s="286" t="s">
        <v>600</v>
      </c>
      <c r="D99" s="189">
        <v>176</v>
      </c>
      <c r="E99" s="115">
        <v>3.25</v>
      </c>
      <c r="F99" s="237" t="s">
        <v>190</v>
      </c>
      <c r="G99" s="314"/>
      <c r="I99" s="267">
        <v>54</v>
      </c>
      <c r="J99" s="267">
        <v>64</v>
      </c>
      <c r="K99" s="267">
        <v>75</v>
      </c>
      <c r="L99" s="267">
        <v>84</v>
      </c>
      <c r="M99" s="268">
        <v>100</v>
      </c>
      <c r="O99" s="267">
        <v>76</v>
      </c>
      <c r="P99" s="267">
        <v>91</v>
      </c>
      <c r="Q99" s="267">
        <v>116</v>
      </c>
      <c r="R99" s="267">
        <v>119</v>
      </c>
      <c r="S99" s="268">
        <v>119</v>
      </c>
      <c r="V99" s="267">
        <v>68.180000000000007</v>
      </c>
      <c r="W99" s="267">
        <v>48.180000000000007</v>
      </c>
      <c r="X99" s="267">
        <v>25.179999999999893</v>
      </c>
      <c r="Y99" s="267">
        <v>8.1800000000000068</v>
      </c>
      <c r="Z99" s="268">
        <v>-24.819999999999993</v>
      </c>
      <c r="AB99" s="267">
        <v>23.180000000000064</v>
      </c>
      <c r="AC99" s="267">
        <v>-6.8199999999999932</v>
      </c>
      <c r="AD99" s="267">
        <v>-55.819999999999993</v>
      </c>
      <c r="AE99" s="267">
        <v>-61.09</v>
      </c>
      <c r="AF99" s="268">
        <v>-61.09</v>
      </c>
    </row>
    <row r="100" spans="1:32">
      <c r="A100" s="109"/>
      <c r="B100" s="280" t="s">
        <v>183</v>
      </c>
      <c r="C100" s="281" t="s">
        <v>554</v>
      </c>
      <c r="D100" s="188">
        <v>245</v>
      </c>
      <c r="E100" s="114">
        <v>3.25</v>
      </c>
      <c r="F100" s="239" t="s">
        <v>190</v>
      </c>
      <c r="G100" s="315"/>
      <c r="I100" s="282">
        <v>66</v>
      </c>
      <c r="J100" s="282">
        <v>76</v>
      </c>
      <c r="K100" s="282">
        <v>87</v>
      </c>
      <c r="L100" s="282">
        <v>96</v>
      </c>
      <c r="M100" s="283">
        <v>112</v>
      </c>
      <c r="O100" s="282">
        <v>88</v>
      </c>
      <c r="P100" s="282">
        <v>103</v>
      </c>
      <c r="Q100" s="282">
        <v>128</v>
      </c>
      <c r="R100" s="282">
        <v>160</v>
      </c>
      <c r="S100" s="283">
        <v>175</v>
      </c>
      <c r="V100" s="282">
        <v>113.32</v>
      </c>
      <c r="W100" s="282">
        <v>93.32</v>
      </c>
      <c r="X100" s="282">
        <v>70.319999999999879</v>
      </c>
      <c r="Y100" s="282">
        <v>53.319999999999993</v>
      </c>
      <c r="Z100" s="283">
        <v>20.319999999999993</v>
      </c>
      <c r="AB100" s="282">
        <v>68.32000000000005</v>
      </c>
      <c r="AC100" s="282">
        <v>38.319999999999993</v>
      </c>
      <c r="AD100" s="282">
        <v>-10.680000000000007</v>
      </c>
      <c r="AE100" s="282">
        <v>-75.680000000000007</v>
      </c>
      <c r="AF100" s="283">
        <v>-105.68</v>
      </c>
    </row>
    <row r="101" spans="1:32">
      <c r="B101" s="273" t="s">
        <v>183</v>
      </c>
      <c r="C101" s="286" t="s">
        <v>623</v>
      </c>
      <c r="D101" s="189">
        <v>1072</v>
      </c>
      <c r="E101" s="115">
        <v>3.25</v>
      </c>
      <c r="F101" s="237" t="s">
        <v>190</v>
      </c>
      <c r="G101" s="314"/>
      <c r="I101" s="267">
        <v>26</v>
      </c>
      <c r="J101" s="267">
        <v>206</v>
      </c>
      <c r="K101" s="267">
        <v>218</v>
      </c>
      <c r="L101" s="267">
        <v>226</v>
      </c>
      <c r="M101" s="268">
        <v>243</v>
      </c>
      <c r="O101" s="267">
        <v>49</v>
      </c>
      <c r="P101" s="267">
        <v>234</v>
      </c>
      <c r="Q101" s="267">
        <v>258</v>
      </c>
      <c r="R101" s="267">
        <v>291</v>
      </c>
      <c r="S101" s="268">
        <v>347</v>
      </c>
      <c r="V101" s="267">
        <v>1020</v>
      </c>
      <c r="W101" s="267">
        <v>659.45</v>
      </c>
      <c r="X101" s="267">
        <v>636.44999999999993</v>
      </c>
      <c r="Y101" s="267">
        <v>619.45000000000005</v>
      </c>
      <c r="Z101" s="268">
        <v>586.45000000000005</v>
      </c>
      <c r="AB101" s="267">
        <v>975</v>
      </c>
      <c r="AC101" s="267">
        <v>604.45000000000005</v>
      </c>
      <c r="AD101" s="267">
        <v>555.45000000000005</v>
      </c>
      <c r="AE101" s="267">
        <v>490.45000000000005</v>
      </c>
      <c r="AF101" s="268">
        <v>378.45000000000005</v>
      </c>
    </row>
    <row r="102" spans="1:32">
      <c r="A102" s="109"/>
      <c r="B102" s="280" t="s">
        <v>183</v>
      </c>
      <c r="C102" s="281" t="s">
        <v>550</v>
      </c>
      <c r="D102" s="188">
        <v>428</v>
      </c>
      <c r="E102" s="114">
        <v>3.25</v>
      </c>
      <c r="F102" s="239" t="s">
        <v>190</v>
      </c>
      <c r="G102" s="315"/>
      <c r="I102" s="282">
        <v>104</v>
      </c>
      <c r="J102" s="282">
        <v>114</v>
      </c>
      <c r="K102" s="282">
        <v>126</v>
      </c>
      <c r="L102" s="282">
        <v>134</v>
      </c>
      <c r="M102" s="283">
        <v>151</v>
      </c>
      <c r="O102" s="282">
        <v>127</v>
      </c>
      <c r="P102" s="282">
        <v>142</v>
      </c>
      <c r="Q102" s="282">
        <v>166</v>
      </c>
      <c r="R102" s="282">
        <v>214</v>
      </c>
      <c r="S102" s="283">
        <v>255</v>
      </c>
      <c r="V102" s="282">
        <v>219.39</v>
      </c>
      <c r="W102" s="282">
        <v>199.39</v>
      </c>
      <c r="X102" s="282">
        <v>176.38999999999987</v>
      </c>
      <c r="Y102" s="282">
        <v>159.38999999999999</v>
      </c>
      <c r="Z102" s="283">
        <v>126.38999999999999</v>
      </c>
      <c r="AB102" s="282">
        <v>174.39000000000004</v>
      </c>
      <c r="AC102" s="282">
        <v>144.38999999999999</v>
      </c>
      <c r="AD102" s="282">
        <v>95.389999999999986</v>
      </c>
      <c r="AE102" s="282">
        <v>0.38999999999998636</v>
      </c>
      <c r="AF102" s="283">
        <v>-81.610000000000014</v>
      </c>
    </row>
    <row r="103" spans="1:32">
      <c r="B103" s="273" t="s">
        <v>183</v>
      </c>
      <c r="C103" s="286" t="s">
        <v>601</v>
      </c>
      <c r="D103" s="189">
        <v>364</v>
      </c>
      <c r="E103" s="115">
        <v>3.25</v>
      </c>
      <c r="F103" s="237" t="s">
        <v>190</v>
      </c>
      <c r="G103" s="314"/>
      <c r="I103" s="267">
        <v>79</v>
      </c>
      <c r="J103" s="267">
        <v>89</v>
      </c>
      <c r="K103" s="267">
        <v>100</v>
      </c>
      <c r="L103" s="267">
        <v>109</v>
      </c>
      <c r="M103" s="268">
        <v>125</v>
      </c>
      <c r="O103" s="267">
        <v>101</v>
      </c>
      <c r="P103" s="267">
        <v>116</v>
      </c>
      <c r="Q103" s="267">
        <v>141</v>
      </c>
      <c r="R103" s="267">
        <v>173</v>
      </c>
      <c r="S103" s="268">
        <v>229</v>
      </c>
      <c r="V103" s="267">
        <v>206.2</v>
      </c>
      <c r="W103" s="267">
        <v>186.2</v>
      </c>
      <c r="X103" s="267">
        <v>163.19999999999987</v>
      </c>
      <c r="Y103" s="267">
        <v>146.19999999999999</v>
      </c>
      <c r="Z103" s="268">
        <v>113.19999999999999</v>
      </c>
      <c r="AB103" s="267">
        <v>161.20000000000005</v>
      </c>
      <c r="AC103" s="267">
        <v>131.19999999999999</v>
      </c>
      <c r="AD103" s="267">
        <v>82.199999999999989</v>
      </c>
      <c r="AE103" s="267">
        <v>17.199999999999989</v>
      </c>
      <c r="AF103" s="268">
        <v>-94.800000000000011</v>
      </c>
    </row>
    <row r="104" spans="1:32">
      <c r="A104" s="109"/>
      <c r="B104" s="280" t="s">
        <v>183</v>
      </c>
      <c r="C104" s="281" t="s">
        <v>551</v>
      </c>
      <c r="D104" s="188">
        <v>524</v>
      </c>
      <c r="E104" s="114">
        <v>3.25</v>
      </c>
      <c r="F104" s="239" t="s">
        <v>190</v>
      </c>
      <c r="G104" s="315"/>
      <c r="I104" s="282">
        <v>107</v>
      </c>
      <c r="J104" s="282">
        <v>117</v>
      </c>
      <c r="K104" s="282">
        <v>128</v>
      </c>
      <c r="L104" s="282">
        <v>137</v>
      </c>
      <c r="M104" s="283">
        <v>153</v>
      </c>
      <c r="O104" s="282">
        <v>129</v>
      </c>
      <c r="P104" s="282">
        <v>144</v>
      </c>
      <c r="Q104" s="282">
        <v>169</v>
      </c>
      <c r="R104" s="282">
        <v>201</v>
      </c>
      <c r="S104" s="283">
        <v>262</v>
      </c>
      <c r="V104" s="282">
        <v>310.42</v>
      </c>
      <c r="W104" s="282">
        <v>290.42</v>
      </c>
      <c r="X104" s="282">
        <v>267.4199999999999</v>
      </c>
      <c r="Y104" s="282">
        <v>250.42000000000002</v>
      </c>
      <c r="Z104" s="283">
        <v>217.42000000000002</v>
      </c>
      <c r="AB104" s="282">
        <v>265.42000000000007</v>
      </c>
      <c r="AC104" s="282">
        <v>235.42000000000002</v>
      </c>
      <c r="AD104" s="282">
        <v>186.42000000000002</v>
      </c>
      <c r="AE104" s="282">
        <v>121.42000000000002</v>
      </c>
      <c r="AF104" s="283">
        <v>0.42000000000001592</v>
      </c>
    </row>
    <row r="105" spans="1:32">
      <c r="B105" s="273" t="s">
        <v>64</v>
      </c>
      <c r="C105" s="286" t="s">
        <v>383</v>
      </c>
      <c r="D105" s="189">
        <v>74</v>
      </c>
      <c r="E105" s="115">
        <v>1.1000000000000001</v>
      </c>
      <c r="F105" s="237" t="s">
        <v>284</v>
      </c>
      <c r="G105" s="314"/>
      <c r="I105" s="267">
        <v>37</v>
      </c>
      <c r="J105" s="267">
        <v>37</v>
      </c>
      <c r="K105" s="267">
        <v>37</v>
      </c>
      <c r="L105" s="267">
        <v>37</v>
      </c>
      <c r="M105" s="268">
        <v>37</v>
      </c>
      <c r="O105" s="267">
        <v>37</v>
      </c>
      <c r="P105" s="267">
        <v>0</v>
      </c>
      <c r="Q105" s="267">
        <v>0</v>
      </c>
      <c r="R105" s="267">
        <v>0</v>
      </c>
      <c r="S105" s="268">
        <v>0</v>
      </c>
      <c r="V105" s="267">
        <v>0</v>
      </c>
      <c r="W105" s="267">
        <v>0</v>
      </c>
      <c r="X105" s="267">
        <v>0</v>
      </c>
      <c r="Y105" s="267">
        <v>0</v>
      </c>
      <c r="Z105" s="268">
        <v>0</v>
      </c>
      <c r="AB105" s="267">
        <v>0</v>
      </c>
      <c r="AC105" s="267" t="s">
        <v>15</v>
      </c>
      <c r="AD105" s="267" t="s">
        <v>15</v>
      </c>
      <c r="AE105" s="267" t="s">
        <v>15</v>
      </c>
      <c r="AF105" s="268" t="s">
        <v>15</v>
      </c>
    </row>
    <row r="106" spans="1:32">
      <c r="A106" s="109"/>
      <c r="B106" s="280" t="s">
        <v>64</v>
      </c>
      <c r="C106" s="281" t="s">
        <v>555</v>
      </c>
      <c r="D106" s="188">
        <v>70</v>
      </c>
      <c r="E106" s="114">
        <v>1.1000000000000001</v>
      </c>
      <c r="F106" s="239" t="s">
        <v>284</v>
      </c>
      <c r="G106" s="315"/>
      <c r="I106" s="282">
        <v>35</v>
      </c>
      <c r="J106" s="282">
        <v>0</v>
      </c>
      <c r="K106" s="282">
        <v>0</v>
      </c>
      <c r="L106" s="282">
        <v>0</v>
      </c>
      <c r="M106" s="283">
        <v>0</v>
      </c>
      <c r="O106" s="282">
        <v>35</v>
      </c>
      <c r="P106" s="282">
        <v>0</v>
      </c>
      <c r="Q106" s="282">
        <v>0</v>
      </c>
      <c r="R106" s="282">
        <v>0</v>
      </c>
      <c r="S106" s="283">
        <v>0</v>
      </c>
      <c r="V106" s="282">
        <v>0</v>
      </c>
      <c r="W106" s="282" t="s">
        <v>15</v>
      </c>
      <c r="X106" s="282" t="s">
        <v>15</v>
      </c>
      <c r="Y106" s="282" t="s">
        <v>15</v>
      </c>
      <c r="Z106" s="283" t="s">
        <v>15</v>
      </c>
      <c r="AB106" s="282">
        <v>0</v>
      </c>
      <c r="AC106" s="282" t="s">
        <v>15</v>
      </c>
      <c r="AD106" s="282" t="s">
        <v>15</v>
      </c>
      <c r="AE106" s="282" t="s">
        <v>15</v>
      </c>
      <c r="AF106" s="283" t="s">
        <v>15</v>
      </c>
    </row>
    <row r="107" spans="1:32">
      <c r="B107" s="273" t="s">
        <v>64</v>
      </c>
      <c r="C107" s="286" t="s">
        <v>556</v>
      </c>
      <c r="D107" s="189">
        <v>0</v>
      </c>
      <c r="E107" s="115">
        <v>1.1000000000000001</v>
      </c>
      <c r="F107" s="237" t="s">
        <v>284</v>
      </c>
      <c r="G107" s="314"/>
      <c r="I107" s="267">
        <v>0</v>
      </c>
      <c r="J107" s="267">
        <v>0</v>
      </c>
      <c r="K107" s="267">
        <v>0</v>
      </c>
      <c r="L107" s="267">
        <v>0</v>
      </c>
      <c r="M107" s="268">
        <v>0</v>
      </c>
      <c r="O107" s="267">
        <v>0</v>
      </c>
      <c r="P107" s="267">
        <v>0</v>
      </c>
      <c r="Q107" s="267">
        <v>0</v>
      </c>
      <c r="R107" s="267">
        <v>0</v>
      </c>
      <c r="S107" s="268">
        <v>0</v>
      </c>
      <c r="V107" s="267" t="s">
        <v>15</v>
      </c>
      <c r="W107" s="267" t="s">
        <v>15</v>
      </c>
      <c r="X107" s="267" t="s">
        <v>15</v>
      </c>
      <c r="Y107" s="267" t="s">
        <v>15</v>
      </c>
      <c r="Z107" s="268" t="s">
        <v>15</v>
      </c>
      <c r="AB107" s="267" t="s">
        <v>15</v>
      </c>
      <c r="AC107" s="267" t="s">
        <v>15</v>
      </c>
      <c r="AD107" s="267" t="s">
        <v>15</v>
      </c>
      <c r="AE107" s="267" t="s">
        <v>15</v>
      </c>
      <c r="AF107" s="268" t="s">
        <v>15</v>
      </c>
    </row>
    <row r="108" spans="1:32">
      <c r="A108" s="109"/>
      <c r="B108" s="280" t="s">
        <v>64</v>
      </c>
      <c r="C108" s="281" t="s">
        <v>331</v>
      </c>
      <c r="D108" s="191">
        <v>104</v>
      </c>
      <c r="E108" s="300">
        <v>1.1000000000000001</v>
      </c>
      <c r="F108" s="239" t="s">
        <v>284</v>
      </c>
      <c r="G108" s="315"/>
      <c r="I108" s="282">
        <v>40</v>
      </c>
      <c r="J108" s="282">
        <v>0</v>
      </c>
      <c r="K108" s="282">
        <v>0</v>
      </c>
      <c r="L108" s="282">
        <v>0</v>
      </c>
      <c r="M108" s="283">
        <v>0</v>
      </c>
      <c r="O108" s="282">
        <v>40</v>
      </c>
      <c r="P108" s="282">
        <v>0</v>
      </c>
      <c r="Q108" s="282">
        <v>0</v>
      </c>
      <c r="R108" s="282">
        <v>0</v>
      </c>
      <c r="S108" s="283">
        <v>0</v>
      </c>
      <c r="V108" s="282">
        <v>24</v>
      </c>
      <c r="W108" s="282" t="s">
        <v>15</v>
      </c>
      <c r="X108" s="282" t="s">
        <v>15</v>
      </c>
      <c r="Y108" s="282" t="s">
        <v>15</v>
      </c>
      <c r="Z108" s="283" t="s">
        <v>15</v>
      </c>
      <c r="AB108" s="282">
        <v>24</v>
      </c>
      <c r="AC108" s="282" t="s">
        <v>15</v>
      </c>
      <c r="AD108" s="282" t="s">
        <v>15</v>
      </c>
      <c r="AE108" s="282" t="s">
        <v>15</v>
      </c>
      <c r="AF108" s="283" t="s">
        <v>15</v>
      </c>
    </row>
    <row r="109" spans="1:32">
      <c r="B109" s="273" t="s">
        <v>64</v>
      </c>
      <c r="C109" s="286" t="s">
        <v>332</v>
      </c>
      <c r="D109" s="189">
        <v>0</v>
      </c>
      <c r="E109" s="115">
        <v>1.1000000000000001</v>
      </c>
      <c r="F109" s="237" t="s">
        <v>284</v>
      </c>
      <c r="G109" s="314"/>
      <c r="I109" s="267">
        <v>0</v>
      </c>
      <c r="J109" s="267">
        <v>0</v>
      </c>
      <c r="K109" s="267">
        <v>0</v>
      </c>
      <c r="L109" s="267">
        <v>0</v>
      </c>
      <c r="M109" s="268">
        <v>0</v>
      </c>
      <c r="O109" s="267">
        <v>0</v>
      </c>
      <c r="P109" s="267">
        <v>0</v>
      </c>
      <c r="Q109" s="267">
        <v>0</v>
      </c>
      <c r="R109" s="267">
        <v>0</v>
      </c>
      <c r="S109" s="268">
        <v>0</v>
      </c>
      <c r="V109" s="267" t="s">
        <v>15</v>
      </c>
      <c r="W109" s="267" t="s">
        <v>15</v>
      </c>
      <c r="X109" s="267" t="s">
        <v>15</v>
      </c>
      <c r="Y109" s="267" t="s">
        <v>15</v>
      </c>
      <c r="Z109" s="268" t="s">
        <v>15</v>
      </c>
      <c r="AB109" s="267" t="s">
        <v>15</v>
      </c>
      <c r="AC109" s="267" t="s">
        <v>15</v>
      </c>
      <c r="AD109" s="267" t="s">
        <v>15</v>
      </c>
      <c r="AE109" s="267" t="s">
        <v>15</v>
      </c>
      <c r="AF109" s="268" t="s">
        <v>15</v>
      </c>
    </row>
    <row r="110" spans="1:32">
      <c r="A110" s="109"/>
      <c r="B110" s="280" t="s">
        <v>64</v>
      </c>
      <c r="C110" s="281" t="s">
        <v>196</v>
      </c>
      <c r="D110" s="191">
        <v>0</v>
      </c>
      <c r="E110" s="300">
        <v>1.1000000000000001</v>
      </c>
      <c r="F110" s="239" t="s">
        <v>284</v>
      </c>
      <c r="G110" s="315"/>
      <c r="I110" s="282">
        <v>0</v>
      </c>
      <c r="J110" s="282">
        <v>0</v>
      </c>
      <c r="K110" s="282">
        <v>0</v>
      </c>
      <c r="L110" s="282">
        <v>0</v>
      </c>
      <c r="M110" s="283">
        <v>0</v>
      </c>
      <c r="O110" s="282">
        <v>0</v>
      </c>
      <c r="P110" s="282">
        <v>0</v>
      </c>
      <c r="Q110" s="282">
        <v>0</v>
      </c>
      <c r="R110" s="282">
        <v>0</v>
      </c>
      <c r="S110" s="283">
        <v>0</v>
      </c>
      <c r="V110" s="282" t="s">
        <v>15</v>
      </c>
      <c r="W110" s="282" t="s">
        <v>15</v>
      </c>
      <c r="X110" s="282" t="s">
        <v>15</v>
      </c>
      <c r="Y110" s="282" t="s">
        <v>15</v>
      </c>
      <c r="Z110" s="283" t="s">
        <v>15</v>
      </c>
      <c r="AB110" s="282" t="s">
        <v>15</v>
      </c>
      <c r="AC110" s="282" t="s">
        <v>15</v>
      </c>
      <c r="AD110" s="282" t="s">
        <v>15</v>
      </c>
      <c r="AE110" s="282" t="s">
        <v>15</v>
      </c>
      <c r="AF110" s="283" t="s">
        <v>15</v>
      </c>
    </row>
    <row r="111" spans="1:32">
      <c r="B111" s="273" t="s">
        <v>64</v>
      </c>
      <c r="C111" s="123" t="s">
        <v>633</v>
      </c>
      <c r="D111" s="189">
        <v>115</v>
      </c>
      <c r="E111" s="115">
        <v>1.1000000000000001</v>
      </c>
      <c r="F111" s="237" t="s">
        <v>284</v>
      </c>
      <c r="G111" s="314"/>
      <c r="I111" s="267">
        <v>39</v>
      </c>
      <c r="J111" s="267">
        <v>0</v>
      </c>
      <c r="K111" s="267">
        <v>0</v>
      </c>
      <c r="L111" s="267">
        <v>0</v>
      </c>
      <c r="M111" s="268">
        <v>0</v>
      </c>
      <c r="O111" s="267">
        <v>39</v>
      </c>
      <c r="P111" s="267">
        <v>0</v>
      </c>
      <c r="Q111" s="267">
        <v>0</v>
      </c>
      <c r="R111" s="267">
        <v>0</v>
      </c>
      <c r="S111" s="268">
        <v>0</v>
      </c>
      <c r="V111" s="267">
        <v>38</v>
      </c>
      <c r="W111" s="267" t="s">
        <v>15</v>
      </c>
      <c r="X111" s="267" t="s">
        <v>15</v>
      </c>
      <c r="Y111" s="267" t="s">
        <v>15</v>
      </c>
      <c r="Z111" s="268" t="s">
        <v>15</v>
      </c>
      <c r="AB111" s="267">
        <v>38</v>
      </c>
      <c r="AC111" s="267" t="s">
        <v>15</v>
      </c>
      <c r="AD111" s="267" t="s">
        <v>15</v>
      </c>
      <c r="AE111" s="267" t="s">
        <v>15</v>
      </c>
      <c r="AF111" s="268" t="s">
        <v>15</v>
      </c>
    </row>
    <row r="112" spans="1:32">
      <c r="A112" s="109"/>
      <c r="B112" s="280" t="s">
        <v>64</v>
      </c>
      <c r="C112" s="118" t="s">
        <v>634</v>
      </c>
      <c r="D112" s="191">
        <v>0</v>
      </c>
      <c r="E112" s="300">
        <v>1.1000000000000001</v>
      </c>
      <c r="F112" s="239" t="s">
        <v>284</v>
      </c>
      <c r="G112" s="315"/>
      <c r="I112" s="282">
        <v>0</v>
      </c>
      <c r="J112" s="282">
        <v>0</v>
      </c>
      <c r="K112" s="282">
        <v>0</v>
      </c>
      <c r="L112" s="282">
        <v>0</v>
      </c>
      <c r="M112" s="283">
        <v>0</v>
      </c>
      <c r="O112" s="282">
        <v>0</v>
      </c>
      <c r="P112" s="282">
        <v>0</v>
      </c>
      <c r="Q112" s="282">
        <v>0</v>
      </c>
      <c r="R112" s="282">
        <v>0</v>
      </c>
      <c r="S112" s="283">
        <v>0</v>
      </c>
      <c r="V112" s="282" t="s">
        <v>15</v>
      </c>
      <c r="W112" s="282" t="s">
        <v>15</v>
      </c>
      <c r="X112" s="282" t="s">
        <v>15</v>
      </c>
      <c r="Y112" s="282" t="s">
        <v>15</v>
      </c>
      <c r="Z112" s="283" t="s">
        <v>15</v>
      </c>
      <c r="AB112" s="282" t="s">
        <v>15</v>
      </c>
      <c r="AC112" s="282" t="s">
        <v>15</v>
      </c>
      <c r="AD112" s="282" t="s">
        <v>15</v>
      </c>
      <c r="AE112" s="282" t="s">
        <v>15</v>
      </c>
      <c r="AF112" s="283" t="s">
        <v>15</v>
      </c>
    </row>
    <row r="113" spans="1:32">
      <c r="B113" s="273" t="s">
        <v>116</v>
      </c>
      <c r="C113" s="286" t="s">
        <v>329</v>
      </c>
      <c r="D113" s="189">
        <v>547</v>
      </c>
      <c r="E113" s="115">
        <v>0</v>
      </c>
      <c r="F113" s="237" t="s">
        <v>460</v>
      </c>
      <c r="G113" s="314"/>
      <c r="I113" s="267">
        <v>176</v>
      </c>
      <c r="J113" s="267">
        <v>176</v>
      </c>
      <c r="K113" s="267">
        <v>176</v>
      </c>
      <c r="L113" s="267">
        <v>176</v>
      </c>
      <c r="M113" s="268">
        <v>176</v>
      </c>
      <c r="O113" s="267">
        <v>176</v>
      </c>
      <c r="P113" s="267">
        <v>176</v>
      </c>
      <c r="Q113" s="267">
        <v>176</v>
      </c>
      <c r="R113" s="267">
        <v>176</v>
      </c>
      <c r="S113" s="268">
        <v>176</v>
      </c>
      <c r="V113" s="267">
        <v>195</v>
      </c>
      <c r="W113" s="267">
        <v>195</v>
      </c>
      <c r="X113" s="267">
        <v>195</v>
      </c>
      <c r="Y113" s="267">
        <v>195</v>
      </c>
      <c r="Z113" s="268">
        <v>195</v>
      </c>
      <c r="AB113" s="267">
        <v>195</v>
      </c>
      <c r="AC113" s="267">
        <v>195</v>
      </c>
      <c r="AD113" s="267">
        <v>195</v>
      </c>
      <c r="AE113" s="267">
        <v>195</v>
      </c>
      <c r="AF113" s="268">
        <v>195</v>
      </c>
    </row>
    <row r="114" spans="1:32">
      <c r="A114" s="109"/>
      <c r="B114" s="280" t="s">
        <v>65</v>
      </c>
      <c r="C114" s="281" t="s">
        <v>499</v>
      </c>
      <c r="D114" s="191">
        <v>186</v>
      </c>
      <c r="E114" s="300">
        <v>3.25</v>
      </c>
      <c r="F114" s="239" t="s">
        <v>190</v>
      </c>
      <c r="G114" s="315"/>
      <c r="I114" s="282">
        <v>26</v>
      </c>
      <c r="J114" s="282">
        <v>36</v>
      </c>
      <c r="K114" s="282">
        <v>48</v>
      </c>
      <c r="L114" s="282">
        <v>56</v>
      </c>
      <c r="M114" s="283">
        <v>73</v>
      </c>
      <c r="O114" s="282">
        <v>49</v>
      </c>
      <c r="P114" s="282">
        <v>64</v>
      </c>
      <c r="Q114" s="282">
        <v>88</v>
      </c>
      <c r="R114" s="282">
        <v>121</v>
      </c>
      <c r="S114" s="283">
        <v>127</v>
      </c>
      <c r="V114" s="282">
        <v>134</v>
      </c>
      <c r="W114" s="282">
        <v>114</v>
      </c>
      <c r="X114" s="282">
        <v>90.999999999999886</v>
      </c>
      <c r="Y114" s="282">
        <v>74</v>
      </c>
      <c r="Z114" s="283">
        <v>41</v>
      </c>
      <c r="AB114" s="282">
        <v>89.000000000000057</v>
      </c>
      <c r="AC114" s="282">
        <v>59</v>
      </c>
      <c r="AD114" s="282">
        <v>10</v>
      </c>
      <c r="AE114" s="282">
        <v>-55</v>
      </c>
      <c r="AF114" s="283">
        <v>-67.875</v>
      </c>
    </row>
    <row r="115" spans="1:32">
      <c r="B115" s="273" t="s">
        <v>65</v>
      </c>
      <c r="C115" s="286" t="s">
        <v>465</v>
      </c>
      <c r="D115" s="189">
        <v>215</v>
      </c>
      <c r="E115" s="115">
        <v>3.25</v>
      </c>
      <c r="F115" s="237" t="s">
        <v>190</v>
      </c>
      <c r="G115" s="314"/>
      <c r="I115" s="267">
        <v>26</v>
      </c>
      <c r="J115" s="267">
        <v>36</v>
      </c>
      <c r="K115" s="267">
        <v>48</v>
      </c>
      <c r="L115" s="267">
        <v>56</v>
      </c>
      <c r="M115" s="268">
        <v>73</v>
      </c>
      <c r="O115" s="267">
        <v>49</v>
      </c>
      <c r="P115" s="267">
        <v>64</v>
      </c>
      <c r="Q115" s="267">
        <v>88</v>
      </c>
      <c r="R115" s="267">
        <v>121</v>
      </c>
      <c r="S115" s="268">
        <v>146</v>
      </c>
      <c r="V115" s="267">
        <v>163</v>
      </c>
      <c r="W115" s="267">
        <v>143</v>
      </c>
      <c r="X115" s="267">
        <v>119.99999999999989</v>
      </c>
      <c r="Y115" s="267">
        <v>103</v>
      </c>
      <c r="Z115" s="268">
        <v>70</v>
      </c>
      <c r="AB115" s="267">
        <v>118.00000000000006</v>
      </c>
      <c r="AC115" s="267">
        <v>88</v>
      </c>
      <c r="AD115" s="267">
        <v>39</v>
      </c>
      <c r="AE115" s="267">
        <v>-26</v>
      </c>
      <c r="AF115" s="268">
        <v>-76.375</v>
      </c>
    </row>
    <row r="116" spans="1:32">
      <c r="A116" s="109"/>
      <c r="B116" s="280" t="s">
        <v>65</v>
      </c>
      <c r="C116" s="281" t="s">
        <v>614</v>
      </c>
      <c r="D116" s="191">
        <v>186</v>
      </c>
      <c r="E116" s="300">
        <v>3.25</v>
      </c>
      <c r="F116" s="239" t="s">
        <v>190</v>
      </c>
      <c r="G116" s="315"/>
      <c r="I116" s="282">
        <v>50</v>
      </c>
      <c r="J116" s="282">
        <v>60</v>
      </c>
      <c r="K116" s="282">
        <v>72</v>
      </c>
      <c r="L116" s="282">
        <v>80</v>
      </c>
      <c r="M116" s="283">
        <v>97</v>
      </c>
      <c r="O116" s="282">
        <v>73</v>
      </c>
      <c r="P116" s="282">
        <v>88</v>
      </c>
      <c r="Q116" s="282">
        <v>112</v>
      </c>
      <c r="R116" s="282">
        <v>128</v>
      </c>
      <c r="S116" s="283">
        <v>128</v>
      </c>
      <c r="V116" s="282">
        <v>85.25</v>
      </c>
      <c r="W116" s="282">
        <v>65.25</v>
      </c>
      <c r="X116" s="282">
        <v>42.249999999999886</v>
      </c>
      <c r="Y116" s="282">
        <v>25.25</v>
      </c>
      <c r="Z116" s="283">
        <v>-7.75</v>
      </c>
      <c r="AB116" s="282">
        <v>40.250000000000057</v>
      </c>
      <c r="AC116" s="282">
        <v>10.25</v>
      </c>
      <c r="AD116" s="282">
        <v>-38.75</v>
      </c>
      <c r="AE116" s="282">
        <v>-69.625</v>
      </c>
      <c r="AF116" s="283">
        <v>-69.625</v>
      </c>
    </row>
    <row r="117" spans="1:32">
      <c r="B117" s="273" t="s">
        <v>65</v>
      </c>
      <c r="C117" s="286" t="s">
        <v>615</v>
      </c>
      <c r="D117" s="189">
        <v>248</v>
      </c>
      <c r="E117" s="115">
        <v>3.25</v>
      </c>
      <c r="F117" s="237" t="s">
        <v>190</v>
      </c>
      <c r="G117" s="314"/>
      <c r="I117" s="267">
        <v>75</v>
      </c>
      <c r="J117" s="267">
        <v>85</v>
      </c>
      <c r="K117" s="267">
        <v>97</v>
      </c>
      <c r="L117" s="267">
        <v>105</v>
      </c>
      <c r="M117" s="268">
        <v>122</v>
      </c>
      <c r="O117" s="267">
        <v>98</v>
      </c>
      <c r="P117" s="267">
        <v>113</v>
      </c>
      <c r="Q117" s="267">
        <v>137</v>
      </c>
      <c r="R117" s="267">
        <v>162</v>
      </c>
      <c r="S117" s="268">
        <v>162</v>
      </c>
      <c r="V117" s="267">
        <v>98</v>
      </c>
      <c r="W117" s="267">
        <v>78</v>
      </c>
      <c r="X117" s="267">
        <v>54.999999999999886</v>
      </c>
      <c r="Y117" s="267">
        <v>38</v>
      </c>
      <c r="Z117" s="268">
        <v>5</v>
      </c>
      <c r="AB117" s="267">
        <v>53.000000000000057</v>
      </c>
      <c r="AC117" s="267">
        <v>23</v>
      </c>
      <c r="AD117" s="267">
        <v>-26</v>
      </c>
      <c r="AE117" s="267">
        <v>-76</v>
      </c>
      <c r="AF117" s="268">
        <v>-76</v>
      </c>
    </row>
    <row r="118" spans="1:32">
      <c r="A118" s="109"/>
      <c r="B118" s="280" t="s">
        <v>65</v>
      </c>
      <c r="C118" s="281" t="s">
        <v>466</v>
      </c>
      <c r="D118" s="191">
        <v>299</v>
      </c>
      <c r="E118" s="300">
        <v>3.25</v>
      </c>
      <c r="F118" s="239" t="s">
        <v>190</v>
      </c>
      <c r="G118" s="315"/>
      <c r="I118" s="282">
        <v>54</v>
      </c>
      <c r="J118" s="282">
        <v>64</v>
      </c>
      <c r="K118" s="282">
        <v>75</v>
      </c>
      <c r="L118" s="282">
        <v>84</v>
      </c>
      <c r="M118" s="283">
        <v>100</v>
      </c>
      <c r="O118" s="282">
        <v>76</v>
      </c>
      <c r="P118" s="282">
        <v>91</v>
      </c>
      <c r="Q118" s="282">
        <v>116</v>
      </c>
      <c r="R118" s="282">
        <v>149</v>
      </c>
      <c r="S118" s="283">
        <v>197</v>
      </c>
      <c r="V118" s="282">
        <v>191.25</v>
      </c>
      <c r="W118" s="282">
        <v>171.25</v>
      </c>
      <c r="X118" s="282">
        <v>148.24999999999989</v>
      </c>
      <c r="Y118" s="282">
        <v>131.25</v>
      </c>
      <c r="Z118" s="283">
        <v>98.25</v>
      </c>
      <c r="AB118" s="282">
        <v>146.25000000000006</v>
      </c>
      <c r="AC118" s="282">
        <v>116.25</v>
      </c>
      <c r="AD118" s="282">
        <v>67.25</v>
      </c>
      <c r="AE118" s="282">
        <v>0.25</v>
      </c>
      <c r="AF118" s="283">
        <v>-94.625</v>
      </c>
    </row>
    <row r="119" spans="1:32">
      <c r="B119" s="273" t="s">
        <v>65</v>
      </c>
      <c r="C119" s="286" t="s">
        <v>513</v>
      </c>
      <c r="D119" s="189">
        <v>358</v>
      </c>
      <c r="E119" s="115">
        <v>3.25</v>
      </c>
      <c r="F119" s="237" t="s">
        <v>190</v>
      </c>
      <c r="G119" s="314"/>
      <c r="I119" s="267">
        <v>62</v>
      </c>
      <c r="J119" s="267">
        <v>72</v>
      </c>
      <c r="K119" s="267">
        <v>83</v>
      </c>
      <c r="L119" s="267">
        <v>92</v>
      </c>
      <c r="M119" s="268">
        <v>108</v>
      </c>
      <c r="O119" s="267">
        <v>84</v>
      </c>
      <c r="P119" s="267">
        <v>99</v>
      </c>
      <c r="Q119" s="267">
        <v>124</v>
      </c>
      <c r="R119" s="267">
        <v>171</v>
      </c>
      <c r="S119" s="268">
        <v>212</v>
      </c>
      <c r="V119" s="267">
        <v>234.25</v>
      </c>
      <c r="W119" s="267">
        <v>214.25</v>
      </c>
      <c r="X119" s="267">
        <v>191.24999999999989</v>
      </c>
      <c r="Y119" s="267">
        <v>174.25</v>
      </c>
      <c r="Z119" s="268">
        <v>141.25</v>
      </c>
      <c r="AB119" s="267">
        <v>189.25000000000006</v>
      </c>
      <c r="AC119" s="267">
        <v>159.25</v>
      </c>
      <c r="AD119" s="267">
        <v>110.25</v>
      </c>
      <c r="AE119" s="267">
        <v>15.25</v>
      </c>
      <c r="AF119" s="268">
        <v>-66.75</v>
      </c>
    </row>
    <row r="120" spans="1:32">
      <c r="A120" s="109"/>
      <c r="B120" s="280" t="s">
        <v>65</v>
      </c>
      <c r="C120" s="281" t="s">
        <v>514</v>
      </c>
      <c r="D120" s="191">
        <v>442</v>
      </c>
      <c r="E120" s="114">
        <v>3.25</v>
      </c>
      <c r="F120" s="515" t="s">
        <v>190</v>
      </c>
      <c r="G120" s="345"/>
      <c r="I120" s="282">
        <v>104</v>
      </c>
      <c r="J120" s="282">
        <v>114</v>
      </c>
      <c r="K120" s="282">
        <v>126</v>
      </c>
      <c r="L120" s="282">
        <v>134</v>
      </c>
      <c r="M120" s="283">
        <v>151</v>
      </c>
      <c r="O120" s="282">
        <v>127</v>
      </c>
      <c r="P120" s="282">
        <v>142</v>
      </c>
      <c r="Q120" s="282">
        <v>166</v>
      </c>
      <c r="R120" s="282">
        <v>206</v>
      </c>
      <c r="S120" s="283">
        <v>255</v>
      </c>
      <c r="V120" s="282">
        <v>233.25</v>
      </c>
      <c r="W120" s="282">
        <v>213.25</v>
      </c>
      <c r="X120" s="282">
        <v>190.24999999999989</v>
      </c>
      <c r="Y120" s="282">
        <v>173.25</v>
      </c>
      <c r="Z120" s="283">
        <v>140.25</v>
      </c>
      <c r="AB120" s="282">
        <v>188.25000000000006</v>
      </c>
      <c r="AC120" s="282">
        <v>158.25</v>
      </c>
      <c r="AD120" s="282">
        <v>109.25</v>
      </c>
      <c r="AE120" s="282">
        <v>30.25</v>
      </c>
      <c r="AF120" s="283">
        <v>-67.75</v>
      </c>
    </row>
    <row r="121" spans="1:32">
      <c r="B121" s="273" t="s">
        <v>65</v>
      </c>
      <c r="C121" s="286" t="s">
        <v>414</v>
      </c>
      <c r="D121" s="189">
        <v>533</v>
      </c>
      <c r="E121" s="115">
        <v>5.33</v>
      </c>
      <c r="F121" s="237" t="s">
        <v>193</v>
      </c>
      <c r="G121" s="314"/>
      <c r="I121" s="267">
        <v>104</v>
      </c>
      <c r="J121" s="267">
        <v>114</v>
      </c>
      <c r="K121" s="267">
        <v>126</v>
      </c>
      <c r="L121" s="267">
        <v>134</v>
      </c>
      <c r="M121" s="268">
        <v>151</v>
      </c>
      <c r="O121" s="267">
        <v>127</v>
      </c>
      <c r="P121" s="267">
        <v>142</v>
      </c>
      <c r="Q121" s="267">
        <v>166</v>
      </c>
      <c r="R121" s="267">
        <v>219</v>
      </c>
      <c r="S121" s="268">
        <v>266</v>
      </c>
      <c r="V121" s="267">
        <v>324.12</v>
      </c>
      <c r="W121" s="267">
        <v>304.12</v>
      </c>
      <c r="X121" s="267">
        <v>281.11999999999989</v>
      </c>
      <c r="Y121" s="267">
        <v>264.12</v>
      </c>
      <c r="Z121" s="268">
        <v>231.12</v>
      </c>
      <c r="AB121" s="267">
        <v>279.12000000000006</v>
      </c>
      <c r="AC121" s="267">
        <v>249.12</v>
      </c>
      <c r="AD121" s="267">
        <v>200.12</v>
      </c>
      <c r="AE121" s="267">
        <v>94.12</v>
      </c>
      <c r="AF121" s="268">
        <v>0.12000000000000455</v>
      </c>
    </row>
    <row r="122" spans="1:32">
      <c r="A122" s="109"/>
      <c r="B122" s="280" t="s">
        <v>65</v>
      </c>
      <c r="C122" s="118" t="s">
        <v>635</v>
      </c>
      <c r="D122" s="191">
        <v>921</v>
      </c>
      <c r="E122" s="114">
        <v>5.33</v>
      </c>
      <c r="F122" s="515" t="s">
        <v>193</v>
      </c>
      <c r="G122" s="345"/>
      <c r="I122" s="282">
        <v>26</v>
      </c>
      <c r="J122" s="282">
        <v>153</v>
      </c>
      <c r="K122" s="282">
        <v>165</v>
      </c>
      <c r="L122" s="282">
        <v>173</v>
      </c>
      <c r="M122" s="283">
        <v>190</v>
      </c>
      <c r="O122" s="282">
        <v>49</v>
      </c>
      <c r="P122" s="282">
        <v>181</v>
      </c>
      <c r="Q122" s="282">
        <v>205</v>
      </c>
      <c r="R122" s="282">
        <v>238</v>
      </c>
      <c r="S122" s="283">
        <v>294</v>
      </c>
      <c r="V122" s="282">
        <v>869</v>
      </c>
      <c r="W122" s="282">
        <v>614.33000000000004</v>
      </c>
      <c r="X122" s="282">
        <v>591.32999999999993</v>
      </c>
      <c r="Y122" s="282">
        <v>574.33000000000004</v>
      </c>
      <c r="Z122" s="283">
        <v>541.33000000000004</v>
      </c>
      <c r="AB122" s="282">
        <v>824</v>
      </c>
      <c r="AC122" s="282">
        <v>559.33000000000004</v>
      </c>
      <c r="AD122" s="282">
        <v>510.33000000000004</v>
      </c>
      <c r="AE122" s="282">
        <v>445.33000000000004</v>
      </c>
      <c r="AF122" s="283">
        <v>333.33000000000004</v>
      </c>
    </row>
    <row r="123" spans="1:32">
      <c r="B123" s="273" t="s">
        <v>65</v>
      </c>
      <c r="C123" s="286" t="s">
        <v>616</v>
      </c>
      <c r="D123" s="189">
        <v>801</v>
      </c>
      <c r="E123" s="115">
        <v>5.33</v>
      </c>
      <c r="F123" s="237" t="s">
        <v>193</v>
      </c>
      <c r="G123" s="314"/>
      <c r="I123" s="267">
        <v>26</v>
      </c>
      <c r="J123" s="267">
        <v>134</v>
      </c>
      <c r="K123" s="267">
        <v>145</v>
      </c>
      <c r="L123" s="267">
        <v>154</v>
      </c>
      <c r="M123" s="268">
        <v>170</v>
      </c>
      <c r="O123" s="267">
        <v>49</v>
      </c>
      <c r="P123" s="267">
        <v>161</v>
      </c>
      <c r="Q123" s="267">
        <v>186</v>
      </c>
      <c r="R123" s="267">
        <v>268</v>
      </c>
      <c r="S123" s="268">
        <v>324</v>
      </c>
      <c r="V123" s="267">
        <v>749</v>
      </c>
      <c r="W123" s="267">
        <v>533.09</v>
      </c>
      <c r="X123" s="267">
        <v>510.08999999999992</v>
      </c>
      <c r="Y123" s="267">
        <v>493.09000000000003</v>
      </c>
      <c r="Z123" s="268">
        <v>460.09000000000003</v>
      </c>
      <c r="AB123" s="267">
        <v>704</v>
      </c>
      <c r="AC123" s="267">
        <v>478.09000000000003</v>
      </c>
      <c r="AD123" s="267">
        <v>429.09000000000003</v>
      </c>
      <c r="AE123" s="267">
        <v>264.09000000000003</v>
      </c>
      <c r="AF123" s="268">
        <v>152.09000000000003</v>
      </c>
    </row>
    <row r="124" spans="1:32">
      <c r="A124" s="109"/>
      <c r="B124" s="280" t="s">
        <v>65</v>
      </c>
      <c r="C124" s="281" t="s">
        <v>483</v>
      </c>
      <c r="D124" s="191">
        <v>1487</v>
      </c>
      <c r="E124" s="114">
        <v>5.33</v>
      </c>
      <c r="F124" s="515" t="s">
        <v>193</v>
      </c>
      <c r="G124" s="345"/>
      <c r="I124" s="282">
        <v>26</v>
      </c>
      <c r="J124" s="282">
        <v>225</v>
      </c>
      <c r="K124" s="282">
        <v>236</v>
      </c>
      <c r="L124" s="282">
        <v>245</v>
      </c>
      <c r="M124" s="283">
        <v>261</v>
      </c>
      <c r="O124" s="282">
        <v>49</v>
      </c>
      <c r="P124" s="282">
        <v>252</v>
      </c>
      <c r="Q124" s="282">
        <v>277</v>
      </c>
      <c r="R124" s="282">
        <v>334</v>
      </c>
      <c r="S124" s="283">
        <v>390</v>
      </c>
      <c r="V124" s="282">
        <v>1435</v>
      </c>
      <c r="W124" s="282">
        <v>1037.33</v>
      </c>
      <c r="X124" s="282">
        <v>1014.3299999999999</v>
      </c>
      <c r="Y124" s="282">
        <v>997.32999999999993</v>
      </c>
      <c r="Z124" s="283">
        <v>964.32999999999993</v>
      </c>
      <c r="AB124" s="282">
        <v>1390</v>
      </c>
      <c r="AC124" s="282">
        <v>982.32999999999993</v>
      </c>
      <c r="AD124" s="282">
        <v>933.32999999999993</v>
      </c>
      <c r="AE124" s="282">
        <v>818.32999999999993</v>
      </c>
      <c r="AF124" s="283">
        <v>706.32999999999993</v>
      </c>
    </row>
    <row r="125" spans="1:32">
      <c r="B125" s="273" t="s">
        <v>65</v>
      </c>
      <c r="C125" s="123" t="s">
        <v>636</v>
      </c>
      <c r="D125" s="189">
        <v>1487</v>
      </c>
      <c r="E125" s="115">
        <v>5.33</v>
      </c>
      <c r="F125" s="237" t="s">
        <v>193</v>
      </c>
      <c r="G125" s="314"/>
      <c r="I125" s="267">
        <v>26</v>
      </c>
      <c r="J125" s="267">
        <v>125</v>
      </c>
      <c r="K125" s="267">
        <v>136</v>
      </c>
      <c r="L125" s="267">
        <v>145</v>
      </c>
      <c r="M125" s="268">
        <v>161</v>
      </c>
      <c r="O125" s="267">
        <v>49</v>
      </c>
      <c r="P125" s="267">
        <v>152</v>
      </c>
      <c r="Q125" s="267">
        <v>177</v>
      </c>
      <c r="R125" s="267">
        <v>209</v>
      </c>
      <c r="S125" s="268">
        <v>265</v>
      </c>
      <c r="V125" s="267">
        <v>1435</v>
      </c>
      <c r="W125" s="267">
        <v>1237.33</v>
      </c>
      <c r="X125" s="267">
        <v>1214.33</v>
      </c>
      <c r="Y125" s="267">
        <v>1197.33</v>
      </c>
      <c r="Z125" s="268">
        <v>1164.33</v>
      </c>
      <c r="AB125" s="267">
        <v>1390</v>
      </c>
      <c r="AC125" s="267">
        <v>1182.33</v>
      </c>
      <c r="AD125" s="267">
        <v>1133.33</v>
      </c>
      <c r="AE125" s="267">
        <v>1068.33</v>
      </c>
      <c r="AF125" s="268">
        <v>956.32999999999993</v>
      </c>
    </row>
    <row r="126" spans="1:32">
      <c r="A126" s="109"/>
      <c r="B126" s="280" t="s">
        <v>65</v>
      </c>
      <c r="C126" s="281" t="s">
        <v>352</v>
      </c>
      <c r="D126" s="191">
        <v>938</v>
      </c>
      <c r="E126" s="114">
        <v>3.25</v>
      </c>
      <c r="F126" s="515" t="s">
        <v>190</v>
      </c>
      <c r="G126" s="345"/>
      <c r="I126" s="282">
        <v>26</v>
      </c>
      <c r="J126" s="282">
        <v>253</v>
      </c>
      <c r="K126" s="282">
        <v>264</v>
      </c>
      <c r="L126" s="282">
        <v>273</v>
      </c>
      <c r="M126" s="283">
        <v>289</v>
      </c>
      <c r="O126" s="282">
        <v>49</v>
      </c>
      <c r="P126" s="282">
        <v>280</v>
      </c>
      <c r="Q126" s="282">
        <v>305</v>
      </c>
      <c r="R126" s="282">
        <v>337</v>
      </c>
      <c r="S126" s="283">
        <v>394</v>
      </c>
      <c r="V126" s="282">
        <v>886</v>
      </c>
      <c r="W126" s="282">
        <v>432.25</v>
      </c>
      <c r="X126" s="282">
        <v>409.24999999999989</v>
      </c>
      <c r="Y126" s="282">
        <v>392.25</v>
      </c>
      <c r="Z126" s="283">
        <v>359.25</v>
      </c>
      <c r="AB126" s="282">
        <v>841</v>
      </c>
      <c r="AC126" s="282">
        <v>377.25</v>
      </c>
      <c r="AD126" s="282">
        <v>328.25</v>
      </c>
      <c r="AE126" s="282">
        <v>263.25</v>
      </c>
      <c r="AF126" s="283">
        <v>149.25</v>
      </c>
    </row>
    <row r="127" spans="1:32">
      <c r="B127" s="273" t="s">
        <v>65</v>
      </c>
      <c r="C127" s="286" t="s">
        <v>485</v>
      </c>
      <c r="D127" s="189">
        <v>842</v>
      </c>
      <c r="E127" s="115">
        <v>3.25</v>
      </c>
      <c r="F127" s="237" t="s">
        <v>190</v>
      </c>
      <c r="G127" s="314"/>
      <c r="I127" s="267">
        <v>26</v>
      </c>
      <c r="J127" s="267">
        <v>164</v>
      </c>
      <c r="K127" s="267">
        <v>176</v>
      </c>
      <c r="L127" s="267">
        <v>184</v>
      </c>
      <c r="M127" s="268">
        <v>201</v>
      </c>
      <c r="O127" s="267">
        <v>49</v>
      </c>
      <c r="P127" s="267">
        <v>192</v>
      </c>
      <c r="Q127" s="267">
        <v>216</v>
      </c>
      <c r="R127" s="267">
        <v>251</v>
      </c>
      <c r="S127" s="268">
        <v>306</v>
      </c>
      <c r="V127" s="267">
        <v>790</v>
      </c>
      <c r="W127" s="267">
        <v>513.25</v>
      </c>
      <c r="X127" s="267">
        <v>490.24999999999989</v>
      </c>
      <c r="Y127" s="267">
        <v>473.25</v>
      </c>
      <c r="Z127" s="268">
        <v>440.25</v>
      </c>
      <c r="AB127" s="267">
        <v>745</v>
      </c>
      <c r="AC127" s="267">
        <v>458.25</v>
      </c>
      <c r="AD127" s="267">
        <v>409.25</v>
      </c>
      <c r="AE127" s="267">
        <v>339.25</v>
      </c>
      <c r="AF127" s="268">
        <v>229.25</v>
      </c>
    </row>
    <row r="128" spans="1:32">
      <c r="A128" s="109"/>
      <c r="B128" s="280" t="s">
        <v>65</v>
      </c>
      <c r="C128" s="281" t="s">
        <v>486</v>
      </c>
      <c r="D128" s="188">
        <v>902</v>
      </c>
      <c r="E128" s="114">
        <v>3.25</v>
      </c>
      <c r="F128" s="515" t="s">
        <v>190</v>
      </c>
      <c r="G128" s="345"/>
      <c r="I128" s="282">
        <v>26</v>
      </c>
      <c r="J128" s="282">
        <v>185</v>
      </c>
      <c r="K128" s="282">
        <v>196</v>
      </c>
      <c r="L128" s="282">
        <v>205</v>
      </c>
      <c r="M128" s="283">
        <v>221</v>
      </c>
      <c r="O128" s="282">
        <v>49</v>
      </c>
      <c r="P128" s="282">
        <v>212</v>
      </c>
      <c r="Q128" s="282">
        <v>237</v>
      </c>
      <c r="R128" s="282">
        <v>269</v>
      </c>
      <c r="S128" s="283">
        <v>325</v>
      </c>
      <c r="V128" s="282">
        <v>850</v>
      </c>
      <c r="W128" s="282">
        <v>532.25</v>
      </c>
      <c r="X128" s="282">
        <v>509.24999999999989</v>
      </c>
      <c r="Y128" s="282">
        <v>492.25</v>
      </c>
      <c r="Z128" s="283">
        <v>459.25</v>
      </c>
      <c r="AB128" s="282">
        <v>805</v>
      </c>
      <c r="AC128" s="282">
        <v>477.25</v>
      </c>
      <c r="AD128" s="282">
        <v>428.25</v>
      </c>
      <c r="AE128" s="282">
        <v>363.25</v>
      </c>
      <c r="AF128" s="283">
        <v>251.25</v>
      </c>
    </row>
    <row r="129" spans="1:32">
      <c r="B129" s="273" t="s">
        <v>65</v>
      </c>
      <c r="C129" s="286" t="s">
        <v>602</v>
      </c>
      <c r="D129" s="189">
        <v>686</v>
      </c>
      <c r="E129" s="115">
        <v>3.25</v>
      </c>
      <c r="F129" s="237" t="s">
        <v>190</v>
      </c>
      <c r="G129" s="314"/>
      <c r="I129" s="267">
        <v>26</v>
      </c>
      <c r="J129" s="267">
        <v>99</v>
      </c>
      <c r="K129" s="267">
        <v>110</v>
      </c>
      <c r="L129" s="267">
        <v>119</v>
      </c>
      <c r="M129" s="268">
        <v>135</v>
      </c>
      <c r="O129" s="267">
        <v>49</v>
      </c>
      <c r="P129" s="267">
        <v>126</v>
      </c>
      <c r="Q129" s="267">
        <v>151</v>
      </c>
      <c r="R129" s="267">
        <v>183</v>
      </c>
      <c r="S129" s="268">
        <v>239</v>
      </c>
      <c r="V129" s="267">
        <v>634</v>
      </c>
      <c r="W129" s="267">
        <v>488.25</v>
      </c>
      <c r="X129" s="267">
        <v>465.24999999999989</v>
      </c>
      <c r="Y129" s="267">
        <v>448.25</v>
      </c>
      <c r="Z129" s="268">
        <v>415.25</v>
      </c>
      <c r="AB129" s="267">
        <v>589</v>
      </c>
      <c r="AC129" s="267">
        <v>433.25</v>
      </c>
      <c r="AD129" s="267">
        <v>384.25</v>
      </c>
      <c r="AE129" s="267">
        <v>319.25</v>
      </c>
      <c r="AF129" s="268">
        <v>207.25</v>
      </c>
    </row>
    <row r="130" spans="1:32">
      <c r="A130" s="109"/>
      <c r="B130" s="280" t="s">
        <v>65</v>
      </c>
      <c r="C130" s="281" t="s">
        <v>487</v>
      </c>
      <c r="D130" s="188">
        <v>1556</v>
      </c>
      <c r="E130" s="114">
        <v>3.25</v>
      </c>
      <c r="F130" s="239" t="s">
        <v>190</v>
      </c>
      <c r="G130" s="315"/>
      <c r="I130" s="282">
        <v>26</v>
      </c>
      <c r="J130" s="282">
        <v>226</v>
      </c>
      <c r="K130" s="282">
        <v>237</v>
      </c>
      <c r="L130" s="282">
        <v>246</v>
      </c>
      <c r="M130" s="283">
        <v>262</v>
      </c>
      <c r="O130" s="282">
        <v>49</v>
      </c>
      <c r="P130" s="282">
        <v>253</v>
      </c>
      <c r="Q130" s="282">
        <v>278</v>
      </c>
      <c r="R130" s="282">
        <v>310</v>
      </c>
      <c r="S130" s="283">
        <v>366</v>
      </c>
      <c r="V130" s="282">
        <v>1504</v>
      </c>
      <c r="W130" s="282">
        <v>1104.25</v>
      </c>
      <c r="X130" s="282">
        <v>1081.25</v>
      </c>
      <c r="Y130" s="282">
        <v>1064.25</v>
      </c>
      <c r="Z130" s="283">
        <v>1031.25</v>
      </c>
      <c r="AB130" s="282">
        <v>1459</v>
      </c>
      <c r="AC130" s="282">
        <v>1049.25</v>
      </c>
      <c r="AD130" s="282">
        <v>1000.25</v>
      </c>
      <c r="AE130" s="282">
        <v>935.25</v>
      </c>
      <c r="AF130" s="283">
        <v>823.25</v>
      </c>
    </row>
    <row r="131" spans="1:32">
      <c r="B131" s="273" t="s">
        <v>65</v>
      </c>
      <c r="C131" s="286" t="s">
        <v>488</v>
      </c>
      <c r="D131" s="189">
        <v>1279</v>
      </c>
      <c r="E131" s="115">
        <v>3.25</v>
      </c>
      <c r="F131" s="237" t="s">
        <v>190</v>
      </c>
      <c r="G131" s="314"/>
      <c r="I131" s="267">
        <v>26</v>
      </c>
      <c r="J131" s="267">
        <v>231</v>
      </c>
      <c r="K131" s="267">
        <v>242</v>
      </c>
      <c r="L131" s="267">
        <v>251</v>
      </c>
      <c r="M131" s="268">
        <v>267</v>
      </c>
      <c r="O131" s="267">
        <v>49</v>
      </c>
      <c r="P131" s="267">
        <v>258</v>
      </c>
      <c r="Q131" s="267">
        <v>283</v>
      </c>
      <c r="R131" s="267">
        <v>340</v>
      </c>
      <c r="S131" s="268">
        <v>386</v>
      </c>
      <c r="V131" s="267">
        <v>1227</v>
      </c>
      <c r="W131" s="267">
        <v>817.25</v>
      </c>
      <c r="X131" s="267">
        <v>794.25</v>
      </c>
      <c r="Y131" s="267">
        <v>777.25</v>
      </c>
      <c r="Z131" s="268">
        <v>744.25</v>
      </c>
      <c r="AB131" s="267">
        <v>1182</v>
      </c>
      <c r="AC131" s="267">
        <v>762.25</v>
      </c>
      <c r="AD131" s="267">
        <v>713.25</v>
      </c>
      <c r="AE131" s="267">
        <v>599.25</v>
      </c>
      <c r="AF131" s="268">
        <v>506.25</v>
      </c>
    </row>
    <row r="132" spans="1:32">
      <c r="A132" s="109"/>
      <c r="B132" s="280" t="s">
        <v>65</v>
      </c>
      <c r="C132" s="281" t="s">
        <v>489</v>
      </c>
      <c r="D132" s="188">
        <v>1372</v>
      </c>
      <c r="E132" s="114">
        <v>3.25</v>
      </c>
      <c r="F132" s="239" t="s">
        <v>190</v>
      </c>
      <c r="G132" s="315"/>
      <c r="I132" s="282">
        <v>26</v>
      </c>
      <c r="J132" s="282">
        <v>171</v>
      </c>
      <c r="K132" s="282">
        <v>183</v>
      </c>
      <c r="L132" s="282">
        <v>191</v>
      </c>
      <c r="M132" s="283">
        <v>208</v>
      </c>
      <c r="O132" s="282">
        <v>49</v>
      </c>
      <c r="P132" s="282">
        <v>199</v>
      </c>
      <c r="Q132" s="282">
        <v>223</v>
      </c>
      <c r="R132" s="282">
        <v>256</v>
      </c>
      <c r="S132" s="283">
        <v>312</v>
      </c>
      <c r="V132" s="282">
        <v>1320</v>
      </c>
      <c r="W132" s="282">
        <v>1029.25</v>
      </c>
      <c r="X132" s="282">
        <v>1006.25</v>
      </c>
      <c r="Y132" s="282">
        <v>989.25</v>
      </c>
      <c r="Z132" s="283">
        <v>956.25</v>
      </c>
      <c r="AB132" s="282">
        <v>1275</v>
      </c>
      <c r="AC132" s="282">
        <v>974.25</v>
      </c>
      <c r="AD132" s="282">
        <v>925.25</v>
      </c>
      <c r="AE132" s="282">
        <v>860.25</v>
      </c>
      <c r="AF132" s="283">
        <v>748.25</v>
      </c>
    </row>
    <row r="133" spans="1:32">
      <c r="B133" s="273" t="s">
        <v>65</v>
      </c>
      <c r="C133" s="286" t="s">
        <v>490</v>
      </c>
      <c r="D133" s="189">
        <v>1047</v>
      </c>
      <c r="E133" s="115">
        <v>3.25</v>
      </c>
      <c r="F133" s="237" t="s">
        <v>190</v>
      </c>
      <c r="G133" s="314"/>
      <c r="I133" s="267">
        <v>26</v>
      </c>
      <c r="J133" s="267">
        <v>216</v>
      </c>
      <c r="K133" s="267">
        <v>227</v>
      </c>
      <c r="L133" s="267">
        <v>236</v>
      </c>
      <c r="M133" s="268">
        <v>252</v>
      </c>
      <c r="O133" s="267">
        <v>49</v>
      </c>
      <c r="P133" s="267">
        <v>243</v>
      </c>
      <c r="Q133" s="267">
        <v>268</v>
      </c>
      <c r="R133" s="267">
        <v>300</v>
      </c>
      <c r="S133" s="268">
        <v>356</v>
      </c>
      <c r="V133" s="267">
        <v>995</v>
      </c>
      <c r="W133" s="267">
        <v>615.25</v>
      </c>
      <c r="X133" s="267">
        <v>592.24999999999989</v>
      </c>
      <c r="Y133" s="267">
        <v>575.25</v>
      </c>
      <c r="Z133" s="268">
        <v>542.25</v>
      </c>
      <c r="AB133" s="267">
        <v>950</v>
      </c>
      <c r="AC133" s="267">
        <v>560.25</v>
      </c>
      <c r="AD133" s="267">
        <v>511.25</v>
      </c>
      <c r="AE133" s="267">
        <v>446.25</v>
      </c>
      <c r="AF133" s="268">
        <v>334.25</v>
      </c>
    </row>
    <row r="134" spans="1:32">
      <c r="A134" s="109"/>
      <c r="B134" s="280" t="s">
        <v>65</v>
      </c>
      <c r="C134" s="281" t="s">
        <v>491</v>
      </c>
      <c r="D134" s="188">
        <v>182</v>
      </c>
      <c r="E134" s="114">
        <v>3.75</v>
      </c>
      <c r="F134" s="239" t="s">
        <v>191</v>
      </c>
      <c r="G134" s="315"/>
      <c r="I134" s="282">
        <v>36</v>
      </c>
      <c r="J134" s="282">
        <v>46</v>
      </c>
      <c r="K134" s="282">
        <v>57</v>
      </c>
      <c r="L134" s="282">
        <v>66</v>
      </c>
      <c r="M134" s="283">
        <v>82</v>
      </c>
      <c r="O134" s="282">
        <v>58</v>
      </c>
      <c r="P134" s="282">
        <v>73</v>
      </c>
      <c r="Q134" s="282">
        <v>98</v>
      </c>
      <c r="R134" s="282">
        <v>130</v>
      </c>
      <c r="S134" s="283">
        <v>130</v>
      </c>
      <c r="V134" s="282">
        <v>110.75</v>
      </c>
      <c r="W134" s="282">
        <v>90.75</v>
      </c>
      <c r="X134" s="282">
        <v>67.749999999999886</v>
      </c>
      <c r="Y134" s="282">
        <v>50.75</v>
      </c>
      <c r="Z134" s="283">
        <v>17.75</v>
      </c>
      <c r="AB134" s="282">
        <v>65.750000000000057</v>
      </c>
      <c r="AC134" s="282">
        <v>35.75</v>
      </c>
      <c r="AD134" s="282">
        <v>-13.25</v>
      </c>
      <c r="AE134" s="282">
        <v>-78.25</v>
      </c>
      <c r="AF134" s="283">
        <v>-78.25</v>
      </c>
    </row>
    <row r="135" spans="1:32">
      <c r="B135" s="273" t="s">
        <v>65</v>
      </c>
      <c r="C135" s="286" t="s">
        <v>492</v>
      </c>
      <c r="D135" s="189">
        <v>310</v>
      </c>
      <c r="E135" s="115">
        <v>3.75</v>
      </c>
      <c r="F135" s="237" t="s">
        <v>191</v>
      </c>
      <c r="G135" s="314"/>
      <c r="I135" s="267">
        <v>64</v>
      </c>
      <c r="J135" s="267">
        <v>74</v>
      </c>
      <c r="K135" s="267">
        <v>85</v>
      </c>
      <c r="L135" s="267">
        <v>94</v>
      </c>
      <c r="M135" s="268">
        <v>110</v>
      </c>
      <c r="O135" s="267">
        <v>86</v>
      </c>
      <c r="P135" s="267">
        <v>101</v>
      </c>
      <c r="Q135" s="267">
        <v>141</v>
      </c>
      <c r="R135" s="267">
        <v>158</v>
      </c>
      <c r="S135" s="268">
        <v>200</v>
      </c>
      <c r="V135" s="267">
        <v>182.75</v>
      </c>
      <c r="W135" s="267">
        <v>162.75</v>
      </c>
      <c r="X135" s="267">
        <v>139.74999999999989</v>
      </c>
      <c r="Y135" s="267">
        <v>122.75</v>
      </c>
      <c r="Z135" s="268">
        <v>89.75</v>
      </c>
      <c r="AB135" s="267">
        <v>137.75000000000006</v>
      </c>
      <c r="AC135" s="267">
        <v>107.75</v>
      </c>
      <c r="AD135" s="267">
        <v>28.75</v>
      </c>
      <c r="AE135" s="267">
        <v>-6.25</v>
      </c>
      <c r="AF135" s="268">
        <v>-90.375</v>
      </c>
    </row>
    <row r="136" spans="1:32">
      <c r="A136" s="109"/>
      <c r="B136" s="280" t="s">
        <v>65</v>
      </c>
      <c r="C136" s="281" t="s">
        <v>493</v>
      </c>
      <c r="D136" s="188">
        <v>310</v>
      </c>
      <c r="E136" s="114">
        <v>3.75</v>
      </c>
      <c r="F136" s="239" t="s">
        <v>191</v>
      </c>
      <c r="G136" s="315"/>
      <c r="I136" s="282">
        <v>69</v>
      </c>
      <c r="J136" s="282">
        <v>79</v>
      </c>
      <c r="K136" s="282">
        <v>90</v>
      </c>
      <c r="L136" s="282">
        <v>99</v>
      </c>
      <c r="M136" s="283">
        <v>115</v>
      </c>
      <c r="O136" s="282">
        <v>91</v>
      </c>
      <c r="P136" s="282">
        <v>106</v>
      </c>
      <c r="Q136" s="282">
        <v>131</v>
      </c>
      <c r="R136" s="282">
        <v>163</v>
      </c>
      <c r="S136" s="283">
        <v>198</v>
      </c>
      <c r="V136" s="282">
        <v>172.75</v>
      </c>
      <c r="W136" s="282">
        <v>152.75</v>
      </c>
      <c r="X136" s="282">
        <v>129.74999999999989</v>
      </c>
      <c r="Y136" s="282">
        <v>112.75</v>
      </c>
      <c r="Z136" s="283">
        <v>79.75</v>
      </c>
      <c r="AB136" s="282">
        <v>127.75000000000006</v>
      </c>
      <c r="AC136" s="282">
        <v>97.75</v>
      </c>
      <c r="AD136" s="282">
        <v>48.75</v>
      </c>
      <c r="AE136" s="282">
        <v>-16.25</v>
      </c>
      <c r="AF136" s="283">
        <v>-85.375</v>
      </c>
    </row>
    <row r="137" spans="1:32">
      <c r="B137" s="273" t="s">
        <v>65</v>
      </c>
      <c r="C137" s="286" t="s">
        <v>617</v>
      </c>
      <c r="D137" s="189">
        <v>1195</v>
      </c>
      <c r="E137" s="115">
        <v>3.75</v>
      </c>
      <c r="F137" s="237" t="s">
        <v>191</v>
      </c>
      <c r="G137" s="314"/>
      <c r="I137" s="267">
        <v>26</v>
      </c>
      <c r="J137" s="267">
        <v>196</v>
      </c>
      <c r="K137" s="267">
        <v>208</v>
      </c>
      <c r="L137" s="267">
        <v>216</v>
      </c>
      <c r="M137" s="268">
        <v>233</v>
      </c>
      <c r="O137" s="267">
        <v>49</v>
      </c>
      <c r="P137" s="267">
        <v>224</v>
      </c>
      <c r="Q137" s="267">
        <v>248</v>
      </c>
      <c r="R137" s="267">
        <v>281</v>
      </c>
      <c r="S137" s="268">
        <v>337</v>
      </c>
      <c r="V137" s="267">
        <v>1143</v>
      </c>
      <c r="W137" s="267">
        <v>802.75</v>
      </c>
      <c r="X137" s="267">
        <v>779.75</v>
      </c>
      <c r="Y137" s="267">
        <v>762.75</v>
      </c>
      <c r="Z137" s="268">
        <v>729.75</v>
      </c>
      <c r="AB137" s="267">
        <v>1098</v>
      </c>
      <c r="AC137" s="267">
        <v>747.75</v>
      </c>
      <c r="AD137" s="267">
        <v>698.75</v>
      </c>
      <c r="AE137" s="267">
        <v>633.75</v>
      </c>
      <c r="AF137" s="268">
        <v>521.75</v>
      </c>
    </row>
    <row r="138" spans="1:32">
      <c r="A138" s="109"/>
      <c r="B138" s="280" t="s">
        <v>65</v>
      </c>
      <c r="C138" s="281" t="s">
        <v>427</v>
      </c>
      <c r="D138" s="188">
        <v>537</v>
      </c>
      <c r="E138" s="114">
        <v>3.75</v>
      </c>
      <c r="F138" s="239" t="s">
        <v>191</v>
      </c>
      <c r="G138" s="315"/>
      <c r="I138" s="282">
        <v>119</v>
      </c>
      <c r="J138" s="282">
        <v>129</v>
      </c>
      <c r="K138" s="282">
        <v>140</v>
      </c>
      <c r="L138" s="282">
        <v>149</v>
      </c>
      <c r="M138" s="283">
        <v>165</v>
      </c>
      <c r="O138" s="282">
        <v>141</v>
      </c>
      <c r="P138" s="282">
        <v>156</v>
      </c>
      <c r="Q138" s="282">
        <v>181</v>
      </c>
      <c r="R138" s="282">
        <v>213</v>
      </c>
      <c r="S138" s="283">
        <v>269</v>
      </c>
      <c r="V138" s="282">
        <v>299.75</v>
      </c>
      <c r="W138" s="282">
        <v>279.75</v>
      </c>
      <c r="X138" s="282">
        <v>256.74999999999989</v>
      </c>
      <c r="Y138" s="282">
        <v>239.75</v>
      </c>
      <c r="Z138" s="283">
        <v>206.75</v>
      </c>
      <c r="AB138" s="282">
        <v>254.75000000000006</v>
      </c>
      <c r="AC138" s="282">
        <v>224.75</v>
      </c>
      <c r="AD138" s="282">
        <v>175.75</v>
      </c>
      <c r="AE138" s="282">
        <v>110.75</v>
      </c>
      <c r="AF138" s="283">
        <v>-1.25</v>
      </c>
    </row>
    <row r="139" spans="1:32">
      <c r="B139" s="273" t="s">
        <v>65</v>
      </c>
      <c r="C139" s="286" t="s">
        <v>418</v>
      </c>
      <c r="D139" s="189">
        <v>421</v>
      </c>
      <c r="E139" s="115">
        <v>2.5</v>
      </c>
      <c r="F139" s="237" t="s">
        <v>459</v>
      </c>
      <c r="G139" s="314"/>
      <c r="I139" s="267">
        <v>49</v>
      </c>
      <c r="J139" s="267">
        <v>59</v>
      </c>
      <c r="K139" s="267">
        <v>71</v>
      </c>
      <c r="L139" s="267">
        <v>79</v>
      </c>
      <c r="M139" s="268">
        <v>96</v>
      </c>
      <c r="O139" s="267">
        <v>72</v>
      </c>
      <c r="P139" s="267">
        <v>87</v>
      </c>
      <c r="Q139" s="267">
        <v>111</v>
      </c>
      <c r="R139" s="267">
        <v>144</v>
      </c>
      <c r="S139" s="268">
        <v>200</v>
      </c>
      <c r="V139" s="267">
        <v>322.5</v>
      </c>
      <c r="W139" s="267">
        <v>302.5</v>
      </c>
      <c r="X139" s="267">
        <v>279.49999999999989</v>
      </c>
      <c r="Y139" s="267">
        <v>262.5</v>
      </c>
      <c r="Z139" s="268">
        <v>229.5</v>
      </c>
      <c r="AB139" s="267">
        <v>277.50000000000006</v>
      </c>
      <c r="AC139" s="267">
        <v>247.5</v>
      </c>
      <c r="AD139" s="267">
        <v>198.5</v>
      </c>
      <c r="AE139" s="267">
        <v>133.5</v>
      </c>
      <c r="AF139" s="268">
        <v>21.5</v>
      </c>
    </row>
    <row r="140" spans="1:32">
      <c r="A140" s="109"/>
      <c r="B140" s="280" t="s">
        <v>65</v>
      </c>
      <c r="C140" s="281" t="s">
        <v>566</v>
      </c>
      <c r="D140" s="188">
        <v>315</v>
      </c>
      <c r="E140" s="114">
        <v>2.5</v>
      </c>
      <c r="F140" s="239" t="s">
        <v>459</v>
      </c>
      <c r="G140" s="315"/>
      <c r="I140" s="282">
        <v>64</v>
      </c>
      <c r="J140" s="282">
        <v>74</v>
      </c>
      <c r="K140" s="282">
        <v>86</v>
      </c>
      <c r="L140" s="282">
        <v>94</v>
      </c>
      <c r="M140" s="283">
        <v>111</v>
      </c>
      <c r="O140" s="282">
        <v>87</v>
      </c>
      <c r="P140" s="282">
        <v>102</v>
      </c>
      <c r="Q140" s="282">
        <v>126</v>
      </c>
      <c r="R140" s="282">
        <v>159</v>
      </c>
      <c r="S140" s="283">
        <v>204</v>
      </c>
      <c r="V140" s="282">
        <v>186.5</v>
      </c>
      <c r="W140" s="282">
        <v>166.5</v>
      </c>
      <c r="X140" s="282">
        <v>143.49999999999989</v>
      </c>
      <c r="Y140" s="282">
        <v>126.5</v>
      </c>
      <c r="Z140" s="283">
        <v>93.5</v>
      </c>
      <c r="AB140" s="282">
        <v>141.50000000000006</v>
      </c>
      <c r="AC140" s="282">
        <v>111.5</v>
      </c>
      <c r="AD140" s="282">
        <v>62.5</v>
      </c>
      <c r="AE140" s="282">
        <v>-2.5</v>
      </c>
      <c r="AF140" s="283">
        <v>-92.25</v>
      </c>
    </row>
    <row r="141" spans="1:32">
      <c r="B141" s="273" t="s">
        <v>65</v>
      </c>
      <c r="C141" s="286" t="s">
        <v>567</v>
      </c>
      <c r="D141" s="189">
        <v>373</v>
      </c>
      <c r="E141" s="115">
        <v>2.5</v>
      </c>
      <c r="F141" s="237" t="s">
        <v>459</v>
      </c>
      <c r="G141" s="314"/>
      <c r="I141" s="267">
        <v>64</v>
      </c>
      <c r="J141" s="267">
        <v>74</v>
      </c>
      <c r="K141" s="267">
        <v>85</v>
      </c>
      <c r="L141" s="267">
        <v>94</v>
      </c>
      <c r="M141" s="268">
        <v>110</v>
      </c>
      <c r="O141" s="267">
        <v>86</v>
      </c>
      <c r="P141" s="267">
        <v>101</v>
      </c>
      <c r="Q141" s="267">
        <v>126</v>
      </c>
      <c r="R141" s="267">
        <v>158</v>
      </c>
      <c r="S141" s="268">
        <v>214</v>
      </c>
      <c r="V141" s="267">
        <v>245.5</v>
      </c>
      <c r="W141" s="267">
        <v>225.5</v>
      </c>
      <c r="X141" s="267">
        <v>202.49999999999989</v>
      </c>
      <c r="Y141" s="267">
        <v>185.5</v>
      </c>
      <c r="Z141" s="268">
        <v>152.5</v>
      </c>
      <c r="AB141" s="267">
        <v>200.50000000000006</v>
      </c>
      <c r="AC141" s="267">
        <v>170.5</v>
      </c>
      <c r="AD141" s="267">
        <v>121.5</v>
      </c>
      <c r="AE141" s="267">
        <v>56.5</v>
      </c>
      <c r="AF141" s="268">
        <v>-55.5</v>
      </c>
    </row>
    <row r="142" spans="1:32">
      <c r="A142" s="109"/>
      <c r="B142" s="280" t="s">
        <v>65</v>
      </c>
      <c r="C142" s="281" t="s">
        <v>568</v>
      </c>
      <c r="D142" s="188">
        <v>338</v>
      </c>
      <c r="E142" s="114">
        <v>2.5</v>
      </c>
      <c r="F142" s="239" t="s">
        <v>459</v>
      </c>
      <c r="G142" s="315"/>
      <c r="I142" s="282">
        <v>64</v>
      </c>
      <c r="J142" s="282">
        <v>74</v>
      </c>
      <c r="K142" s="282">
        <v>86</v>
      </c>
      <c r="L142" s="282">
        <v>94</v>
      </c>
      <c r="M142" s="283">
        <v>111</v>
      </c>
      <c r="O142" s="282">
        <v>87</v>
      </c>
      <c r="P142" s="282">
        <v>102</v>
      </c>
      <c r="Q142" s="282">
        <v>126</v>
      </c>
      <c r="R142" s="282">
        <v>159</v>
      </c>
      <c r="S142" s="283">
        <v>215</v>
      </c>
      <c r="V142" s="282">
        <v>209.5</v>
      </c>
      <c r="W142" s="282">
        <v>189.5</v>
      </c>
      <c r="X142" s="282">
        <v>166.49999999999989</v>
      </c>
      <c r="Y142" s="282">
        <v>149.5</v>
      </c>
      <c r="Z142" s="283">
        <v>116.5</v>
      </c>
      <c r="AB142" s="282">
        <v>164.50000000000006</v>
      </c>
      <c r="AC142" s="282">
        <v>134.5</v>
      </c>
      <c r="AD142" s="282">
        <v>85.5</v>
      </c>
      <c r="AE142" s="282">
        <v>20.5</v>
      </c>
      <c r="AF142" s="283">
        <v>-91.5</v>
      </c>
    </row>
    <row r="143" spans="1:32">
      <c r="B143" s="273" t="s">
        <v>65</v>
      </c>
      <c r="C143" s="286" t="s">
        <v>557</v>
      </c>
      <c r="D143" s="189">
        <v>207</v>
      </c>
      <c r="E143" s="115">
        <v>2.5</v>
      </c>
      <c r="F143" s="237" t="s">
        <v>459</v>
      </c>
      <c r="G143" s="314"/>
      <c r="I143" s="267">
        <v>38</v>
      </c>
      <c r="J143" s="267">
        <v>48</v>
      </c>
      <c r="K143" s="267">
        <v>60</v>
      </c>
      <c r="L143" s="267">
        <v>68</v>
      </c>
      <c r="M143" s="268">
        <v>85</v>
      </c>
      <c r="O143" s="267">
        <v>61</v>
      </c>
      <c r="P143" s="267">
        <v>76</v>
      </c>
      <c r="Q143" s="267">
        <v>100</v>
      </c>
      <c r="R143" s="267">
        <v>133</v>
      </c>
      <c r="S143" s="268">
        <v>136</v>
      </c>
      <c r="V143" s="267">
        <v>130.5</v>
      </c>
      <c r="W143" s="267">
        <v>110.5</v>
      </c>
      <c r="X143" s="267">
        <v>87.499999999999886</v>
      </c>
      <c r="Y143" s="267">
        <v>70.5</v>
      </c>
      <c r="Z143" s="268">
        <v>37.5</v>
      </c>
      <c r="AB143" s="267">
        <v>85.500000000000057</v>
      </c>
      <c r="AC143" s="267">
        <v>55.5</v>
      </c>
      <c r="AD143" s="267">
        <v>6.5</v>
      </c>
      <c r="AE143" s="267">
        <v>-58.5</v>
      </c>
      <c r="AF143" s="268">
        <v>-64.25</v>
      </c>
    </row>
    <row r="144" spans="1:32">
      <c r="A144" s="109"/>
      <c r="B144" s="280" t="s">
        <v>65</v>
      </c>
      <c r="C144" s="281" t="s">
        <v>569</v>
      </c>
      <c r="D144" s="188">
        <v>626</v>
      </c>
      <c r="E144" s="114">
        <v>2.5</v>
      </c>
      <c r="F144" s="239" t="s">
        <v>459</v>
      </c>
      <c r="G144" s="315"/>
      <c r="I144" s="282">
        <v>26</v>
      </c>
      <c r="J144" s="282">
        <v>119</v>
      </c>
      <c r="K144" s="282">
        <v>131</v>
      </c>
      <c r="L144" s="282">
        <v>139</v>
      </c>
      <c r="M144" s="283">
        <v>156</v>
      </c>
      <c r="O144" s="282">
        <v>49</v>
      </c>
      <c r="P144" s="282">
        <v>147</v>
      </c>
      <c r="Q144" s="282">
        <v>171</v>
      </c>
      <c r="R144" s="282">
        <v>204</v>
      </c>
      <c r="S144" s="283">
        <v>260</v>
      </c>
      <c r="V144" s="282">
        <v>574</v>
      </c>
      <c r="W144" s="282">
        <v>387.5</v>
      </c>
      <c r="X144" s="282">
        <v>364.49999999999989</v>
      </c>
      <c r="Y144" s="282">
        <v>347.5</v>
      </c>
      <c r="Z144" s="283">
        <v>314.5</v>
      </c>
      <c r="AB144" s="282">
        <v>529</v>
      </c>
      <c r="AC144" s="282">
        <v>332.5</v>
      </c>
      <c r="AD144" s="282">
        <v>283.5</v>
      </c>
      <c r="AE144" s="282">
        <v>218.5</v>
      </c>
      <c r="AF144" s="283">
        <v>106.5</v>
      </c>
    </row>
    <row r="145" spans="1:32">
      <c r="B145" s="273" t="s">
        <v>65</v>
      </c>
      <c r="C145" s="286" t="s">
        <v>500</v>
      </c>
      <c r="D145" s="189">
        <v>343</v>
      </c>
      <c r="E145" s="115">
        <v>3.25</v>
      </c>
      <c r="F145" s="237" t="s">
        <v>190</v>
      </c>
      <c r="G145" s="314"/>
      <c r="I145" s="267">
        <v>84</v>
      </c>
      <c r="J145" s="267">
        <v>94</v>
      </c>
      <c r="K145" s="267">
        <v>105</v>
      </c>
      <c r="L145" s="267">
        <v>114</v>
      </c>
      <c r="M145" s="268">
        <v>130</v>
      </c>
      <c r="O145" s="267">
        <v>106</v>
      </c>
      <c r="P145" s="267">
        <v>121</v>
      </c>
      <c r="Q145" s="267">
        <v>152</v>
      </c>
      <c r="R145" s="267">
        <v>181</v>
      </c>
      <c r="S145" s="268">
        <v>215</v>
      </c>
      <c r="V145" s="267">
        <v>175.25</v>
      </c>
      <c r="W145" s="267">
        <v>155.25</v>
      </c>
      <c r="X145" s="267">
        <v>132.24999999999989</v>
      </c>
      <c r="Y145" s="267">
        <v>115.25</v>
      </c>
      <c r="Z145" s="268">
        <v>82.25</v>
      </c>
      <c r="AB145" s="267">
        <v>130.25000000000006</v>
      </c>
      <c r="AC145" s="267">
        <v>100.25</v>
      </c>
      <c r="AD145" s="267">
        <v>39.25</v>
      </c>
      <c r="AE145" s="267">
        <v>-19.75</v>
      </c>
      <c r="AF145" s="268">
        <v>-86.625</v>
      </c>
    </row>
    <row r="146" spans="1:32">
      <c r="A146" s="109"/>
      <c r="B146" s="280" t="s">
        <v>65</v>
      </c>
      <c r="C146" s="281" t="s">
        <v>570</v>
      </c>
      <c r="D146" s="188">
        <v>1086</v>
      </c>
      <c r="E146" s="114">
        <v>3.25</v>
      </c>
      <c r="F146" s="239" t="s">
        <v>190</v>
      </c>
      <c r="G146" s="315"/>
      <c r="I146" s="282">
        <v>26</v>
      </c>
      <c r="J146" s="282">
        <v>146</v>
      </c>
      <c r="K146" s="282">
        <v>157</v>
      </c>
      <c r="L146" s="282">
        <v>166</v>
      </c>
      <c r="M146" s="283">
        <v>182</v>
      </c>
      <c r="O146" s="282">
        <v>49</v>
      </c>
      <c r="P146" s="282">
        <v>173</v>
      </c>
      <c r="Q146" s="282">
        <v>198</v>
      </c>
      <c r="R146" s="282">
        <v>230</v>
      </c>
      <c r="S146" s="283">
        <v>286</v>
      </c>
      <c r="V146" s="282">
        <v>1034</v>
      </c>
      <c r="W146" s="282">
        <v>794.25</v>
      </c>
      <c r="X146" s="282">
        <v>771.24999999999989</v>
      </c>
      <c r="Y146" s="282">
        <v>754.25</v>
      </c>
      <c r="Z146" s="283">
        <v>721.25</v>
      </c>
      <c r="AB146" s="282">
        <v>989</v>
      </c>
      <c r="AC146" s="282">
        <v>739.25</v>
      </c>
      <c r="AD146" s="282">
        <v>690.25</v>
      </c>
      <c r="AE146" s="282">
        <v>625.25</v>
      </c>
      <c r="AF146" s="283">
        <v>513.25</v>
      </c>
    </row>
    <row r="147" spans="1:32">
      <c r="B147" s="273" t="s">
        <v>65</v>
      </c>
      <c r="C147" s="286" t="s">
        <v>571</v>
      </c>
      <c r="D147" s="189">
        <v>1179</v>
      </c>
      <c r="E147" s="115">
        <v>3.25</v>
      </c>
      <c r="F147" s="237" t="s">
        <v>190</v>
      </c>
      <c r="G147" s="314"/>
      <c r="I147" s="267">
        <v>26</v>
      </c>
      <c r="J147" s="267">
        <v>146</v>
      </c>
      <c r="K147" s="267">
        <v>157</v>
      </c>
      <c r="L147" s="267">
        <v>166</v>
      </c>
      <c r="M147" s="268">
        <v>182</v>
      </c>
      <c r="O147" s="267">
        <v>49</v>
      </c>
      <c r="P147" s="267">
        <v>173</v>
      </c>
      <c r="Q147" s="267">
        <v>198</v>
      </c>
      <c r="R147" s="267">
        <v>230</v>
      </c>
      <c r="S147" s="268">
        <v>286</v>
      </c>
      <c r="V147" s="267">
        <v>1127</v>
      </c>
      <c r="W147" s="267">
        <v>887.25</v>
      </c>
      <c r="X147" s="267">
        <v>864.25</v>
      </c>
      <c r="Y147" s="267">
        <v>847.25</v>
      </c>
      <c r="Z147" s="268">
        <v>814.25</v>
      </c>
      <c r="AB147" s="267">
        <v>1082</v>
      </c>
      <c r="AC147" s="267">
        <v>832.25</v>
      </c>
      <c r="AD147" s="267">
        <v>783.25</v>
      </c>
      <c r="AE147" s="267">
        <v>718.25</v>
      </c>
      <c r="AF147" s="268">
        <v>606.25</v>
      </c>
    </row>
    <row r="148" spans="1:32">
      <c r="A148" s="109"/>
      <c r="B148" s="280" t="s">
        <v>65</v>
      </c>
      <c r="C148" s="281" t="s">
        <v>572</v>
      </c>
      <c r="D148" s="188">
        <v>1980</v>
      </c>
      <c r="E148" s="114">
        <v>3.25</v>
      </c>
      <c r="F148" s="239" t="s">
        <v>190</v>
      </c>
      <c r="G148" s="315"/>
      <c r="I148" s="282">
        <v>26</v>
      </c>
      <c r="J148" s="282">
        <v>246</v>
      </c>
      <c r="K148" s="282">
        <v>257</v>
      </c>
      <c r="L148" s="282">
        <v>266</v>
      </c>
      <c r="M148" s="283">
        <v>282</v>
      </c>
      <c r="O148" s="282">
        <v>49</v>
      </c>
      <c r="P148" s="282">
        <v>273</v>
      </c>
      <c r="Q148" s="282">
        <v>298</v>
      </c>
      <c r="R148" s="282">
        <v>330</v>
      </c>
      <c r="S148" s="283">
        <v>386</v>
      </c>
      <c r="V148" s="282">
        <v>1928</v>
      </c>
      <c r="W148" s="282">
        <v>1488.5</v>
      </c>
      <c r="X148" s="282">
        <v>1465.5</v>
      </c>
      <c r="Y148" s="282">
        <v>1448.5</v>
      </c>
      <c r="Z148" s="283">
        <v>1415.5</v>
      </c>
      <c r="AB148" s="282">
        <v>1883</v>
      </c>
      <c r="AC148" s="282">
        <v>1433.5</v>
      </c>
      <c r="AD148" s="282">
        <v>1384.5</v>
      </c>
      <c r="AE148" s="282">
        <v>1319.5</v>
      </c>
      <c r="AF148" s="283">
        <v>1207.5</v>
      </c>
    </row>
    <row r="149" spans="1:32">
      <c r="B149" s="273" t="s">
        <v>65</v>
      </c>
      <c r="C149" s="286" t="s">
        <v>573</v>
      </c>
      <c r="D149" s="189">
        <v>1703</v>
      </c>
      <c r="E149" s="115">
        <v>3.25</v>
      </c>
      <c r="F149" s="237" t="s">
        <v>190</v>
      </c>
      <c r="G149" s="314"/>
      <c r="I149" s="267">
        <v>26</v>
      </c>
      <c r="J149" s="267">
        <v>171</v>
      </c>
      <c r="K149" s="267">
        <v>182</v>
      </c>
      <c r="L149" s="267">
        <v>191</v>
      </c>
      <c r="M149" s="268">
        <v>207</v>
      </c>
      <c r="O149" s="267">
        <v>49</v>
      </c>
      <c r="P149" s="267">
        <v>198</v>
      </c>
      <c r="Q149" s="267">
        <v>223</v>
      </c>
      <c r="R149" s="267">
        <v>255</v>
      </c>
      <c r="S149" s="268">
        <v>311</v>
      </c>
      <c r="V149" s="267">
        <v>1651</v>
      </c>
      <c r="W149" s="267">
        <v>1361.25</v>
      </c>
      <c r="X149" s="267">
        <v>1338.25</v>
      </c>
      <c r="Y149" s="267">
        <v>1321.25</v>
      </c>
      <c r="Z149" s="268">
        <v>1288.25</v>
      </c>
      <c r="AB149" s="267">
        <v>1606</v>
      </c>
      <c r="AC149" s="267">
        <v>1306.25</v>
      </c>
      <c r="AD149" s="267">
        <v>1257.25</v>
      </c>
      <c r="AE149" s="267">
        <v>1192.25</v>
      </c>
      <c r="AF149" s="268">
        <v>1080.25</v>
      </c>
    </row>
    <row r="150" spans="1:32">
      <c r="A150" s="109"/>
      <c r="B150" s="280" t="s">
        <v>65</v>
      </c>
      <c r="C150" s="281" t="s">
        <v>574</v>
      </c>
      <c r="D150" s="188">
        <v>1796</v>
      </c>
      <c r="E150" s="114">
        <v>3.25</v>
      </c>
      <c r="F150" s="239" t="s">
        <v>190</v>
      </c>
      <c r="G150" s="315"/>
      <c r="I150" s="282">
        <v>26</v>
      </c>
      <c r="J150" s="282">
        <v>171</v>
      </c>
      <c r="K150" s="282">
        <v>183</v>
      </c>
      <c r="L150" s="282">
        <v>191</v>
      </c>
      <c r="M150" s="283">
        <v>208</v>
      </c>
      <c r="O150" s="282">
        <v>49</v>
      </c>
      <c r="P150" s="282">
        <v>199</v>
      </c>
      <c r="Q150" s="282">
        <v>223</v>
      </c>
      <c r="R150" s="282">
        <v>256</v>
      </c>
      <c r="S150" s="283">
        <v>312</v>
      </c>
      <c r="V150" s="282">
        <v>1744</v>
      </c>
      <c r="W150" s="282">
        <v>1453.25</v>
      </c>
      <c r="X150" s="282">
        <v>1430.25</v>
      </c>
      <c r="Y150" s="282">
        <v>1413.25</v>
      </c>
      <c r="Z150" s="283">
        <v>1380.25</v>
      </c>
      <c r="AB150" s="282">
        <v>1699</v>
      </c>
      <c r="AC150" s="282">
        <v>1398.25</v>
      </c>
      <c r="AD150" s="282">
        <v>1349.25</v>
      </c>
      <c r="AE150" s="282">
        <v>1284.25</v>
      </c>
      <c r="AF150" s="283">
        <v>1172.25</v>
      </c>
    </row>
    <row r="151" spans="1:32">
      <c r="B151" s="273" t="s">
        <v>65</v>
      </c>
      <c r="C151" s="286" t="s">
        <v>515</v>
      </c>
      <c r="D151" s="189">
        <v>429</v>
      </c>
      <c r="E151" s="115">
        <v>0</v>
      </c>
      <c r="F151" s="237" t="s">
        <v>195</v>
      </c>
      <c r="G151" s="314"/>
      <c r="I151" s="267">
        <v>95</v>
      </c>
      <c r="J151" s="267">
        <v>105</v>
      </c>
      <c r="K151" s="267">
        <v>117</v>
      </c>
      <c r="L151" s="267">
        <v>125</v>
      </c>
      <c r="M151" s="268">
        <v>142</v>
      </c>
      <c r="O151" s="267">
        <v>118</v>
      </c>
      <c r="P151" s="267">
        <v>133</v>
      </c>
      <c r="Q151" s="267">
        <v>157</v>
      </c>
      <c r="R151" s="267">
        <v>190</v>
      </c>
      <c r="S151" s="268">
        <v>246</v>
      </c>
      <c r="V151" s="267">
        <v>238.36</v>
      </c>
      <c r="W151" s="267">
        <v>218.36</v>
      </c>
      <c r="X151" s="267">
        <v>195.3599999999999</v>
      </c>
      <c r="Y151" s="267">
        <v>178.36</v>
      </c>
      <c r="Z151" s="268">
        <v>145.36000000000001</v>
      </c>
      <c r="AB151" s="267">
        <v>193.36000000000007</v>
      </c>
      <c r="AC151" s="267">
        <v>163.36000000000001</v>
      </c>
      <c r="AD151" s="267">
        <v>114.36000000000001</v>
      </c>
      <c r="AE151" s="267">
        <v>49.360000000000014</v>
      </c>
      <c r="AF151" s="268">
        <v>-62.639999999999986</v>
      </c>
    </row>
    <row r="152" spans="1:32">
      <c r="A152" s="109"/>
      <c r="B152" s="280" t="s">
        <v>65</v>
      </c>
      <c r="C152" s="281" t="s">
        <v>516</v>
      </c>
      <c r="D152" s="188">
        <v>537</v>
      </c>
      <c r="E152" s="114">
        <v>0</v>
      </c>
      <c r="F152" s="239" t="s">
        <v>195</v>
      </c>
      <c r="G152" s="315"/>
      <c r="I152" s="282">
        <v>26</v>
      </c>
      <c r="J152" s="282">
        <v>36</v>
      </c>
      <c r="K152" s="282">
        <v>96</v>
      </c>
      <c r="L152" s="282">
        <v>105</v>
      </c>
      <c r="M152" s="283">
        <v>121</v>
      </c>
      <c r="O152" s="282">
        <v>49</v>
      </c>
      <c r="P152" s="282">
        <v>64</v>
      </c>
      <c r="Q152" s="282">
        <v>137</v>
      </c>
      <c r="R152" s="282">
        <v>169</v>
      </c>
      <c r="S152" s="283">
        <v>225</v>
      </c>
      <c r="V152" s="282">
        <v>485</v>
      </c>
      <c r="W152" s="282">
        <v>465</v>
      </c>
      <c r="X152" s="282">
        <v>344.7999999999999</v>
      </c>
      <c r="Y152" s="282">
        <v>327.8</v>
      </c>
      <c r="Z152" s="283">
        <v>294.8</v>
      </c>
      <c r="AB152" s="282">
        <v>440.00000000000006</v>
      </c>
      <c r="AC152" s="282">
        <v>410</v>
      </c>
      <c r="AD152" s="282">
        <v>263.8</v>
      </c>
      <c r="AE152" s="282">
        <v>198.8</v>
      </c>
      <c r="AF152" s="283">
        <v>86.800000000000011</v>
      </c>
    </row>
    <row r="153" spans="1:32">
      <c r="B153" s="273" t="s">
        <v>65</v>
      </c>
      <c r="C153" s="286" t="s">
        <v>517</v>
      </c>
      <c r="D153" s="189">
        <v>702</v>
      </c>
      <c r="E153" s="115">
        <v>0</v>
      </c>
      <c r="F153" s="237" t="s">
        <v>195</v>
      </c>
      <c r="G153" s="314"/>
      <c r="I153" s="267">
        <v>26</v>
      </c>
      <c r="J153" s="267">
        <v>36</v>
      </c>
      <c r="K153" s="267">
        <v>146</v>
      </c>
      <c r="L153" s="267">
        <v>155</v>
      </c>
      <c r="M153" s="268">
        <v>171</v>
      </c>
      <c r="O153" s="267">
        <v>49</v>
      </c>
      <c r="P153" s="267">
        <v>64</v>
      </c>
      <c r="Q153" s="267">
        <v>187</v>
      </c>
      <c r="R153" s="267">
        <v>219</v>
      </c>
      <c r="S153" s="268">
        <v>275</v>
      </c>
      <c r="V153" s="267">
        <v>650</v>
      </c>
      <c r="W153" s="267">
        <v>630</v>
      </c>
      <c r="X153" s="267">
        <v>409.7999999999999</v>
      </c>
      <c r="Y153" s="267">
        <v>392.8</v>
      </c>
      <c r="Z153" s="268">
        <v>359.8</v>
      </c>
      <c r="AB153" s="267">
        <v>605</v>
      </c>
      <c r="AC153" s="267">
        <v>575</v>
      </c>
      <c r="AD153" s="267">
        <v>328.8</v>
      </c>
      <c r="AE153" s="267">
        <v>263.8</v>
      </c>
      <c r="AF153" s="268">
        <v>151.80000000000001</v>
      </c>
    </row>
    <row r="154" spans="1:32">
      <c r="A154" s="109"/>
      <c r="B154" s="280" t="s">
        <v>65</v>
      </c>
      <c r="C154" s="281" t="s">
        <v>417</v>
      </c>
      <c r="D154" s="188">
        <v>2727</v>
      </c>
      <c r="E154" s="114">
        <v>0</v>
      </c>
      <c r="F154" s="239" t="s">
        <v>195</v>
      </c>
      <c r="G154" s="315"/>
      <c r="I154" s="282">
        <v>26</v>
      </c>
      <c r="J154" s="282">
        <v>36</v>
      </c>
      <c r="K154" s="282">
        <v>462</v>
      </c>
      <c r="L154" s="282">
        <v>470</v>
      </c>
      <c r="M154" s="283">
        <v>487</v>
      </c>
      <c r="O154" s="282">
        <v>49</v>
      </c>
      <c r="P154" s="282">
        <v>64</v>
      </c>
      <c r="Q154" s="282">
        <v>502</v>
      </c>
      <c r="R154" s="282">
        <v>535</v>
      </c>
      <c r="S154" s="283">
        <v>591</v>
      </c>
      <c r="V154" s="282">
        <v>2675</v>
      </c>
      <c r="W154" s="282">
        <v>2655</v>
      </c>
      <c r="X154" s="282">
        <v>1803.8</v>
      </c>
      <c r="Y154" s="282">
        <v>1786.8</v>
      </c>
      <c r="Z154" s="283">
        <v>1753.8</v>
      </c>
      <c r="AB154" s="282">
        <v>2630</v>
      </c>
      <c r="AC154" s="282">
        <v>2600</v>
      </c>
      <c r="AD154" s="282">
        <v>1722.8</v>
      </c>
      <c r="AE154" s="282">
        <v>1657.8</v>
      </c>
      <c r="AF154" s="283">
        <v>1545.8</v>
      </c>
    </row>
    <row r="155" spans="1:32">
      <c r="B155" s="273" t="s">
        <v>65</v>
      </c>
      <c r="C155" s="286" t="s">
        <v>518</v>
      </c>
      <c r="D155" s="189">
        <v>1012</v>
      </c>
      <c r="E155" s="115">
        <v>0</v>
      </c>
      <c r="F155" s="237" t="s">
        <v>195</v>
      </c>
      <c r="G155" s="314"/>
      <c r="I155" s="267">
        <v>26</v>
      </c>
      <c r="J155" s="267">
        <v>36</v>
      </c>
      <c r="K155" s="267">
        <v>180</v>
      </c>
      <c r="L155" s="267">
        <v>188</v>
      </c>
      <c r="M155" s="268">
        <v>205</v>
      </c>
      <c r="O155" s="267">
        <v>49</v>
      </c>
      <c r="P155" s="267">
        <v>64</v>
      </c>
      <c r="Q155" s="267">
        <v>220</v>
      </c>
      <c r="R155" s="267">
        <v>253</v>
      </c>
      <c r="S155" s="268">
        <v>309</v>
      </c>
      <c r="V155" s="267">
        <v>960</v>
      </c>
      <c r="W155" s="267">
        <v>940</v>
      </c>
      <c r="X155" s="267">
        <v>652.84999999999991</v>
      </c>
      <c r="Y155" s="267">
        <v>635.85</v>
      </c>
      <c r="Z155" s="268">
        <v>602.85</v>
      </c>
      <c r="AB155" s="267">
        <v>915</v>
      </c>
      <c r="AC155" s="267">
        <v>885</v>
      </c>
      <c r="AD155" s="267">
        <v>571.85</v>
      </c>
      <c r="AE155" s="267">
        <v>506.85</v>
      </c>
      <c r="AF155" s="268">
        <v>394.85</v>
      </c>
    </row>
    <row r="156" spans="1:32">
      <c r="A156" s="109"/>
      <c r="B156" s="280" t="s">
        <v>180</v>
      </c>
      <c r="C156" s="281" t="s">
        <v>384</v>
      </c>
      <c r="D156" s="188">
        <v>162</v>
      </c>
      <c r="E156" s="114">
        <v>3.25</v>
      </c>
      <c r="F156" s="239" t="s">
        <v>190</v>
      </c>
      <c r="G156" s="315"/>
      <c r="I156" s="282">
        <v>49</v>
      </c>
      <c r="J156" s="282">
        <v>59</v>
      </c>
      <c r="K156" s="282">
        <v>71</v>
      </c>
      <c r="L156" s="282">
        <v>79</v>
      </c>
      <c r="M156" s="283">
        <v>96</v>
      </c>
      <c r="O156" s="282">
        <v>72</v>
      </c>
      <c r="P156" s="282">
        <v>87</v>
      </c>
      <c r="Q156" s="282">
        <v>111</v>
      </c>
      <c r="R156" s="282">
        <v>110</v>
      </c>
      <c r="S156" s="283">
        <v>110</v>
      </c>
      <c r="V156" s="282">
        <v>63.25</v>
      </c>
      <c r="W156" s="282">
        <v>43.25</v>
      </c>
      <c r="X156" s="282">
        <v>20.249999999999886</v>
      </c>
      <c r="Y156" s="282">
        <v>3.25</v>
      </c>
      <c r="Z156" s="283">
        <v>-29.75</v>
      </c>
      <c r="AB156" s="282">
        <v>18.250000000000057</v>
      </c>
      <c r="AC156" s="282">
        <v>-11.75</v>
      </c>
      <c r="AD156" s="282">
        <v>-60.75</v>
      </c>
      <c r="AE156" s="282">
        <v>-58.625</v>
      </c>
      <c r="AF156" s="283">
        <v>-58.625</v>
      </c>
    </row>
    <row r="157" spans="1:32">
      <c r="B157" s="273" t="s">
        <v>180</v>
      </c>
      <c r="C157" s="286" t="s">
        <v>519</v>
      </c>
      <c r="D157" s="189">
        <v>161</v>
      </c>
      <c r="E157" s="115">
        <v>3.25</v>
      </c>
      <c r="F157" s="237" t="s">
        <v>190</v>
      </c>
      <c r="G157" s="314"/>
      <c r="I157" s="267">
        <v>33</v>
      </c>
      <c r="J157" s="267">
        <v>43</v>
      </c>
      <c r="K157" s="267">
        <v>55</v>
      </c>
      <c r="L157" s="267">
        <v>63</v>
      </c>
      <c r="M157" s="268">
        <v>80</v>
      </c>
      <c r="O157" s="267">
        <v>56</v>
      </c>
      <c r="P157" s="267">
        <v>71</v>
      </c>
      <c r="Q157" s="267">
        <v>95</v>
      </c>
      <c r="R157" s="267">
        <v>118</v>
      </c>
      <c r="S157" s="268">
        <v>118</v>
      </c>
      <c r="V157" s="267">
        <v>94.25</v>
      </c>
      <c r="W157" s="267">
        <v>74.25</v>
      </c>
      <c r="X157" s="267">
        <v>51.249999999999886</v>
      </c>
      <c r="Y157" s="267">
        <v>34.25</v>
      </c>
      <c r="Z157" s="268">
        <v>1.25</v>
      </c>
      <c r="AB157" s="267">
        <v>49.250000000000057</v>
      </c>
      <c r="AC157" s="267">
        <v>19.25</v>
      </c>
      <c r="AD157" s="267">
        <v>-29.75</v>
      </c>
      <c r="AE157" s="267">
        <v>-74.125</v>
      </c>
      <c r="AF157" s="268">
        <v>-74.125</v>
      </c>
    </row>
    <row r="158" spans="1:32">
      <c r="A158" s="161"/>
      <c r="B158" s="280" t="s">
        <v>180</v>
      </c>
      <c r="C158" s="281" t="s">
        <v>558</v>
      </c>
      <c r="D158" s="188">
        <v>201</v>
      </c>
      <c r="E158" s="114">
        <v>3.25</v>
      </c>
      <c r="F158" s="239" t="s">
        <v>190</v>
      </c>
      <c r="G158" s="315"/>
      <c r="I158" s="282">
        <v>33</v>
      </c>
      <c r="J158" s="282">
        <v>43</v>
      </c>
      <c r="K158" s="282">
        <v>54</v>
      </c>
      <c r="L158" s="282">
        <v>63</v>
      </c>
      <c r="M158" s="283">
        <v>79</v>
      </c>
      <c r="O158" s="282">
        <v>55</v>
      </c>
      <c r="P158" s="282">
        <v>70</v>
      </c>
      <c r="Q158" s="282">
        <v>95</v>
      </c>
      <c r="R158" s="282">
        <v>127</v>
      </c>
      <c r="S158" s="283">
        <v>134</v>
      </c>
      <c r="V158" s="282">
        <v>135.25</v>
      </c>
      <c r="W158" s="282">
        <v>115.25</v>
      </c>
      <c r="X158" s="282">
        <v>92.249999999999886</v>
      </c>
      <c r="Y158" s="282">
        <v>75.25</v>
      </c>
      <c r="Z158" s="283">
        <v>42.25</v>
      </c>
      <c r="AB158" s="282">
        <v>90.250000000000057</v>
      </c>
      <c r="AC158" s="282">
        <v>60.25</v>
      </c>
      <c r="AD158" s="282">
        <v>11.25</v>
      </c>
      <c r="AE158" s="282">
        <v>-53.75</v>
      </c>
      <c r="AF158" s="283">
        <v>-66.625</v>
      </c>
    </row>
    <row r="159" spans="1:32">
      <c r="A159" s="161"/>
      <c r="B159" s="273" t="s">
        <v>180</v>
      </c>
      <c r="C159" s="286" t="s">
        <v>520</v>
      </c>
      <c r="D159" s="189">
        <v>159</v>
      </c>
      <c r="E159" s="115">
        <v>0</v>
      </c>
      <c r="F159" s="237" t="s">
        <v>195</v>
      </c>
      <c r="G159" s="314"/>
      <c r="I159" s="267">
        <v>26</v>
      </c>
      <c r="J159" s="267">
        <v>36</v>
      </c>
      <c r="K159" s="267">
        <v>48</v>
      </c>
      <c r="L159" s="267">
        <v>56</v>
      </c>
      <c r="M159" s="268">
        <v>73</v>
      </c>
      <c r="O159" s="267">
        <v>49</v>
      </c>
      <c r="P159" s="267">
        <v>64</v>
      </c>
      <c r="Q159" s="267">
        <v>88</v>
      </c>
      <c r="R159" s="267">
        <v>121</v>
      </c>
      <c r="S159" s="268">
        <v>121</v>
      </c>
      <c r="V159" s="267">
        <v>107</v>
      </c>
      <c r="W159" s="267">
        <v>87</v>
      </c>
      <c r="X159" s="267">
        <v>63.999999999999886</v>
      </c>
      <c r="Y159" s="267">
        <v>47</v>
      </c>
      <c r="Z159" s="268">
        <v>14</v>
      </c>
      <c r="AB159" s="267">
        <v>62.000000000000057</v>
      </c>
      <c r="AC159" s="267">
        <v>32</v>
      </c>
      <c r="AD159" s="267">
        <v>-17</v>
      </c>
      <c r="AE159" s="267">
        <v>-82</v>
      </c>
      <c r="AF159" s="268">
        <v>-82</v>
      </c>
    </row>
    <row r="160" spans="1:32">
      <c r="A160" s="161"/>
      <c r="B160" s="280" t="s">
        <v>180</v>
      </c>
      <c r="C160" s="281" t="s">
        <v>428</v>
      </c>
      <c r="D160" s="188">
        <v>49</v>
      </c>
      <c r="E160" s="114">
        <v>1.1000000000000001</v>
      </c>
      <c r="F160" s="239" t="s">
        <v>4</v>
      </c>
      <c r="G160" s="315"/>
      <c r="I160" s="282">
        <v>25</v>
      </c>
      <c r="J160" s="282">
        <v>25</v>
      </c>
      <c r="K160" s="282">
        <v>0</v>
      </c>
      <c r="L160" s="282">
        <v>0</v>
      </c>
      <c r="M160" s="283">
        <v>0</v>
      </c>
      <c r="O160" s="282">
        <v>25</v>
      </c>
      <c r="P160" s="282">
        <v>25</v>
      </c>
      <c r="Q160" s="282">
        <v>0</v>
      </c>
      <c r="R160" s="282">
        <v>0</v>
      </c>
      <c r="S160" s="283">
        <v>0</v>
      </c>
      <c r="V160" s="282">
        <v>0</v>
      </c>
      <c r="W160" s="282">
        <v>0</v>
      </c>
      <c r="X160" s="282" t="s">
        <v>15</v>
      </c>
      <c r="Y160" s="282" t="s">
        <v>15</v>
      </c>
      <c r="Z160" s="283" t="s">
        <v>15</v>
      </c>
      <c r="AB160" s="282">
        <v>0</v>
      </c>
      <c r="AC160" s="282">
        <v>0</v>
      </c>
      <c r="AD160" s="282" t="s">
        <v>15</v>
      </c>
      <c r="AE160" s="282" t="s">
        <v>15</v>
      </c>
      <c r="AF160" s="283" t="s">
        <v>15</v>
      </c>
    </row>
    <row r="161" spans="1:32">
      <c r="A161" s="161"/>
      <c r="B161" s="273" t="s">
        <v>180</v>
      </c>
      <c r="C161" s="286" t="s">
        <v>467</v>
      </c>
      <c r="D161" s="189">
        <v>60</v>
      </c>
      <c r="E161" s="115">
        <v>1.1000000000000001</v>
      </c>
      <c r="F161" s="237" t="s">
        <v>4</v>
      </c>
      <c r="G161" s="314"/>
      <c r="I161" s="267">
        <v>30</v>
      </c>
      <c r="J161" s="267">
        <v>30</v>
      </c>
      <c r="K161" s="267">
        <v>0</v>
      </c>
      <c r="L161" s="267">
        <v>0</v>
      </c>
      <c r="M161" s="268">
        <v>0</v>
      </c>
      <c r="O161" s="267">
        <v>30</v>
      </c>
      <c r="P161" s="267">
        <v>30</v>
      </c>
      <c r="Q161" s="267">
        <v>0</v>
      </c>
      <c r="R161" s="267">
        <v>0</v>
      </c>
      <c r="S161" s="268">
        <v>0</v>
      </c>
      <c r="V161" s="267">
        <v>0</v>
      </c>
      <c r="W161" s="267">
        <v>0</v>
      </c>
      <c r="X161" s="267" t="s">
        <v>15</v>
      </c>
      <c r="Y161" s="267" t="s">
        <v>15</v>
      </c>
      <c r="Z161" s="268" t="s">
        <v>15</v>
      </c>
      <c r="AB161" s="267">
        <v>0</v>
      </c>
      <c r="AC161" s="267">
        <v>0</v>
      </c>
      <c r="AD161" s="267" t="s">
        <v>15</v>
      </c>
      <c r="AE161" s="267" t="s">
        <v>15</v>
      </c>
      <c r="AF161" s="268" t="s">
        <v>15</v>
      </c>
    </row>
    <row r="162" spans="1:32">
      <c r="A162" s="161"/>
      <c r="B162" s="280" t="s">
        <v>180</v>
      </c>
      <c r="C162" s="281" t="s">
        <v>429</v>
      </c>
      <c r="D162" s="188">
        <v>132</v>
      </c>
      <c r="E162" s="114">
        <v>3.75</v>
      </c>
      <c r="F162" s="239" t="s">
        <v>191</v>
      </c>
      <c r="G162" s="315"/>
      <c r="I162" s="282">
        <v>26</v>
      </c>
      <c r="J162" s="282">
        <v>36</v>
      </c>
      <c r="K162" s="282">
        <v>48</v>
      </c>
      <c r="L162" s="282">
        <v>56</v>
      </c>
      <c r="M162" s="283">
        <v>73</v>
      </c>
      <c r="O162" s="282">
        <v>49</v>
      </c>
      <c r="P162" s="282">
        <v>64</v>
      </c>
      <c r="Q162" s="282">
        <v>88</v>
      </c>
      <c r="R162" s="282">
        <v>93</v>
      </c>
      <c r="S162" s="283">
        <v>93</v>
      </c>
      <c r="V162" s="282">
        <v>80</v>
      </c>
      <c r="W162" s="282">
        <v>60</v>
      </c>
      <c r="X162" s="282">
        <v>36.999999999999886</v>
      </c>
      <c r="Y162" s="282">
        <v>20</v>
      </c>
      <c r="Z162" s="283">
        <v>-13</v>
      </c>
      <c r="AB162" s="282">
        <v>35.000000000000057</v>
      </c>
      <c r="AC162" s="282">
        <v>5</v>
      </c>
      <c r="AD162" s="282">
        <v>-44</v>
      </c>
      <c r="AE162" s="282">
        <v>-53.125</v>
      </c>
      <c r="AF162" s="283">
        <v>-53.125</v>
      </c>
    </row>
    <row r="163" spans="1:32">
      <c r="A163" s="161"/>
      <c r="B163" s="273" t="s">
        <v>181</v>
      </c>
      <c r="C163" s="286" t="s">
        <v>484</v>
      </c>
      <c r="D163" s="189">
        <v>1072</v>
      </c>
      <c r="E163" s="115">
        <v>3.25</v>
      </c>
      <c r="F163" s="237" t="s">
        <v>190</v>
      </c>
      <c r="G163" s="314"/>
      <c r="I163" s="267">
        <v>26</v>
      </c>
      <c r="J163" s="267">
        <v>261</v>
      </c>
      <c r="K163" s="267">
        <v>273</v>
      </c>
      <c r="L163" s="267">
        <v>281</v>
      </c>
      <c r="M163" s="268">
        <v>298</v>
      </c>
      <c r="O163" s="267">
        <v>49</v>
      </c>
      <c r="P163" s="267">
        <v>289</v>
      </c>
      <c r="Q163" s="267">
        <v>313</v>
      </c>
      <c r="R163" s="267">
        <v>346</v>
      </c>
      <c r="S163" s="268">
        <v>402</v>
      </c>
      <c r="V163" s="267">
        <v>1020</v>
      </c>
      <c r="W163" s="267">
        <v>549.51</v>
      </c>
      <c r="X163" s="267">
        <v>526.50999999999988</v>
      </c>
      <c r="Y163" s="267">
        <v>509.51</v>
      </c>
      <c r="Z163" s="268">
        <v>476.51</v>
      </c>
      <c r="AB163" s="267">
        <v>975</v>
      </c>
      <c r="AC163" s="267">
        <v>494.51</v>
      </c>
      <c r="AD163" s="267">
        <v>445.51</v>
      </c>
      <c r="AE163" s="267">
        <v>380.51</v>
      </c>
      <c r="AF163" s="268">
        <v>268.51</v>
      </c>
    </row>
    <row r="164" spans="1:32">
      <c r="A164" s="161"/>
      <c r="B164" s="280" t="s">
        <v>181</v>
      </c>
      <c r="C164" s="281" t="s">
        <v>501</v>
      </c>
      <c r="D164" s="188">
        <v>1402</v>
      </c>
      <c r="E164" s="114">
        <v>3.25</v>
      </c>
      <c r="F164" s="239" t="s">
        <v>190</v>
      </c>
      <c r="G164" s="315"/>
      <c r="I164" s="282">
        <v>26</v>
      </c>
      <c r="J164" s="282">
        <v>296</v>
      </c>
      <c r="K164" s="282">
        <v>307</v>
      </c>
      <c r="L164" s="282">
        <v>316</v>
      </c>
      <c r="M164" s="283">
        <v>332</v>
      </c>
      <c r="O164" s="282">
        <v>49</v>
      </c>
      <c r="P164" s="282">
        <v>323</v>
      </c>
      <c r="Q164" s="282">
        <v>348</v>
      </c>
      <c r="R164" s="282">
        <v>380</v>
      </c>
      <c r="S164" s="283">
        <v>436</v>
      </c>
      <c r="V164" s="282">
        <v>1350</v>
      </c>
      <c r="W164" s="282">
        <v>810.08999999999992</v>
      </c>
      <c r="X164" s="282">
        <v>787.08999999999992</v>
      </c>
      <c r="Y164" s="282">
        <v>770.08999999999992</v>
      </c>
      <c r="Z164" s="283">
        <v>737.08999999999992</v>
      </c>
      <c r="AB164" s="282">
        <v>1305</v>
      </c>
      <c r="AC164" s="282">
        <v>755.08999999999992</v>
      </c>
      <c r="AD164" s="282">
        <v>706.08999999999992</v>
      </c>
      <c r="AE164" s="282">
        <v>641.08999999999992</v>
      </c>
      <c r="AF164" s="283">
        <v>529.08999999999992</v>
      </c>
    </row>
    <row r="165" spans="1:32">
      <c r="A165" s="161"/>
      <c r="B165" s="273" t="s">
        <v>181</v>
      </c>
      <c r="C165" s="286" t="s">
        <v>603</v>
      </c>
      <c r="D165" s="189">
        <v>174</v>
      </c>
      <c r="E165" s="115">
        <v>3.25</v>
      </c>
      <c r="F165" s="237" t="s">
        <v>190</v>
      </c>
      <c r="G165" s="314"/>
      <c r="I165" s="267">
        <v>58</v>
      </c>
      <c r="J165" s="267">
        <v>68</v>
      </c>
      <c r="K165" s="267">
        <v>80</v>
      </c>
      <c r="L165" s="267">
        <v>88</v>
      </c>
      <c r="M165" s="268">
        <v>105</v>
      </c>
      <c r="O165" s="267">
        <v>81</v>
      </c>
      <c r="P165" s="267">
        <v>96</v>
      </c>
      <c r="Q165" s="267">
        <v>120</v>
      </c>
      <c r="R165" s="267">
        <v>115</v>
      </c>
      <c r="S165" s="268">
        <v>115</v>
      </c>
      <c r="V165" s="267">
        <v>57.680000000000007</v>
      </c>
      <c r="W165" s="267">
        <v>37.680000000000007</v>
      </c>
      <c r="X165" s="267">
        <v>14.679999999999893</v>
      </c>
      <c r="Y165" s="267">
        <v>-2.3199999999999932</v>
      </c>
      <c r="Z165" s="268">
        <v>-35.319999999999993</v>
      </c>
      <c r="AB165" s="267">
        <v>12.680000000000064</v>
      </c>
      <c r="AC165" s="267">
        <v>-17.319999999999993</v>
      </c>
      <c r="AD165" s="267">
        <v>-66.319999999999993</v>
      </c>
      <c r="AE165" s="267">
        <v>-55.84</v>
      </c>
      <c r="AF165" s="268">
        <v>-55.84</v>
      </c>
    </row>
    <row r="166" spans="1:32">
      <c r="A166" s="161"/>
      <c r="B166" s="280" t="s">
        <v>181</v>
      </c>
      <c r="C166" s="281" t="s">
        <v>604</v>
      </c>
      <c r="D166" s="188">
        <v>638</v>
      </c>
      <c r="E166" s="114">
        <v>3.25</v>
      </c>
      <c r="F166" s="239" t="s">
        <v>190</v>
      </c>
      <c r="G166" s="315"/>
      <c r="I166" s="282">
        <v>26</v>
      </c>
      <c r="J166" s="282">
        <v>134</v>
      </c>
      <c r="K166" s="282">
        <v>146</v>
      </c>
      <c r="L166" s="282">
        <v>154</v>
      </c>
      <c r="M166" s="283">
        <v>171</v>
      </c>
      <c r="O166" s="282">
        <v>49</v>
      </c>
      <c r="P166" s="282">
        <v>162</v>
      </c>
      <c r="Q166" s="282">
        <v>186</v>
      </c>
      <c r="R166" s="282">
        <v>219</v>
      </c>
      <c r="S166" s="283">
        <v>275</v>
      </c>
      <c r="V166" s="282">
        <v>586</v>
      </c>
      <c r="W166" s="282">
        <v>369.57000000000005</v>
      </c>
      <c r="X166" s="282">
        <v>346.56999999999994</v>
      </c>
      <c r="Y166" s="282">
        <v>329.57000000000005</v>
      </c>
      <c r="Z166" s="283">
        <v>296.57000000000005</v>
      </c>
      <c r="AB166" s="282">
        <v>541</v>
      </c>
      <c r="AC166" s="282">
        <v>314.57000000000005</v>
      </c>
      <c r="AD166" s="282">
        <v>265.57000000000005</v>
      </c>
      <c r="AE166" s="282">
        <v>200.57000000000005</v>
      </c>
      <c r="AF166" s="283">
        <v>88.57000000000005</v>
      </c>
    </row>
    <row r="167" spans="1:32">
      <c r="A167" s="161"/>
      <c r="B167" s="273" t="s">
        <v>181</v>
      </c>
      <c r="C167" s="286" t="s">
        <v>605</v>
      </c>
      <c r="D167" s="189">
        <v>801</v>
      </c>
      <c r="E167" s="115">
        <v>3.25</v>
      </c>
      <c r="F167" s="237" t="s">
        <v>190</v>
      </c>
      <c r="G167" s="314"/>
      <c r="I167" s="267">
        <v>26</v>
      </c>
      <c r="J167" s="267">
        <v>162</v>
      </c>
      <c r="K167" s="267">
        <v>174</v>
      </c>
      <c r="L167" s="267">
        <v>182</v>
      </c>
      <c r="M167" s="268">
        <v>199</v>
      </c>
      <c r="O167" s="267">
        <v>49</v>
      </c>
      <c r="P167" s="267">
        <v>190</v>
      </c>
      <c r="Q167" s="267">
        <v>214</v>
      </c>
      <c r="R167" s="267">
        <v>247</v>
      </c>
      <c r="S167" s="268">
        <v>303</v>
      </c>
      <c r="V167" s="267">
        <v>749</v>
      </c>
      <c r="W167" s="267">
        <v>476.67999999999995</v>
      </c>
      <c r="X167" s="267">
        <v>453.67999999999984</v>
      </c>
      <c r="Y167" s="267">
        <v>436.67999999999995</v>
      </c>
      <c r="Z167" s="268">
        <v>403.67999999999995</v>
      </c>
      <c r="AB167" s="267">
        <v>704</v>
      </c>
      <c r="AC167" s="267">
        <v>421.67999999999995</v>
      </c>
      <c r="AD167" s="267">
        <v>372.67999999999995</v>
      </c>
      <c r="AE167" s="267">
        <v>307.67999999999995</v>
      </c>
      <c r="AF167" s="268">
        <v>195.67999999999995</v>
      </c>
    </row>
    <row r="168" spans="1:32">
      <c r="A168" s="161"/>
      <c r="B168" s="280" t="s">
        <v>181</v>
      </c>
      <c r="C168" s="281" t="s">
        <v>606</v>
      </c>
      <c r="D168" s="188">
        <v>895</v>
      </c>
      <c r="E168" s="114">
        <v>3.25</v>
      </c>
      <c r="F168" s="239" t="s">
        <v>190</v>
      </c>
      <c r="G168" s="315"/>
      <c r="I168" s="282">
        <v>26</v>
      </c>
      <c r="J168" s="282">
        <v>206</v>
      </c>
      <c r="K168" s="282">
        <v>217</v>
      </c>
      <c r="L168" s="282">
        <v>226</v>
      </c>
      <c r="M168" s="283">
        <v>242</v>
      </c>
      <c r="O168" s="282">
        <v>49</v>
      </c>
      <c r="P168" s="282">
        <v>233</v>
      </c>
      <c r="Q168" s="282">
        <v>258</v>
      </c>
      <c r="R168" s="282">
        <v>290</v>
      </c>
      <c r="S168" s="283">
        <v>346</v>
      </c>
      <c r="V168" s="282">
        <v>843</v>
      </c>
      <c r="W168" s="282">
        <v>483.08000000000004</v>
      </c>
      <c r="X168" s="282">
        <v>460.07999999999993</v>
      </c>
      <c r="Y168" s="282">
        <v>443.08000000000004</v>
      </c>
      <c r="Z168" s="283">
        <v>410.08000000000004</v>
      </c>
      <c r="AB168" s="282">
        <v>798</v>
      </c>
      <c r="AC168" s="282">
        <v>428.08000000000004</v>
      </c>
      <c r="AD168" s="282">
        <v>379.08000000000004</v>
      </c>
      <c r="AE168" s="282">
        <v>314.08000000000004</v>
      </c>
      <c r="AF168" s="283">
        <v>202.08000000000004</v>
      </c>
    </row>
    <row r="169" spans="1:32">
      <c r="A169" s="161"/>
      <c r="B169" s="273" t="s">
        <v>181</v>
      </c>
      <c r="C169" s="286" t="s">
        <v>521</v>
      </c>
      <c r="D169" s="189">
        <v>298</v>
      </c>
      <c r="E169" s="115">
        <v>0</v>
      </c>
      <c r="F169" s="237" t="s">
        <v>195</v>
      </c>
      <c r="G169" s="314"/>
      <c r="I169" s="267">
        <v>51</v>
      </c>
      <c r="J169" s="267">
        <v>61</v>
      </c>
      <c r="K169" s="267">
        <v>73</v>
      </c>
      <c r="L169" s="267">
        <v>81</v>
      </c>
      <c r="M169" s="268">
        <v>98</v>
      </c>
      <c r="O169" s="267">
        <v>74</v>
      </c>
      <c r="P169" s="267">
        <v>89</v>
      </c>
      <c r="Q169" s="267">
        <v>113</v>
      </c>
      <c r="R169" s="267">
        <v>146</v>
      </c>
      <c r="S169" s="268">
        <v>197</v>
      </c>
      <c r="V169" s="267">
        <v>195.4</v>
      </c>
      <c r="W169" s="267">
        <v>175.4</v>
      </c>
      <c r="X169" s="267">
        <v>152.39999999999989</v>
      </c>
      <c r="Y169" s="267">
        <v>135.4</v>
      </c>
      <c r="Z169" s="268">
        <v>102.4</v>
      </c>
      <c r="AB169" s="267">
        <v>150.40000000000006</v>
      </c>
      <c r="AC169" s="267">
        <v>120.4</v>
      </c>
      <c r="AD169" s="267">
        <v>71.400000000000006</v>
      </c>
      <c r="AE169" s="267">
        <v>6.4000000000000057</v>
      </c>
      <c r="AF169" s="268">
        <v>-96.700000000000045</v>
      </c>
    </row>
    <row r="170" spans="1:32">
      <c r="A170" s="161"/>
      <c r="B170" s="280" t="s">
        <v>181</v>
      </c>
      <c r="C170" s="281" t="s">
        <v>530</v>
      </c>
      <c r="D170" s="188">
        <v>445</v>
      </c>
      <c r="E170" s="114">
        <v>0</v>
      </c>
      <c r="F170" s="239" t="s">
        <v>195</v>
      </c>
      <c r="G170" s="315"/>
      <c r="I170" s="282">
        <v>49</v>
      </c>
      <c r="J170" s="282">
        <v>59</v>
      </c>
      <c r="K170" s="282">
        <v>71</v>
      </c>
      <c r="L170" s="282">
        <v>79</v>
      </c>
      <c r="M170" s="283">
        <v>96</v>
      </c>
      <c r="O170" s="282">
        <v>72</v>
      </c>
      <c r="P170" s="282">
        <v>87</v>
      </c>
      <c r="Q170" s="282">
        <v>111</v>
      </c>
      <c r="R170" s="282">
        <v>144</v>
      </c>
      <c r="S170" s="283">
        <v>200</v>
      </c>
      <c r="V170" s="282">
        <v>346.77000000000004</v>
      </c>
      <c r="W170" s="282">
        <v>326.77000000000004</v>
      </c>
      <c r="X170" s="282">
        <v>303.76999999999992</v>
      </c>
      <c r="Y170" s="282">
        <v>286.77000000000004</v>
      </c>
      <c r="Z170" s="283">
        <v>253.77000000000004</v>
      </c>
      <c r="AB170" s="282">
        <v>301.7700000000001</v>
      </c>
      <c r="AC170" s="282">
        <v>271.77000000000004</v>
      </c>
      <c r="AD170" s="282">
        <v>222.77000000000004</v>
      </c>
      <c r="AE170" s="282">
        <v>157.77000000000004</v>
      </c>
      <c r="AF170" s="283">
        <v>45.770000000000039</v>
      </c>
    </row>
    <row r="171" spans="1:32">
      <c r="A171" s="161"/>
      <c r="B171" s="273" t="s">
        <v>181</v>
      </c>
      <c r="C171" s="286" t="s">
        <v>522</v>
      </c>
      <c r="D171" s="189">
        <v>577</v>
      </c>
      <c r="E171" s="115">
        <v>0</v>
      </c>
      <c r="F171" s="237" t="s">
        <v>195</v>
      </c>
      <c r="G171" s="314"/>
      <c r="I171" s="267">
        <v>26</v>
      </c>
      <c r="J171" s="267">
        <v>36</v>
      </c>
      <c r="K171" s="267">
        <v>106</v>
      </c>
      <c r="L171" s="267">
        <v>114</v>
      </c>
      <c r="M171" s="268">
        <v>131</v>
      </c>
      <c r="O171" s="267">
        <v>49</v>
      </c>
      <c r="P171" s="267">
        <v>64</v>
      </c>
      <c r="Q171" s="267">
        <v>146</v>
      </c>
      <c r="R171" s="267">
        <v>179</v>
      </c>
      <c r="S171" s="268">
        <v>235</v>
      </c>
      <c r="V171" s="267">
        <v>525</v>
      </c>
      <c r="W171" s="267">
        <v>505</v>
      </c>
      <c r="X171" s="267">
        <v>365.33999999999992</v>
      </c>
      <c r="Y171" s="267">
        <v>348.34000000000003</v>
      </c>
      <c r="Z171" s="268">
        <v>315.34000000000003</v>
      </c>
      <c r="AB171" s="267">
        <v>480.00000000000006</v>
      </c>
      <c r="AC171" s="267">
        <v>450</v>
      </c>
      <c r="AD171" s="267">
        <v>284.34000000000003</v>
      </c>
      <c r="AE171" s="267">
        <v>219.34000000000003</v>
      </c>
      <c r="AF171" s="268">
        <v>107.34000000000003</v>
      </c>
    </row>
    <row r="172" spans="1:32">
      <c r="A172" s="161"/>
      <c r="B172" s="280" t="s">
        <v>181</v>
      </c>
      <c r="C172" s="281" t="s">
        <v>451</v>
      </c>
      <c r="D172" s="188">
        <v>459</v>
      </c>
      <c r="E172" s="114">
        <v>0</v>
      </c>
      <c r="F172" s="239" t="s">
        <v>464</v>
      </c>
      <c r="G172" s="315"/>
      <c r="I172" s="282">
        <v>121</v>
      </c>
      <c r="J172" s="282">
        <v>131</v>
      </c>
      <c r="K172" s="282">
        <v>143</v>
      </c>
      <c r="L172" s="282">
        <v>151</v>
      </c>
      <c r="M172" s="283">
        <v>168</v>
      </c>
      <c r="O172" s="282">
        <v>144</v>
      </c>
      <c r="P172" s="282">
        <v>159</v>
      </c>
      <c r="Q172" s="282">
        <v>183</v>
      </c>
      <c r="R172" s="282">
        <v>216</v>
      </c>
      <c r="S172" s="283">
        <v>272</v>
      </c>
      <c r="V172" s="282">
        <v>216.11</v>
      </c>
      <c r="W172" s="282">
        <v>196.11</v>
      </c>
      <c r="X172" s="282">
        <v>173.1099999999999</v>
      </c>
      <c r="Y172" s="282">
        <v>156.11000000000001</v>
      </c>
      <c r="Z172" s="283">
        <v>123.11000000000001</v>
      </c>
      <c r="AB172" s="282">
        <v>171.11000000000007</v>
      </c>
      <c r="AC172" s="282">
        <v>141.11000000000001</v>
      </c>
      <c r="AD172" s="282">
        <v>92.110000000000014</v>
      </c>
      <c r="AE172" s="282">
        <v>27.110000000000014</v>
      </c>
      <c r="AF172" s="283">
        <v>-84.889999999999986</v>
      </c>
    </row>
    <row r="173" spans="1:32">
      <c r="A173" s="161"/>
      <c r="B173" s="273" t="s">
        <v>181</v>
      </c>
      <c r="C173" s="286" t="s">
        <v>559</v>
      </c>
      <c r="D173" s="189">
        <v>516</v>
      </c>
      <c r="E173" s="115">
        <v>0</v>
      </c>
      <c r="F173" s="237" t="s">
        <v>464</v>
      </c>
      <c r="G173" s="314"/>
      <c r="I173" s="267">
        <v>109</v>
      </c>
      <c r="J173" s="267">
        <v>119</v>
      </c>
      <c r="K173" s="267">
        <v>131</v>
      </c>
      <c r="L173" s="267">
        <v>139</v>
      </c>
      <c r="M173" s="268">
        <v>156</v>
      </c>
      <c r="O173" s="267">
        <v>132</v>
      </c>
      <c r="P173" s="267">
        <v>147</v>
      </c>
      <c r="Q173" s="267">
        <v>171</v>
      </c>
      <c r="R173" s="267">
        <v>204</v>
      </c>
      <c r="S173" s="268">
        <v>260</v>
      </c>
      <c r="V173" s="267">
        <v>297.89999999999998</v>
      </c>
      <c r="W173" s="267">
        <v>277.89999999999998</v>
      </c>
      <c r="X173" s="267">
        <v>254.89999999999986</v>
      </c>
      <c r="Y173" s="267">
        <v>237.89999999999998</v>
      </c>
      <c r="Z173" s="268">
        <v>204.89999999999998</v>
      </c>
      <c r="AB173" s="267">
        <v>252.90000000000003</v>
      </c>
      <c r="AC173" s="267">
        <v>222.89999999999998</v>
      </c>
      <c r="AD173" s="267">
        <v>173.89999999999998</v>
      </c>
      <c r="AE173" s="267">
        <v>108.89999999999998</v>
      </c>
      <c r="AF173" s="268">
        <v>-3.1000000000000227</v>
      </c>
    </row>
    <row r="174" spans="1:32">
      <c r="A174" s="161"/>
      <c r="B174" s="280" t="s">
        <v>181</v>
      </c>
      <c r="C174" s="281" t="s">
        <v>541</v>
      </c>
      <c r="D174" s="188">
        <v>647</v>
      </c>
      <c r="E174" s="114">
        <v>3.75</v>
      </c>
      <c r="F174" s="239" t="s">
        <v>191</v>
      </c>
      <c r="G174" s="315"/>
      <c r="I174" s="282">
        <v>26</v>
      </c>
      <c r="J174" s="282">
        <v>149</v>
      </c>
      <c r="K174" s="282">
        <v>161</v>
      </c>
      <c r="L174" s="282">
        <v>169</v>
      </c>
      <c r="M174" s="283">
        <v>186</v>
      </c>
      <c r="O174" s="282">
        <v>49</v>
      </c>
      <c r="P174" s="282">
        <v>177</v>
      </c>
      <c r="Q174" s="282">
        <v>201</v>
      </c>
      <c r="R174" s="282">
        <v>234</v>
      </c>
      <c r="S174" s="283">
        <v>290</v>
      </c>
      <c r="V174" s="282">
        <v>595</v>
      </c>
      <c r="W174" s="282">
        <v>348.11</v>
      </c>
      <c r="X174" s="282">
        <v>325.1099999999999</v>
      </c>
      <c r="Y174" s="282">
        <v>308.11</v>
      </c>
      <c r="Z174" s="283">
        <v>275.11</v>
      </c>
      <c r="AB174" s="282">
        <v>550</v>
      </c>
      <c r="AC174" s="282">
        <v>293.11</v>
      </c>
      <c r="AD174" s="282">
        <v>244.11</v>
      </c>
      <c r="AE174" s="282">
        <v>179.11</v>
      </c>
      <c r="AF174" s="283">
        <v>67.110000000000014</v>
      </c>
    </row>
    <row r="175" spans="1:32">
      <c r="A175" s="161"/>
      <c r="B175" s="273" t="s">
        <v>181</v>
      </c>
      <c r="C175" s="286" t="s">
        <v>430</v>
      </c>
      <c r="D175" s="189">
        <v>208</v>
      </c>
      <c r="E175" s="115">
        <v>3.75</v>
      </c>
      <c r="F175" s="237" t="s">
        <v>191</v>
      </c>
      <c r="G175" s="314"/>
      <c r="I175" s="267">
        <v>43</v>
      </c>
      <c r="J175" s="267">
        <v>53</v>
      </c>
      <c r="K175" s="267">
        <v>65</v>
      </c>
      <c r="L175" s="267">
        <v>73</v>
      </c>
      <c r="M175" s="268">
        <v>90</v>
      </c>
      <c r="O175" s="267">
        <v>66</v>
      </c>
      <c r="P175" s="267">
        <v>81</v>
      </c>
      <c r="Q175" s="267">
        <v>105</v>
      </c>
      <c r="R175" s="267">
        <v>138</v>
      </c>
      <c r="S175" s="268">
        <v>138</v>
      </c>
      <c r="V175" s="267">
        <v>121.21000000000001</v>
      </c>
      <c r="W175" s="267">
        <v>101.21000000000001</v>
      </c>
      <c r="X175" s="267">
        <v>78.209999999999894</v>
      </c>
      <c r="Y175" s="267">
        <v>61.210000000000008</v>
      </c>
      <c r="Z175" s="268">
        <v>28.210000000000008</v>
      </c>
      <c r="AB175" s="267">
        <v>76.210000000000065</v>
      </c>
      <c r="AC175" s="267">
        <v>46.210000000000008</v>
      </c>
      <c r="AD175" s="267">
        <v>-2.789999999999992</v>
      </c>
      <c r="AE175" s="267">
        <v>-67.789999999999992</v>
      </c>
      <c r="AF175" s="268">
        <v>-67.789999999999964</v>
      </c>
    </row>
    <row r="176" spans="1:32">
      <c r="A176" s="161"/>
      <c r="B176" s="280" t="s">
        <v>181</v>
      </c>
      <c r="C176" s="281" t="s">
        <v>452</v>
      </c>
      <c r="D176" s="188">
        <v>174</v>
      </c>
      <c r="E176" s="114">
        <v>3.25</v>
      </c>
      <c r="F176" s="239" t="s">
        <v>190</v>
      </c>
      <c r="G176" s="315"/>
      <c r="I176" s="282">
        <v>57</v>
      </c>
      <c r="J176" s="282">
        <v>67</v>
      </c>
      <c r="K176" s="282">
        <v>78</v>
      </c>
      <c r="L176" s="282">
        <v>87</v>
      </c>
      <c r="M176" s="283">
        <v>103</v>
      </c>
      <c r="O176" s="282">
        <v>79</v>
      </c>
      <c r="P176" s="282">
        <v>94</v>
      </c>
      <c r="Q176" s="282">
        <v>119</v>
      </c>
      <c r="R176" s="282">
        <v>116</v>
      </c>
      <c r="S176" s="283">
        <v>116</v>
      </c>
      <c r="V176" s="282">
        <v>60.650000000000006</v>
      </c>
      <c r="W176" s="282">
        <v>40.650000000000006</v>
      </c>
      <c r="X176" s="282">
        <v>17.649999999999892</v>
      </c>
      <c r="Y176" s="282">
        <v>0.65000000000000568</v>
      </c>
      <c r="Z176" s="283">
        <v>-32.349999999999994</v>
      </c>
      <c r="AB176" s="282">
        <v>15.650000000000063</v>
      </c>
      <c r="AC176" s="282">
        <v>-14.349999999999994</v>
      </c>
      <c r="AD176" s="282">
        <v>-63.349999999999994</v>
      </c>
      <c r="AE176" s="282">
        <v>-57.325000000000003</v>
      </c>
      <c r="AF176" s="283">
        <v>-57.324999999999989</v>
      </c>
    </row>
    <row r="177" spans="1:32">
      <c r="A177" s="161"/>
      <c r="B177" s="273" t="s">
        <v>181</v>
      </c>
      <c r="C177" s="286" t="s">
        <v>542</v>
      </c>
      <c r="D177" s="115">
        <v>205</v>
      </c>
      <c r="E177" s="115">
        <v>3.25</v>
      </c>
      <c r="F177" s="237" t="s">
        <v>190</v>
      </c>
      <c r="G177" s="314"/>
      <c r="I177" s="267">
        <v>68</v>
      </c>
      <c r="J177" s="267">
        <v>78</v>
      </c>
      <c r="K177" s="267">
        <v>90</v>
      </c>
      <c r="L177" s="267">
        <v>98</v>
      </c>
      <c r="M177" s="268">
        <v>115</v>
      </c>
      <c r="O177" s="267">
        <v>91</v>
      </c>
      <c r="P177" s="267">
        <v>106</v>
      </c>
      <c r="Q177" s="267">
        <v>130</v>
      </c>
      <c r="R177" s="267">
        <v>133</v>
      </c>
      <c r="S177" s="268">
        <v>133</v>
      </c>
      <c r="V177" s="267">
        <v>68.25</v>
      </c>
      <c r="W177" s="267">
        <v>48.25</v>
      </c>
      <c r="X177" s="267">
        <v>25.249999999999886</v>
      </c>
      <c r="Y177" s="267">
        <v>8.25</v>
      </c>
      <c r="Z177" s="268">
        <v>-24.75</v>
      </c>
      <c r="AB177" s="267">
        <v>23.250000000000057</v>
      </c>
      <c r="AC177" s="267">
        <v>-6.75</v>
      </c>
      <c r="AD177" s="267">
        <v>-55.75</v>
      </c>
      <c r="AE177" s="267">
        <v>-61.125</v>
      </c>
      <c r="AF177" s="268">
        <v>-61.125</v>
      </c>
    </row>
    <row r="178" spans="1:32">
      <c r="A178" s="161"/>
      <c r="B178" s="280" t="s">
        <v>181</v>
      </c>
      <c r="C178" s="281" t="s">
        <v>468</v>
      </c>
      <c r="D178" s="188">
        <v>326</v>
      </c>
      <c r="E178" s="114">
        <v>3.25</v>
      </c>
      <c r="F178" s="239" t="s">
        <v>190</v>
      </c>
      <c r="G178" s="315"/>
      <c r="I178" s="282">
        <v>99</v>
      </c>
      <c r="J178" s="282">
        <v>109</v>
      </c>
      <c r="K178" s="282">
        <v>120</v>
      </c>
      <c r="L178" s="282">
        <v>129</v>
      </c>
      <c r="M178" s="283">
        <v>145</v>
      </c>
      <c r="O178" s="282">
        <v>121</v>
      </c>
      <c r="P178" s="282">
        <v>136</v>
      </c>
      <c r="Q178" s="282">
        <v>161</v>
      </c>
      <c r="R178" s="282">
        <v>193</v>
      </c>
      <c r="S178" s="283">
        <v>195</v>
      </c>
      <c r="V178" s="282">
        <v>128.36000000000001</v>
      </c>
      <c r="W178" s="282">
        <v>108.36000000000001</v>
      </c>
      <c r="X178" s="282">
        <v>85.3599999999999</v>
      </c>
      <c r="Y178" s="282">
        <v>68.360000000000014</v>
      </c>
      <c r="Z178" s="283">
        <v>35.360000000000014</v>
      </c>
      <c r="AB178" s="282">
        <v>83.36000000000007</v>
      </c>
      <c r="AC178" s="282">
        <v>53.360000000000014</v>
      </c>
      <c r="AD178" s="282">
        <v>4.3600000000000136</v>
      </c>
      <c r="AE178" s="282">
        <v>-60.639999999999986</v>
      </c>
      <c r="AF178" s="283">
        <v>-63.180000000000007</v>
      </c>
    </row>
    <row r="179" spans="1:32">
      <c r="A179" s="161"/>
      <c r="B179" s="285" t="s">
        <v>181</v>
      </c>
      <c r="C179" s="286" t="s">
        <v>469</v>
      </c>
      <c r="D179" s="189">
        <v>420</v>
      </c>
      <c r="E179" s="115">
        <v>3.25</v>
      </c>
      <c r="F179" s="237" t="s">
        <v>190</v>
      </c>
      <c r="G179" s="314"/>
      <c r="I179" s="267">
        <v>105</v>
      </c>
      <c r="J179" s="267">
        <v>115</v>
      </c>
      <c r="K179" s="267">
        <v>126</v>
      </c>
      <c r="L179" s="267">
        <v>135</v>
      </c>
      <c r="M179" s="268">
        <v>151</v>
      </c>
      <c r="O179" s="267">
        <v>127</v>
      </c>
      <c r="P179" s="267">
        <v>142</v>
      </c>
      <c r="Q179" s="267">
        <v>167</v>
      </c>
      <c r="R179" s="267">
        <v>199</v>
      </c>
      <c r="S179" s="268">
        <v>255</v>
      </c>
      <c r="V179" s="267">
        <v>211</v>
      </c>
      <c r="W179" s="267">
        <v>191</v>
      </c>
      <c r="X179" s="267">
        <v>167.99999999999989</v>
      </c>
      <c r="Y179" s="267">
        <v>151</v>
      </c>
      <c r="Z179" s="268">
        <v>118</v>
      </c>
      <c r="AB179" s="267">
        <v>166.00000000000006</v>
      </c>
      <c r="AC179" s="267">
        <v>136</v>
      </c>
      <c r="AD179" s="267">
        <v>87</v>
      </c>
      <c r="AE179" s="267">
        <v>22</v>
      </c>
      <c r="AF179" s="268">
        <v>-90</v>
      </c>
    </row>
    <row r="180" spans="1:32">
      <c r="A180" s="161"/>
      <c r="B180" s="280" t="s">
        <v>181</v>
      </c>
      <c r="C180" s="118" t="s">
        <v>637</v>
      </c>
      <c r="D180" s="188">
        <v>323</v>
      </c>
      <c r="E180" s="114">
        <v>3.25</v>
      </c>
      <c r="F180" s="239" t="s">
        <v>190</v>
      </c>
      <c r="G180" s="315"/>
      <c r="I180" s="282">
        <v>82</v>
      </c>
      <c r="J180" s="282">
        <v>92</v>
      </c>
      <c r="K180" s="282">
        <v>103</v>
      </c>
      <c r="L180" s="282">
        <v>112</v>
      </c>
      <c r="M180" s="283">
        <v>128</v>
      </c>
      <c r="O180" s="282">
        <v>104</v>
      </c>
      <c r="P180" s="282">
        <v>119</v>
      </c>
      <c r="Q180" s="282">
        <v>144</v>
      </c>
      <c r="R180" s="282">
        <v>176</v>
      </c>
      <c r="S180" s="283">
        <v>201</v>
      </c>
      <c r="V180" s="282">
        <v>159.65</v>
      </c>
      <c r="W180" s="282">
        <v>139.65</v>
      </c>
      <c r="X180" s="282">
        <v>116.64999999999989</v>
      </c>
      <c r="Y180" s="282">
        <v>99.65</v>
      </c>
      <c r="Z180" s="283">
        <v>66.650000000000006</v>
      </c>
      <c r="AB180" s="282">
        <v>114.65000000000006</v>
      </c>
      <c r="AC180" s="282">
        <v>84.65</v>
      </c>
      <c r="AD180" s="282">
        <v>35.650000000000006</v>
      </c>
      <c r="AE180" s="282">
        <v>-29.349999999999994</v>
      </c>
      <c r="AF180" s="283">
        <v>-78.825000000000017</v>
      </c>
    </row>
    <row r="181" spans="1:32">
      <c r="A181" s="161"/>
      <c r="B181" s="285" t="s">
        <v>181</v>
      </c>
      <c r="C181" s="286" t="s">
        <v>624</v>
      </c>
      <c r="D181" s="189">
        <v>415</v>
      </c>
      <c r="E181" s="115">
        <v>3.25</v>
      </c>
      <c r="F181" s="237" t="s">
        <v>190</v>
      </c>
      <c r="G181" s="314"/>
      <c r="I181" s="267">
        <v>84</v>
      </c>
      <c r="J181" s="267">
        <v>94</v>
      </c>
      <c r="K181" s="267">
        <v>106</v>
      </c>
      <c r="L181" s="267">
        <v>114</v>
      </c>
      <c r="M181" s="268">
        <v>131</v>
      </c>
      <c r="O181" s="267">
        <v>107</v>
      </c>
      <c r="P181" s="267">
        <v>122</v>
      </c>
      <c r="Q181" s="267">
        <v>146</v>
      </c>
      <c r="R181" s="267">
        <v>179</v>
      </c>
      <c r="S181" s="268">
        <v>235</v>
      </c>
      <c r="V181" s="267">
        <v>246.06</v>
      </c>
      <c r="W181" s="267">
        <v>226.06</v>
      </c>
      <c r="X181" s="267">
        <v>203.05999999999989</v>
      </c>
      <c r="Y181" s="267">
        <v>186.06</v>
      </c>
      <c r="Z181" s="268">
        <v>153.06</v>
      </c>
      <c r="AB181" s="267">
        <v>201.06000000000006</v>
      </c>
      <c r="AC181" s="267">
        <v>171.06</v>
      </c>
      <c r="AD181" s="267">
        <v>122.06</v>
      </c>
      <c r="AE181" s="267">
        <v>57.06</v>
      </c>
      <c r="AF181" s="268">
        <v>-54.94</v>
      </c>
    </row>
    <row r="182" spans="1:32">
      <c r="A182" s="161"/>
      <c r="B182" s="280" t="s">
        <v>181</v>
      </c>
      <c r="C182" s="281" t="s">
        <v>625</v>
      </c>
      <c r="D182" s="188">
        <v>516</v>
      </c>
      <c r="E182" s="114">
        <v>3.25</v>
      </c>
      <c r="F182" s="239" t="s">
        <v>190</v>
      </c>
      <c r="G182" s="315"/>
      <c r="I182" s="282">
        <v>99</v>
      </c>
      <c r="J182" s="282">
        <v>109</v>
      </c>
      <c r="K182" s="282">
        <v>121</v>
      </c>
      <c r="L182" s="282">
        <v>129</v>
      </c>
      <c r="M182" s="283">
        <v>146</v>
      </c>
      <c r="O182" s="282">
        <v>122</v>
      </c>
      <c r="P182" s="282">
        <v>137</v>
      </c>
      <c r="Q182" s="282">
        <v>161</v>
      </c>
      <c r="R182" s="282">
        <v>194</v>
      </c>
      <c r="S182" s="283">
        <v>250</v>
      </c>
      <c r="V182" s="282">
        <v>317.45999999999998</v>
      </c>
      <c r="W182" s="282">
        <v>297.45999999999998</v>
      </c>
      <c r="X182" s="282">
        <v>274.45999999999987</v>
      </c>
      <c r="Y182" s="282">
        <v>257.45999999999998</v>
      </c>
      <c r="Z182" s="283">
        <v>224.45999999999998</v>
      </c>
      <c r="AB182" s="282">
        <v>272.46000000000004</v>
      </c>
      <c r="AC182" s="282">
        <v>242.45999999999998</v>
      </c>
      <c r="AD182" s="282">
        <v>193.45999999999998</v>
      </c>
      <c r="AE182" s="282">
        <v>128.45999999999998</v>
      </c>
      <c r="AF182" s="283">
        <v>16.45999999999998</v>
      </c>
    </row>
    <row r="183" spans="1:32">
      <c r="A183" s="161"/>
      <c r="B183" s="285" t="s">
        <v>181</v>
      </c>
      <c r="C183" s="286" t="s">
        <v>543</v>
      </c>
      <c r="D183" s="189">
        <v>327</v>
      </c>
      <c r="E183" s="115">
        <v>3.75</v>
      </c>
      <c r="F183" s="237" t="s">
        <v>191</v>
      </c>
      <c r="G183" s="314"/>
      <c r="I183" s="267">
        <v>69</v>
      </c>
      <c r="J183" s="267">
        <v>79</v>
      </c>
      <c r="K183" s="267">
        <v>91</v>
      </c>
      <c r="L183" s="267">
        <v>99</v>
      </c>
      <c r="M183" s="268">
        <v>116</v>
      </c>
      <c r="O183" s="267">
        <v>92</v>
      </c>
      <c r="P183" s="267">
        <v>107</v>
      </c>
      <c r="Q183" s="267">
        <v>131</v>
      </c>
      <c r="R183" s="267">
        <v>164</v>
      </c>
      <c r="S183" s="268">
        <v>210</v>
      </c>
      <c r="V183" s="267">
        <v>188.86</v>
      </c>
      <c r="W183" s="267">
        <v>168.86</v>
      </c>
      <c r="X183" s="267">
        <v>145.8599999999999</v>
      </c>
      <c r="Y183" s="267">
        <v>128.86000000000001</v>
      </c>
      <c r="Z183" s="268">
        <v>95.860000000000014</v>
      </c>
      <c r="AB183" s="267">
        <v>143.86000000000007</v>
      </c>
      <c r="AC183" s="267">
        <v>113.86000000000001</v>
      </c>
      <c r="AD183" s="267">
        <v>64.860000000000014</v>
      </c>
      <c r="AE183" s="267">
        <v>-0.13999999999998636</v>
      </c>
      <c r="AF183" s="268">
        <v>-93.43</v>
      </c>
    </row>
    <row r="184" spans="1:32">
      <c r="A184" s="161"/>
      <c r="B184" s="280" t="s">
        <v>181</v>
      </c>
      <c r="C184" s="281" t="s">
        <v>560</v>
      </c>
      <c r="D184" s="188">
        <v>167</v>
      </c>
      <c r="E184" s="114">
        <v>3.75</v>
      </c>
      <c r="F184" s="239" t="s">
        <v>191</v>
      </c>
      <c r="G184" s="315"/>
      <c r="I184" s="282">
        <v>44</v>
      </c>
      <c r="J184" s="282">
        <v>54</v>
      </c>
      <c r="K184" s="282">
        <v>65</v>
      </c>
      <c r="L184" s="282">
        <v>74</v>
      </c>
      <c r="M184" s="283">
        <v>90</v>
      </c>
      <c r="O184" s="282">
        <v>66</v>
      </c>
      <c r="P184" s="282">
        <v>81</v>
      </c>
      <c r="Q184" s="282">
        <v>106</v>
      </c>
      <c r="R184" s="282">
        <v>117</v>
      </c>
      <c r="S184" s="283">
        <v>117</v>
      </c>
      <c r="V184" s="282">
        <v>79.89</v>
      </c>
      <c r="W184" s="282">
        <v>59.89</v>
      </c>
      <c r="X184" s="282">
        <v>36.889999999999887</v>
      </c>
      <c r="Y184" s="282">
        <v>19.89</v>
      </c>
      <c r="Z184" s="283">
        <v>-13.11</v>
      </c>
      <c r="AB184" s="282">
        <v>34.890000000000057</v>
      </c>
      <c r="AC184" s="282">
        <v>4.8900000000000006</v>
      </c>
      <c r="AD184" s="282">
        <v>-44.11</v>
      </c>
      <c r="AE184" s="282">
        <v>-66.945000000000022</v>
      </c>
      <c r="AF184" s="283">
        <v>-66.945000000000022</v>
      </c>
    </row>
    <row r="185" spans="1:32">
      <c r="A185" s="161"/>
      <c r="B185" s="285" t="s">
        <v>181</v>
      </c>
      <c r="C185" s="286" t="s">
        <v>523</v>
      </c>
      <c r="D185" s="189">
        <v>165</v>
      </c>
      <c r="E185" s="115">
        <v>0</v>
      </c>
      <c r="F185" s="237" t="s">
        <v>195</v>
      </c>
      <c r="G185" s="314"/>
      <c r="I185" s="267">
        <v>26</v>
      </c>
      <c r="J185" s="267">
        <v>36</v>
      </c>
      <c r="K185" s="267">
        <v>48</v>
      </c>
      <c r="L185" s="267">
        <v>56</v>
      </c>
      <c r="M185" s="268">
        <v>73</v>
      </c>
      <c r="O185" s="267">
        <v>49</v>
      </c>
      <c r="P185" s="267">
        <v>64</v>
      </c>
      <c r="Q185" s="267">
        <v>88</v>
      </c>
      <c r="R185" s="267">
        <v>120</v>
      </c>
      <c r="S185" s="268">
        <v>120</v>
      </c>
      <c r="V185" s="267">
        <v>113</v>
      </c>
      <c r="W185" s="267">
        <v>93</v>
      </c>
      <c r="X185" s="267">
        <v>69.999999999999886</v>
      </c>
      <c r="Y185" s="267">
        <v>53</v>
      </c>
      <c r="Z185" s="268">
        <v>20</v>
      </c>
      <c r="AB185" s="267">
        <v>68.000000000000057</v>
      </c>
      <c r="AC185" s="267">
        <v>38</v>
      </c>
      <c r="AD185" s="267">
        <v>-11</v>
      </c>
      <c r="AE185" s="267">
        <v>-75.550000000000011</v>
      </c>
      <c r="AF185" s="268">
        <v>-75.550000000000011</v>
      </c>
    </row>
    <row r="186" spans="1:32" ht="13" thickBot="1">
      <c r="A186" s="161"/>
      <c r="B186" s="280" t="s">
        <v>298</v>
      </c>
      <c r="C186" s="281" t="s">
        <v>583</v>
      </c>
      <c r="D186" s="188">
        <v>148</v>
      </c>
      <c r="E186" s="114">
        <v>3.25</v>
      </c>
      <c r="F186" s="239" t="s">
        <v>190</v>
      </c>
      <c r="G186" s="594"/>
      <c r="I186" s="282">
        <v>41</v>
      </c>
      <c r="J186" s="282">
        <v>51</v>
      </c>
      <c r="K186" s="282">
        <v>62</v>
      </c>
      <c r="L186" s="282">
        <v>71</v>
      </c>
      <c r="M186" s="283">
        <v>87</v>
      </c>
      <c r="O186" s="282">
        <v>63</v>
      </c>
      <c r="P186" s="282">
        <v>78</v>
      </c>
      <c r="Q186" s="282">
        <v>103</v>
      </c>
      <c r="R186" s="282">
        <v>104</v>
      </c>
      <c r="S186" s="283">
        <v>104</v>
      </c>
      <c r="V186" s="282">
        <v>66.25</v>
      </c>
      <c r="W186" s="282">
        <v>46.25</v>
      </c>
      <c r="X186" s="282">
        <v>23.249999999999886</v>
      </c>
      <c r="Y186" s="282">
        <v>6.25</v>
      </c>
      <c r="Z186" s="283">
        <v>-26.75</v>
      </c>
      <c r="AB186" s="282">
        <v>21.250000000000057</v>
      </c>
      <c r="AC186" s="282">
        <v>-8.75</v>
      </c>
      <c r="AD186" s="282">
        <v>-57.75</v>
      </c>
      <c r="AE186" s="282">
        <v>-60.125</v>
      </c>
      <c r="AF186" s="283">
        <v>-60.125</v>
      </c>
    </row>
    <row r="187" spans="1:32">
      <c r="A187" s="161"/>
      <c r="B187" s="521"/>
      <c r="C187" s="521"/>
      <c r="D187" s="521"/>
      <c r="E187" s="521"/>
      <c r="F187" s="521"/>
      <c r="I187" s="521"/>
      <c r="J187" s="521"/>
      <c r="K187" s="521"/>
      <c r="L187" s="521"/>
      <c r="M187" s="521"/>
      <c r="O187" s="521"/>
      <c r="P187" s="521"/>
      <c r="Q187" s="521"/>
      <c r="R187" s="521"/>
      <c r="S187" s="521"/>
      <c r="V187" s="521"/>
      <c r="W187" s="521"/>
      <c r="X187" s="521"/>
      <c r="Y187" s="521"/>
      <c r="Z187" s="521"/>
      <c r="AB187" s="521"/>
      <c r="AC187" s="521"/>
      <c r="AD187" s="521"/>
      <c r="AE187" s="521"/>
      <c r="AF187" s="521"/>
    </row>
    <row r="188" spans="1:32">
      <c r="A188" s="161"/>
    </row>
    <row r="189" spans="1:32">
      <c r="A189" s="161"/>
    </row>
    <row r="190" spans="1:32">
      <c r="A190" s="161"/>
    </row>
    <row r="191" spans="1:32">
      <c r="A191" s="161"/>
    </row>
    <row r="192" spans="1:32">
      <c r="A192" s="161"/>
    </row>
    <row r="193" spans="1:1">
      <c r="A193" s="161"/>
    </row>
    <row r="194" spans="1:1">
      <c r="A194" s="161"/>
    </row>
    <row r="195" spans="1:1">
      <c r="A195" s="161"/>
    </row>
    <row r="196" spans="1:1">
      <c r="A196" s="161"/>
    </row>
    <row r="197" spans="1:1">
      <c r="A197" s="161"/>
    </row>
    <row r="198" spans="1:1">
      <c r="A198" s="161"/>
    </row>
    <row r="199" spans="1:1">
      <c r="A199" s="161"/>
    </row>
    <row r="200" spans="1:1">
      <c r="A200" s="161"/>
    </row>
    <row r="201" spans="1:1">
      <c r="A201" s="161"/>
    </row>
    <row r="202" spans="1:1">
      <c r="A202" s="161"/>
    </row>
  </sheetData>
  <sheetProtection algorithmName="SHA-512" hashValue="S8lrTmvuqBmVpWJjEEoD+SFJZg5AcctiNoBXjtSdewpEFAgs9tfQAJkz/zOMpFx06UUhplx8eJNEXUvY4Zno9Q==" saltValue="pZFcF8ac/pMDpkRtI63yuw==" spinCount="100000" sheet="1" objects="1" scenarios="1"/>
  <autoFilter ref="B25:C25" xr:uid="{00000000-0009-0000-0000-000006000000}"/>
  <mergeCells count="28">
    <mergeCell ref="V19:Z19"/>
    <mergeCell ref="AB19:AF19"/>
    <mergeCell ref="I21:M21"/>
    <mergeCell ref="O21:S21"/>
    <mergeCell ref="V21:Z21"/>
    <mergeCell ref="AB21:AF21"/>
    <mergeCell ref="I19:M19"/>
    <mergeCell ref="O19:S19"/>
    <mergeCell ref="S5:S11"/>
    <mergeCell ref="I2:M2"/>
    <mergeCell ref="O2:S2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B19:G23"/>
    <mergeCell ref="B5:C16"/>
    <mergeCell ref="D5:G11"/>
    <mergeCell ref="D12:G12"/>
    <mergeCell ref="D13:G13"/>
    <mergeCell ref="D14:G14"/>
    <mergeCell ref="D15:G15"/>
    <mergeCell ref="D16:G16"/>
  </mergeCells>
  <pageMargins left="0.70866141732283472" right="0.70866141732283472" top="0.74803149606299213" bottom="0.74803149606299213" header="0.31496062992125984" footer="0.31496062992125984"/>
  <pageSetup paperSize="9" scale="34" orientation="portrait" r:id="rId1"/>
  <headerFooter>
    <oddFooter>&amp;C&amp;1#&amp;"Calibri"&amp;8&amp;KED7D31Orange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B1:BC391"/>
  <sheetViews>
    <sheetView showGridLines="0" topLeftCell="A168" zoomScale="70" zoomScaleNormal="70" workbookViewId="0">
      <selection activeCell="U26" sqref="U26:BC197"/>
    </sheetView>
  </sheetViews>
  <sheetFormatPr baseColWidth="10" defaultRowHeight="12.5"/>
  <cols>
    <col min="1" max="1" width="4.81640625" style="113" customWidth="1"/>
    <col min="2" max="2" width="12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50" customWidth="1"/>
    <col min="9" max="13" width="15.54296875" style="113" hidden="1" customWidth="1"/>
    <col min="14" max="14" width="1.54296875" style="150" hidden="1" customWidth="1"/>
    <col min="15" max="19" width="15.54296875" style="113" hidden="1" customWidth="1"/>
    <col min="20" max="20" width="2.81640625" style="113" customWidth="1"/>
    <col min="21" max="25" width="15.54296875" style="113" customWidth="1"/>
    <col min="26" max="26" width="1.54296875" style="150" customWidth="1"/>
    <col min="27" max="31" width="15.54296875" style="113" customWidth="1"/>
    <col min="32" max="37" width="11.453125" style="113"/>
    <col min="38" max="38" width="1.54296875" style="113" customWidth="1"/>
    <col min="39" max="242" width="11.453125" style="113"/>
    <col min="243" max="243" width="1.453125" style="113" customWidth="1"/>
    <col min="244" max="244" width="15.81640625" style="113" customWidth="1"/>
    <col min="245" max="245" width="49.81640625" style="113" bestFit="1" customWidth="1"/>
    <col min="246" max="246" width="8.81640625" style="113" bestFit="1" customWidth="1"/>
    <col min="247" max="248" width="8.1796875" style="113" customWidth="1"/>
    <col min="249" max="249" width="2.453125" style="113" customWidth="1"/>
    <col min="250" max="254" width="15.54296875" style="113" customWidth="1"/>
    <col min="255" max="255" width="1.54296875" style="113" customWidth="1"/>
    <col min="256" max="260" width="15.54296875" style="113" customWidth="1"/>
    <col min="261" max="261" width="4.81640625" style="113" customWidth="1"/>
    <col min="262" max="266" width="15.54296875" style="113" customWidth="1"/>
    <col min="267" max="267" width="1.54296875" style="113" customWidth="1"/>
    <col min="268" max="272" width="15.54296875" style="113" customWidth="1"/>
    <col min="273" max="498" width="11.453125" style="113"/>
    <col min="499" max="499" width="1.453125" style="113" customWidth="1"/>
    <col min="500" max="500" width="15.81640625" style="113" customWidth="1"/>
    <col min="501" max="501" width="49.81640625" style="113" bestFit="1" customWidth="1"/>
    <col min="502" max="502" width="8.81640625" style="113" bestFit="1" customWidth="1"/>
    <col min="503" max="504" width="8.1796875" style="113" customWidth="1"/>
    <col min="505" max="505" width="2.453125" style="113" customWidth="1"/>
    <col min="506" max="510" width="15.54296875" style="113" customWidth="1"/>
    <col min="511" max="511" width="1.54296875" style="113" customWidth="1"/>
    <col min="512" max="516" width="15.54296875" style="113" customWidth="1"/>
    <col min="517" max="517" width="4.81640625" style="113" customWidth="1"/>
    <col min="518" max="522" width="15.54296875" style="113" customWidth="1"/>
    <col min="523" max="523" width="1.54296875" style="113" customWidth="1"/>
    <col min="524" max="528" width="15.54296875" style="113" customWidth="1"/>
    <col min="529" max="754" width="11.453125" style="113"/>
    <col min="755" max="755" width="1.453125" style="113" customWidth="1"/>
    <col min="756" max="756" width="15.81640625" style="113" customWidth="1"/>
    <col min="757" max="757" width="49.81640625" style="113" bestFit="1" customWidth="1"/>
    <col min="758" max="758" width="8.81640625" style="113" bestFit="1" customWidth="1"/>
    <col min="759" max="760" width="8.1796875" style="113" customWidth="1"/>
    <col min="761" max="761" width="2.453125" style="113" customWidth="1"/>
    <col min="762" max="766" width="15.54296875" style="113" customWidth="1"/>
    <col min="767" max="767" width="1.54296875" style="113" customWidth="1"/>
    <col min="768" max="772" width="15.54296875" style="113" customWidth="1"/>
    <col min="773" max="773" width="4.81640625" style="113" customWidth="1"/>
    <col min="774" max="778" width="15.54296875" style="113" customWidth="1"/>
    <col min="779" max="779" width="1.54296875" style="113" customWidth="1"/>
    <col min="780" max="784" width="15.54296875" style="113" customWidth="1"/>
    <col min="785" max="1010" width="11.453125" style="113"/>
    <col min="1011" max="1011" width="1.453125" style="113" customWidth="1"/>
    <col min="1012" max="1012" width="15.81640625" style="113" customWidth="1"/>
    <col min="1013" max="1013" width="49.81640625" style="113" bestFit="1" customWidth="1"/>
    <col min="1014" max="1014" width="8.81640625" style="113" bestFit="1" customWidth="1"/>
    <col min="1015" max="1016" width="8.1796875" style="113" customWidth="1"/>
    <col min="1017" max="1017" width="2.453125" style="113" customWidth="1"/>
    <col min="1018" max="1022" width="15.54296875" style="113" customWidth="1"/>
    <col min="1023" max="1023" width="1.54296875" style="113" customWidth="1"/>
    <col min="1024" max="1028" width="15.54296875" style="113" customWidth="1"/>
    <col min="1029" max="1029" width="4.81640625" style="113" customWidth="1"/>
    <col min="1030" max="1034" width="15.54296875" style="113" customWidth="1"/>
    <col min="1035" max="1035" width="1.54296875" style="113" customWidth="1"/>
    <col min="1036" max="1040" width="15.54296875" style="113" customWidth="1"/>
    <col min="1041" max="1266" width="11.453125" style="113"/>
    <col min="1267" max="1267" width="1.453125" style="113" customWidth="1"/>
    <col min="1268" max="1268" width="15.81640625" style="113" customWidth="1"/>
    <col min="1269" max="1269" width="49.81640625" style="113" bestFit="1" customWidth="1"/>
    <col min="1270" max="1270" width="8.81640625" style="113" bestFit="1" customWidth="1"/>
    <col min="1271" max="1272" width="8.1796875" style="113" customWidth="1"/>
    <col min="1273" max="1273" width="2.453125" style="113" customWidth="1"/>
    <col min="1274" max="1278" width="15.54296875" style="113" customWidth="1"/>
    <col min="1279" max="1279" width="1.54296875" style="113" customWidth="1"/>
    <col min="1280" max="1284" width="15.54296875" style="113" customWidth="1"/>
    <col min="1285" max="1285" width="4.81640625" style="113" customWidth="1"/>
    <col min="1286" max="1290" width="15.54296875" style="113" customWidth="1"/>
    <col min="1291" max="1291" width="1.54296875" style="113" customWidth="1"/>
    <col min="1292" max="1296" width="15.54296875" style="113" customWidth="1"/>
    <col min="1297" max="1522" width="11.453125" style="113"/>
    <col min="1523" max="1523" width="1.453125" style="113" customWidth="1"/>
    <col min="1524" max="1524" width="15.81640625" style="113" customWidth="1"/>
    <col min="1525" max="1525" width="49.81640625" style="113" bestFit="1" customWidth="1"/>
    <col min="1526" max="1526" width="8.81640625" style="113" bestFit="1" customWidth="1"/>
    <col min="1527" max="1528" width="8.1796875" style="113" customWidth="1"/>
    <col min="1529" max="1529" width="2.453125" style="113" customWidth="1"/>
    <col min="1530" max="1534" width="15.54296875" style="113" customWidth="1"/>
    <col min="1535" max="1535" width="1.54296875" style="113" customWidth="1"/>
    <col min="1536" max="1540" width="15.54296875" style="113" customWidth="1"/>
    <col min="1541" max="1541" width="4.81640625" style="113" customWidth="1"/>
    <col min="1542" max="1546" width="15.54296875" style="113" customWidth="1"/>
    <col min="1547" max="1547" width="1.54296875" style="113" customWidth="1"/>
    <col min="1548" max="1552" width="15.54296875" style="113" customWidth="1"/>
    <col min="1553" max="1778" width="11.453125" style="113"/>
    <col min="1779" max="1779" width="1.453125" style="113" customWidth="1"/>
    <col min="1780" max="1780" width="15.81640625" style="113" customWidth="1"/>
    <col min="1781" max="1781" width="49.81640625" style="113" bestFit="1" customWidth="1"/>
    <col min="1782" max="1782" width="8.81640625" style="113" bestFit="1" customWidth="1"/>
    <col min="1783" max="1784" width="8.1796875" style="113" customWidth="1"/>
    <col min="1785" max="1785" width="2.453125" style="113" customWidth="1"/>
    <col min="1786" max="1790" width="15.54296875" style="113" customWidth="1"/>
    <col min="1791" max="1791" width="1.54296875" style="113" customWidth="1"/>
    <col min="1792" max="1796" width="15.54296875" style="113" customWidth="1"/>
    <col min="1797" max="1797" width="4.81640625" style="113" customWidth="1"/>
    <col min="1798" max="1802" width="15.54296875" style="113" customWidth="1"/>
    <col min="1803" max="1803" width="1.54296875" style="113" customWidth="1"/>
    <col min="1804" max="1808" width="15.54296875" style="113" customWidth="1"/>
    <col min="1809" max="2034" width="11.453125" style="113"/>
    <col min="2035" max="2035" width="1.453125" style="113" customWidth="1"/>
    <col min="2036" max="2036" width="15.81640625" style="113" customWidth="1"/>
    <col min="2037" max="2037" width="49.81640625" style="113" bestFit="1" customWidth="1"/>
    <col min="2038" max="2038" width="8.81640625" style="113" bestFit="1" customWidth="1"/>
    <col min="2039" max="2040" width="8.1796875" style="113" customWidth="1"/>
    <col min="2041" max="2041" width="2.453125" style="113" customWidth="1"/>
    <col min="2042" max="2046" width="15.54296875" style="113" customWidth="1"/>
    <col min="2047" max="2047" width="1.54296875" style="113" customWidth="1"/>
    <col min="2048" max="2052" width="15.54296875" style="113" customWidth="1"/>
    <col min="2053" max="2053" width="4.81640625" style="113" customWidth="1"/>
    <col min="2054" max="2058" width="15.54296875" style="113" customWidth="1"/>
    <col min="2059" max="2059" width="1.54296875" style="113" customWidth="1"/>
    <col min="2060" max="2064" width="15.54296875" style="113" customWidth="1"/>
    <col min="2065" max="2290" width="11.453125" style="113"/>
    <col min="2291" max="2291" width="1.453125" style="113" customWidth="1"/>
    <col min="2292" max="2292" width="15.81640625" style="113" customWidth="1"/>
    <col min="2293" max="2293" width="49.81640625" style="113" bestFit="1" customWidth="1"/>
    <col min="2294" max="2294" width="8.81640625" style="113" bestFit="1" customWidth="1"/>
    <col min="2295" max="2296" width="8.1796875" style="113" customWidth="1"/>
    <col min="2297" max="2297" width="2.453125" style="113" customWidth="1"/>
    <col min="2298" max="2302" width="15.54296875" style="113" customWidth="1"/>
    <col min="2303" max="2303" width="1.54296875" style="113" customWidth="1"/>
    <col min="2304" max="2308" width="15.54296875" style="113" customWidth="1"/>
    <col min="2309" max="2309" width="4.81640625" style="113" customWidth="1"/>
    <col min="2310" max="2314" width="15.54296875" style="113" customWidth="1"/>
    <col min="2315" max="2315" width="1.54296875" style="113" customWidth="1"/>
    <col min="2316" max="2320" width="15.54296875" style="113" customWidth="1"/>
    <col min="2321" max="2546" width="11.453125" style="113"/>
    <col min="2547" max="2547" width="1.453125" style="113" customWidth="1"/>
    <col min="2548" max="2548" width="15.81640625" style="113" customWidth="1"/>
    <col min="2549" max="2549" width="49.81640625" style="113" bestFit="1" customWidth="1"/>
    <col min="2550" max="2550" width="8.81640625" style="113" bestFit="1" customWidth="1"/>
    <col min="2551" max="2552" width="8.1796875" style="113" customWidth="1"/>
    <col min="2553" max="2553" width="2.453125" style="113" customWidth="1"/>
    <col min="2554" max="2558" width="15.54296875" style="113" customWidth="1"/>
    <col min="2559" max="2559" width="1.54296875" style="113" customWidth="1"/>
    <col min="2560" max="2564" width="15.54296875" style="113" customWidth="1"/>
    <col min="2565" max="2565" width="4.81640625" style="113" customWidth="1"/>
    <col min="2566" max="2570" width="15.54296875" style="113" customWidth="1"/>
    <col min="2571" max="2571" width="1.54296875" style="113" customWidth="1"/>
    <col min="2572" max="2576" width="15.54296875" style="113" customWidth="1"/>
    <col min="2577" max="2802" width="11.453125" style="113"/>
    <col min="2803" max="2803" width="1.453125" style="113" customWidth="1"/>
    <col min="2804" max="2804" width="15.81640625" style="113" customWidth="1"/>
    <col min="2805" max="2805" width="49.81640625" style="113" bestFit="1" customWidth="1"/>
    <col min="2806" max="2806" width="8.81640625" style="113" bestFit="1" customWidth="1"/>
    <col min="2807" max="2808" width="8.1796875" style="113" customWidth="1"/>
    <col min="2809" max="2809" width="2.453125" style="113" customWidth="1"/>
    <col min="2810" max="2814" width="15.54296875" style="113" customWidth="1"/>
    <col min="2815" max="2815" width="1.54296875" style="113" customWidth="1"/>
    <col min="2816" max="2820" width="15.54296875" style="113" customWidth="1"/>
    <col min="2821" max="2821" width="4.81640625" style="113" customWidth="1"/>
    <col min="2822" max="2826" width="15.54296875" style="113" customWidth="1"/>
    <col min="2827" max="2827" width="1.54296875" style="113" customWidth="1"/>
    <col min="2828" max="2832" width="15.54296875" style="113" customWidth="1"/>
    <col min="2833" max="3058" width="11.453125" style="113"/>
    <col min="3059" max="3059" width="1.453125" style="113" customWidth="1"/>
    <col min="3060" max="3060" width="15.81640625" style="113" customWidth="1"/>
    <col min="3061" max="3061" width="49.81640625" style="113" bestFit="1" customWidth="1"/>
    <col min="3062" max="3062" width="8.81640625" style="113" bestFit="1" customWidth="1"/>
    <col min="3063" max="3064" width="8.1796875" style="113" customWidth="1"/>
    <col min="3065" max="3065" width="2.453125" style="113" customWidth="1"/>
    <col min="3066" max="3070" width="15.54296875" style="113" customWidth="1"/>
    <col min="3071" max="3071" width="1.54296875" style="113" customWidth="1"/>
    <col min="3072" max="3076" width="15.54296875" style="113" customWidth="1"/>
    <col min="3077" max="3077" width="4.81640625" style="113" customWidth="1"/>
    <col min="3078" max="3082" width="15.54296875" style="113" customWidth="1"/>
    <col min="3083" max="3083" width="1.54296875" style="113" customWidth="1"/>
    <col min="3084" max="3088" width="15.54296875" style="113" customWidth="1"/>
    <col min="3089" max="3314" width="11.453125" style="113"/>
    <col min="3315" max="3315" width="1.453125" style="113" customWidth="1"/>
    <col min="3316" max="3316" width="15.81640625" style="113" customWidth="1"/>
    <col min="3317" max="3317" width="49.81640625" style="113" bestFit="1" customWidth="1"/>
    <col min="3318" max="3318" width="8.81640625" style="113" bestFit="1" customWidth="1"/>
    <col min="3319" max="3320" width="8.1796875" style="113" customWidth="1"/>
    <col min="3321" max="3321" width="2.453125" style="113" customWidth="1"/>
    <col min="3322" max="3326" width="15.54296875" style="113" customWidth="1"/>
    <col min="3327" max="3327" width="1.54296875" style="113" customWidth="1"/>
    <col min="3328" max="3332" width="15.54296875" style="113" customWidth="1"/>
    <col min="3333" max="3333" width="4.81640625" style="113" customWidth="1"/>
    <col min="3334" max="3338" width="15.54296875" style="113" customWidth="1"/>
    <col min="3339" max="3339" width="1.54296875" style="113" customWidth="1"/>
    <col min="3340" max="3344" width="15.54296875" style="113" customWidth="1"/>
    <col min="3345" max="3570" width="11.453125" style="113"/>
    <col min="3571" max="3571" width="1.453125" style="113" customWidth="1"/>
    <col min="3572" max="3572" width="15.81640625" style="113" customWidth="1"/>
    <col min="3573" max="3573" width="49.81640625" style="113" bestFit="1" customWidth="1"/>
    <col min="3574" max="3574" width="8.81640625" style="113" bestFit="1" customWidth="1"/>
    <col min="3575" max="3576" width="8.1796875" style="113" customWidth="1"/>
    <col min="3577" max="3577" width="2.453125" style="113" customWidth="1"/>
    <col min="3578" max="3582" width="15.54296875" style="113" customWidth="1"/>
    <col min="3583" max="3583" width="1.54296875" style="113" customWidth="1"/>
    <col min="3584" max="3588" width="15.54296875" style="113" customWidth="1"/>
    <col min="3589" max="3589" width="4.81640625" style="113" customWidth="1"/>
    <col min="3590" max="3594" width="15.54296875" style="113" customWidth="1"/>
    <col min="3595" max="3595" width="1.54296875" style="113" customWidth="1"/>
    <col min="3596" max="3600" width="15.54296875" style="113" customWidth="1"/>
    <col min="3601" max="3826" width="11.453125" style="113"/>
    <col min="3827" max="3827" width="1.453125" style="113" customWidth="1"/>
    <col min="3828" max="3828" width="15.81640625" style="113" customWidth="1"/>
    <col min="3829" max="3829" width="49.81640625" style="113" bestFit="1" customWidth="1"/>
    <col min="3830" max="3830" width="8.81640625" style="113" bestFit="1" customWidth="1"/>
    <col min="3831" max="3832" width="8.1796875" style="113" customWidth="1"/>
    <col min="3833" max="3833" width="2.453125" style="113" customWidth="1"/>
    <col min="3834" max="3838" width="15.54296875" style="113" customWidth="1"/>
    <col min="3839" max="3839" width="1.54296875" style="113" customWidth="1"/>
    <col min="3840" max="3844" width="15.54296875" style="113" customWidth="1"/>
    <col min="3845" max="3845" width="4.81640625" style="113" customWidth="1"/>
    <col min="3846" max="3850" width="15.54296875" style="113" customWidth="1"/>
    <col min="3851" max="3851" width="1.54296875" style="113" customWidth="1"/>
    <col min="3852" max="3856" width="15.54296875" style="113" customWidth="1"/>
    <col min="3857" max="4082" width="11.453125" style="113"/>
    <col min="4083" max="4083" width="1.453125" style="113" customWidth="1"/>
    <col min="4084" max="4084" width="15.81640625" style="113" customWidth="1"/>
    <col min="4085" max="4085" width="49.81640625" style="113" bestFit="1" customWidth="1"/>
    <col min="4086" max="4086" width="8.81640625" style="113" bestFit="1" customWidth="1"/>
    <col min="4087" max="4088" width="8.1796875" style="113" customWidth="1"/>
    <col min="4089" max="4089" width="2.453125" style="113" customWidth="1"/>
    <col min="4090" max="4094" width="15.54296875" style="113" customWidth="1"/>
    <col min="4095" max="4095" width="1.54296875" style="113" customWidth="1"/>
    <col min="4096" max="4100" width="15.54296875" style="113" customWidth="1"/>
    <col min="4101" max="4101" width="4.81640625" style="113" customWidth="1"/>
    <col min="4102" max="4106" width="15.54296875" style="113" customWidth="1"/>
    <col min="4107" max="4107" width="1.54296875" style="113" customWidth="1"/>
    <col min="4108" max="4112" width="15.54296875" style="113" customWidth="1"/>
    <col min="4113" max="4338" width="11.453125" style="113"/>
    <col min="4339" max="4339" width="1.453125" style="113" customWidth="1"/>
    <col min="4340" max="4340" width="15.81640625" style="113" customWidth="1"/>
    <col min="4341" max="4341" width="49.81640625" style="113" bestFit="1" customWidth="1"/>
    <col min="4342" max="4342" width="8.81640625" style="113" bestFit="1" customWidth="1"/>
    <col min="4343" max="4344" width="8.1796875" style="113" customWidth="1"/>
    <col min="4345" max="4345" width="2.453125" style="113" customWidth="1"/>
    <col min="4346" max="4350" width="15.54296875" style="113" customWidth="1"/>
    <col min="4351" max="4351" width="1.54296875" style="113" customWidth="1"/>
    <col min="4352" max="4356" width="15.54296875" style="113" customWidth="1"/>
    <col min="4357" max="4357" width="4.81640625" style="113" customWidth="1"/>
    <col min="4358" max="4362" width="15.54296875" style="113" customWidth="1"/>
    <col min="4363" max="4363" width="1.54296875" style="113" customWidth="1"/>
    <col min="4364" max="4368" width="15.54296875" style="113" customWidth="1"/>
    <col min="4369" max="4594" width="11.453125" style="113"/>
    <col min="4595" max="4595" width="1.453125" style="113" customWidth="1"/>
    <col min="4596" max="4596" width="15.81640625" style="113" customWidth="1"/>
    <col min="4597" max="4597" width="49.81640625" style="113" bestFit="1" customWidth="1"/>
    <col min="4598" max="4598" width="8.81640625" style="113" bestFit="1" customWidth="1"/>
    <col min="4599" max="4600" width="8.1796875" style="113" customWidth="1"/>
    <col min="4601" max="4601" width="2.453125" style="113" customWidth="1"/>
    <col min="4602" max="4606" width="15.54296875" style="113" customWidth="1"/>
    <col min="4607" max="4607" width="1.54296875" style="113" customWidth="1"/>
    <col min="4608" max="4612" width="15.54296875" style="113" customWidth="1"/>
    <col min="4613" max="4613" width="4.81640625" style="113" customWidth="1"/>
    <col min="4614" max="4618" width="15.54296875" style="113" customWidth="1"/>
    <col min="4619" max="4619" width="1.54296875" style="113" customWidth="1"/>
    <col min="4620" max="4624" width="15.54296875" style="113" customWidth="1"/>
    <col min="4625" max="4850" width="11.453125" style="113"/>
    <col min="4851" max="4851" width="1.453125" style="113" customWidth="1"/>
    <col min="4852" max="4852" width="15.81640625" style="113" customWidth="1"/>
    <col min="4853" max="4853" width="49.81640625" style="113" bestFit="1" customWidth="1"/>
    <col min="4854" max="4854" width="8.81640625" style="113" bestFit="1" customWidth="1"/>
    <col min="4855" max="4856" width="8.1796875" style="113" customWidth="1"/>
    <col min="4857" max="4857" width="2.453125" style="113" customWidth="1"/>
    <col min="4858" max="4862" width="15.54296875" style="113" customWidth="1"/>
    <col min="4863" max="4863" width="1.54296875" style="113" customWidth="1"/>
    <col min="4864" max="4868" width="15.54296875" style="113" customWidth="1"/>
    <col min="4869" max="4869" width="4.81640625" style="113" customWidth="1"/>
    <col min="4870" max="4874" width="15.54296875" style="113" customWidth="1"/>
    <col min="4875" max="4875" width="1.54296875" style="113" customWidth="1"/>
    <col min="4876" max="4880" width="15.54296875" style="113" customWidth="1"/>
    <col min="4881" max="5106" width="11.453125" style="113"/>
    <col min="5107" max="5107" width="1.453125" style="113" customWidth="1"/>
    <col min="5108" max="5108" width="15.81640625" style="113" customWidth="1"/>
    <col min="5109" max="5109" width="49.81640625" style="113" bestFit="1" customWidth="1"/>
    <col min="5110" max="5110" width="8.81640625" style="113" bestFit="1" customWidth="1"/>
    <col min="5111" max="5112" width="8.1796875" style="113" customWidth="1"/>
    <col min="5113" max="5113" width="2.453125" style="113" customWidth="1"/>
    <col min="5114" max="5118" width="15.54296875" style="113" customWidth="1"/>
    <col min="5119" max="5119" width="1.54296875" style="113" customWidth="1"/>
    <col min="5120" max="5124" width="15.54296875" style="113" customWidth="1"/>
    <col min="5125" max="5125" width="4.81640625" style="113" customWidth="1"/>
    <col min="5126" max="5130" width="15.54296875" style="113" customWidth="1"/>
    <col min="5131" max="5131" width="1.54296875" style="113" customWidth="1"/>
    <col min="5132" max="5136" width="15.54296875" style="113" customWidth="1"/>
    <col min="5137" max="5362" width="11.453125" style="113"/>
    <col min="5363" max="5363" width="1.453125" style="113" customWidth="1"/>
    <col min="5364" max="5364" width="15.81640625" style="113" customWidth="1"/>
    <col min="5365" max="5365" width="49.81640625" style="113" bestFit="1" customWidth="1"/>
    <col min="5366" max="5366" width="8.81640625" style="113" bestFit="1" customWidth="1"/>
    <col min="5367" max="5368" width="8.1796875" style="113" customWidth="1"/>
    <col min="5369" max="5369" width="2.453125" style="113" customWidth="1"/>
    <col min="5370" max="5374" width="15.54296875" style="113" customWidth="1"/>
    <col min="5375" max="5375" width="1.54296875" style="113" customWidth="1"/>
    <col min="5376" max="5380" width="15.54296875" style="113" customWidth="1"/>
    <col min="5381" max="5381" width="4.81640625" style="113" customWidth="1"/>
    <col min="5382" max="5386" width="15.54296875" style="113" customWidth="1"/>
    <col min="5387" max="5387" width="1.54296875" style="113" customWidth="1"/>
    <col min="5388" max="5392" width="15.54296875" style="113" customWidth="1"/>
    <col min="5393" max="5618" width="11.453125" style="113"/>
    <col min="5619" max="5619" width="1.453125" style="113" customWidth="1"/>
    <col min="5620" max="5620" width="15.81640625" style="113" customWidth="1"/>
    <col min="5621" max="5621" width="49.81640625" style="113" bestFit="1" customWidth="1"/>
    <col min="5622" max="5622" width="8.81640625" style="113" bestFit="1" customWidth="1"/>
    <col min="5623" max="5624" width="8.1796875" style="113" customWidth="1"/>
    <col min="5625" max="5625" width="2.453125" style="113" customWidth="1"/>
    <col min="5626" max="5630" width="15.54296875" style="113" customWidth="1"/>
    <col min="5631" max="5631" width="1.54296875" style="113" customWidth="1"/>
    <col min="5632" max="5636" width="15.54296875" style="113" customWidth="1"/>
    <col min="5637" max="5637" width="4.81640625" style="113" customWidth="1"/>
    <col min="5638" max="5642" width="15.54296875" style="113" customWidth="1"/>
    <col min="5643" max="5643" width="1.54296875" style="113" customWidth="1"/>
    <col min="5644" max="5648" width="15.54296875" style="113" customWidth="1"/>
    <col min="5649" max="5874" width="11.453125" style="113"/>
    <col min="5875" max="5875" width="1.453125" style="113" customWidth="1"/>
    <col min="5876" max="5876" width="15.81640625" style="113" customWidth="1"/>
    <col min="5877" max="5877" width="49.81640625" style="113" bestFit="1" customWidth="1"/>
    <col min="5878" max="5878" width="8.81640625" style="113" bestFit="1" customWidth="1"/>
    <col min="5879" max="5880" width="8.1796875" style="113" customWidth="1"/>
    <col min="5881" max="5881" width="2.453125" style="113" customWidth="1"/>
    <col min="5882" max="5886" width="15.54296875" style="113" customWidth="1"/>
    <col min="5887" max="5887" width="1.54296875" style="113" customWidth="1"/>
    <col min="5888" max="5892" width="15.54296875" style="113" customWidth="1"/>
    <col min="5893" max="5893" width="4.81640625" style="113" customWidth="1"/>
    <col min="5894" max="5898" width="15.54296875" style="113" customWidth="1"/>
    <col min="5899" max="5899" width="1.54296875" style="113" customWidth="1"/>
    <col min="5900" max="5904" width="15.54296875" style="113" customWidth="1"/>
    <col min="5905" max="6130" width="11.453125" style="113"/>
    <col min="6131" max="6131" width="1.453125" style="113" customWidth="1"/>
    <col min="6132" max="6132" width="15.81640625" style="113" customWidth="1"/>
    <col min="6133" max="6133" width="49.81640625" style="113" bestFit="1" customWidth="1"/>
    <col min="6134" max="6134" width="8.81640625" style="113" bestFit="1" customWidth="1"/>
    <col min="6135" max="6136" width="8.1796875" style="113" customWidth="1"/>
    <col min="6137" max="6137" width="2.453125" style="113" customWidth="1"/>
    <col min="6138" max="6142" width="15.54296875" style="113" customWidth="1"/>
    <col min="6143" max="6143" width="1.54296875" style="113" customWidth="1"/>
    <col min="6144" max="6148" width="15.54296875" style="113" customWidth="1"/>
    <col min="6149" max="6149" width="4.81640625" style="113" customWidth="1"/>
    <col min="6150" max="6154" width="15.54296875" style="113" customWidth="1"/>
    <col min="6155" max="6155" width="1.54296875" style="113" customWidth="1"/>
    <col min="6156" max="6160" width="15.54296875" style="113" customWidth="1"/>
    <col min="6161" max="6386" width="11.453125" style="113"/>
    <col min="6387" max="6387" width="1.453125" style="113" customWidth="1"/>
    <col min="6388" max="6388" width="15.81640625" style="113" customWidth="1"/>
    <col min="6389" max="6389" width="49.81640625" style="113" bestFit="1" customWidth="1"/>
    <col min="6390" max="6390" width="8.81640625" style="113" bestFit="1" customWidth="1"/>
    <col min="6391" max="6392" width="8.1796875" style="113" customWidth="1"/>
    <col min="6393" max="6393" width="2.453125" style="113" customWidth="1"/>
    <col min="6394" max="6398" width="15.54296875" style="113" customWidth="1"/>
    <col min="6399" max="6399" width="1.54296875" style="113" customWidth="1"/>
    <col min="6400" max="6404" width="15.54296875" style="113" customWidth="1"/>
    <col min="6405" max="6405" width="4.81640625" style="113" customWidth="1"/>
    <col min="6406" max="6410" width="15.54296875" style="113" customWidth="1"/>
    <col min="6411" max="6411" width="1.54296875" style="113" customWidth="1"/>
    <col min="6412" max="6416" width="15.54296875" style="113" customWidth="1"/>
    <col min="6417" max="6642" width="11.453125" style="113"/>
    <col min="6643" max="6643" width="1.453125" style="113" customWidth="1"/>
    <col min="6644" max="6644" width="15.81640625" style="113" customWidth="1"/>
    <col min="6645" max="6645" width="49.81640625" style="113" bestFit="1" customWidth="1"/>
    <col min="6646" max="6646" width="8.81640625" style="113" bestFit="1" customWidth="1"/>
    <col min="6647" max="6648" width="8.1796875" style="113" customWidth="1"/>
    <col min="6649" max="6649" width="2.453125" style="113" customWidth="1"/>
    <col min="6650" max="6654" width="15.54296875" style="113" customWidth="1"/>
    <col min="6655" max="6655" width="1.54296875" style="113" customWidth="1"/>
    <col min="6656" max="6660" width="15.54296875" style="113" customWidth="1"/>
    <col min="6661" max="6661" width="4.81640625" style="113" customWidth="1"/>
    <col min="6662" max="6666" width="15.54296875" style="113" customWidth="1"/>
    <col min="6667" max="6667" width="1.54296875" style="113" customWidth="1"/>
    <col min="6668" max="6672" width="15.54296875" style="113" customWidth="1"/>
    <col min="6673" max="6898" width="11.453125" style="113"/>
    <col min="6899" max="6899" width="1.453125" style="113" customWidth="1"/>
    <col min="6900" max="6900" width="15.81640625" style="113" customWidth="1"/>
    <col min="6901" max="6901" width="49.81640625" style="113" bestFit="1" customWidth="1"/>
    <col min="6902" max="6902" width="8.81640625" style="113" bestFit="1" customWidth="1"/>
    <col min="6903" max="6904" width="8.1796875" style="113" customWidth="1"/>
    <col min="6905" max="6905" width="2.453125" style="113" customWidth="1"/>
    <col min="6906" max="6910" width="15.54296875" style="113" customWidth="1"/>
    <col min="6911" max="6911" width="1.54296875" style="113" customWidth="1"/>
    <col min="6912" max="6916" width="15.54296875" style="113" customWidth="1"/>
    <col min="6917" max="6917" width="4.81640625" style="113" customWidth="1"/>
    <col min="6918" max="6922" width="15.54296875" style="113" customWidth="1"/>
    <col min="6923" max="6923" width="1.54296875" style="113" customWidth="1"/>
    <col min="6924" max="6928" width="15.54296875" style="113" customWidth="1"/>
    <col min="6929" max="7154" width="11.453125" style="113"/>
    <col min="7155" max="7155" width="1.453125" style="113" customWidth="1"/>
    <col min="7156" max="7156" width="15.81640625" style="113" customWidth="1"/>
    <col min="7157" max="7157" width="49.81640625" style="113" bestFit="1" customWidth="1"/>
    <col min="7158" max="7158" width="8.81640625" style="113" bestFit="1" customWidth="1"/>
    <col min="7159" max="7160" width="8.1796875" style="113" customWidth="1"/>
    <col min="7161" max="7161" width="2.453125" style="113" customWidth="1"/>
    <col min="7162" max="7166" width="15.54296875" style="113" customWidth="1"/>
    <col min="7167" max="7167" width="1.54296875" style="113" customWidth="1"/>
    <col min="7168" max="7172" width="15.54296875" style="113" customWidth="1"/>
    <col min="7173" max="7173" width="4.81640625" style="113" customWidth="1"/>
    <col min="7174" max="7178" width="15.54296875" style="113" customWidth="1"/>
    <col min="7179" max="7179" width="1.54296875" style="113" customWidth="1"/>
    <col min="7180" max="7184" width="15.54296875" style="113" customWidth="1"/>
    <col min="7185" max="7410" width="11.453125" style="113"/>
    <col min="7411" max="7411" width="1.453125" style="113" customWidth="1"/>
    <col min="7412" max="7412" width="15.81640625" style="113" customWidth="1"/>
    <col min="7413" max="7413" width="49.81640625" style="113" bestFit="1" customWidth="1"/>
    <col min="7414" max="7414" width="8.81640625" style="113" bestFit="1" customWidth="1"/>
    <col min="7415" max="7416" width="8.1796875" style="113" customWidth="1"/>
    <col min="7417" max="7417" width="2.453125" style="113" customWidth="1"/>
    <col min="7418" max="7422" width="15.54296875" style="113" customWidth="1"/>
    <col min="7423" max="7423" width="1.54296875" style="113" customWidth="1"/>
    <col min="7424" max="7428" width="15.54296875" style="113" customWidth="1"/>
    <col min="7429" max="7429" width="4.81640625" style="113" customWidth="1"/>
    <col min="7430" max="7434" width="15.54296875" style="113" customWidth="1"/>
    <col min="7435" max="7435" width="1.54296875" style="113" customWidth="1"/>
    <col min="7436" max="7440" width="15.54296875" style="113" customWidth="1"/>
    <col min="7441" max="7666" width="11.453125" style="113"/>
    <col min="7667" max="7667" width="1.453125" style="113" customWidth="1"/>
    <col min="7668" max="7668" width="15.81640625" style="113" customWidth="1"/>
    <col min="7669" max="7669" width="49.81640625" style="113" bestFit="1" customWidth="1"/>
    <col min="7670" max="7670" width="8.81640625" style="113" bestFit="1" customWidth="1"/>
    <col min="7671" max="7672" width="8.1796875" style="113" customWidth="1"/>
    <col min="7673" max="7673" width="2.453125" style="113" customWidth="1"/>
    <col min="7674" max="7678" width="15.54296875" style="113" customWidth="1"/>
    <col min="7679" max="7679" width="1.54296875" style="113" customWidth="1"/>
    <col min="7680" max="7684" width="15.54296875" style="113" customWidth="1"/>
    <col min="7685" max="7685" width="4.81640625" style="113" customWidth="1"/>
    <col min="7686" max="7690" width="15.54296875" style="113" customWidth="1"/>
    <col min="7691" max="7691" width="1.54296875" style="113" customWidth="1"/>
    <col min="7692" max="7696" width="15.54296875" style="113" customWidth="1"/>
    <col min="7697" max="7922" width="11.453125" style="113"/>
    <col min="7923" max="7923" width="1.453125" style="113" customWidth="1"/>
    <col min="7924" max="7924" width="15.81640625" style="113" customWidth="1"/>
    <col min="7925" max="7925" width="49.81640625" style="113" bestFit="1" customWidth="1"/>
    <col min="7926" max="7926" width="8.81640625" style="113" bestFit="1" customWidth="1"/>
    <col min="7927" max="7928" width="8.1796875" style="113" customWidth="1"/>
    <col min="7929" max="7929" width="2.453125" style="113" customWidth="1"/>
    <col min="7930" max="7934" width="15.54296875" style="113" customWidth="1"/>
    <col min="7935" max="7935" width="1.54296875" style="113" customWidth="1"/>
    <col min="7936" max="7940" width="15.54296875" style="113" customWidth="1"/>
    <col min="7941" max="7941" width="4.81640625" style="113" customWidth="1"/>
    <col min="7942" max="7946" width="15.54296875" style="113" customWidth="1"/>
    <col min="7947" max="7947" width="1.54296875" style="113" customWidth="1"/>
    <col min="7948" max="7952" width="15.54296875" style="113" customWidth="1"/>
    <col min="7953" max="8178" width="11.453125" style="113"/>
    <col min="8179" max="8179" width="1.453125" style="113" customWidth="1"/>
    <col min="8180" max="8180" width="15.81640625" style="113" customWidth="1"/>
    <col min="8181" max="8181" width="49.81640625" style="113" bestFit="1" customWidth="1"/>
    <col min="8182" max="8182" width="8.81640625" style="113" bestFit="1" customWidth="1"/>
    <col min="8183" max="8184" width="8.1796875" style="113" customWidth="1"/>
    <col min="8185" max="8185" width="2.453125" style="113" customWidth="1"/>
    <col min="8186" max="8190" width="15.54296875" style="113" customWidth="1"/>
    <col min="8191" max="8191" width="1.54296875" style="113" customWidth="1"/>
    <col min="8192" max="8196" width="15.54296875" style="113" customWidth="1"/>
    <col min="8197" max="8197" width="4.81640625" style="113" customWidth="1"/>
    <col min="8198" max="8202" width="15.54296875" style="113" customWidth="1"/>
    <col min="8203" max="8203" width="1.54296875" style="113" customWidth="1"/>
    <col min="8204" max="8208" width="15.54296875" style="113" customWidth="1"/>
    <col min="8209" max="8434" width="11.453125" style="113"/>
    <col min="8435" max="8435" width="1.453125" style="113" customWidth="1"/>
    <col min="8436" max="8436" width="15.81640625" style="113" customWidth="1"/>
    <col min="8437" max="8437" width="49.81640625" style="113" bestFit="1" customWidth="1"/>
    <col min="8438" max="8438" width="8.81640625" style="113" bestFit="1" customWidth="1"/>
    <col min="8439" max="8440" width="8.1796875" style="113" customWidth="1"/>
    <col min="8441" max="8441" width="2.453125" style="113" customWidth="1"/>
    <col min="8442" max="8446" width="15.54296875" style="113" customWidth="1"/>
    <col min="8447" max="8447" width="1.54296875" style="113" customWidth="1"/>
    <col min="8448" max="8452" width="15.54296875" style="113" customWidth="1"/>
    <col min="8453" max="8453" width="4.81640625" style="113" customWidth="1"/>
    <col min="8454" max="8458" width="15.54296875" style="113" customWidth="1"/>
    <col min="8459" max="8459" width="1.54296875" style="113" customWidth="1"/>
    <col min="8460" max="8464" width="15.54296875" style="113" customWidth="1"/>
    <col min="8465" max="8690" width="11.453125" style="113"/>
    <col min="8691" max="8691" width="1.453125" style="113" customWidth="1"/>
    <col min="8692" max="8692" width="15.81640625" style="113" customWidth="1"/>
    <col min="8693" max="8693" width="49.81640625" style="113" bestFit="1" customWidth="1"/>
    <col min="8694" max="8694" width="8.81640625" style="113" bestFit="1" customWidth="1"/>
    <col min="8695" max="8696" width="8.1796875" style="113" customWidth="1"/>
    <col min="8697" max="8697" width="2.453125" style="113" customWidth="1"/>
    <col min="8698" max="8702" width="15.54296875" style="113" customWidth="1"/>
    <col min="8703" max="8703" width="1.54296875" style="113" customWidth="1"/>
    <col min="8704" max="8708" width="15.54296875" style="113" customWidth="1"/>
    <col min="8709" max="8709" width="4.81640625" style="113" customWidth="1"/>
    <col min="8710" max="8714" width="15.54296875" style="113" customWidth="1"/>
    <col min="8715" max="8715" width="1.54296875" style="113" customWidth="1"/>
    <col min="8716" max="8720" width="15.54296875" style="113" customWidth="1"/>
    <col min="8721" max="8946" width="11.453125" style="113"/>
    <col min="8947" max="8947" width="1.453125" style="113" customWidth="1"/>
    <col min="8948" max="8948" width="15.81640625" style="113" customWidth="1"/>
    <col min="8949" max="8949" width="49.81640625" style="113" bestFit="1" customWidth="1"/>
    <col min="8950" max="8950" width="8.81640625" style="113" bestFit="1" customWidth="1"/>
    <col min="8951" max="8952" width="8.1796875" style="113" customWidth="1"/>
    <col min="8953" max="8953" width="2.453125" style="113" customWidth="1"/>
    <col min="8954" max="8958" width="15.54296875" style="113" customWidth="1"/>
    <col min="8959" max="8959" width="1.54296875" style="113" customWidth="1"/>
    <col min="8960" max="8964" width="15.54296875" style="113" customWidth="1"/>
    <col min="8965" max="8965" width="4.81640625" style="113" customWidth="1"/>
    <col min="8966" max="8970" width="15.54296875" style="113" customWidth="1"/>
    <col min="8971" max="8971" width="1.54296875" style="113" customWidth="1"/>
    <col min="8972" max="8976" width="15.54296875" style="113" customWidth="1"/>
    <col min="8977" max="9202" width="11.453125" style="113"/>
    <col min="9203" max="9203" width="1.453125" style="113" customWidth="1"/>
    <col min="9204" max="9204" width="15.81640625" style="113" customWidth="1"/>
    <col min="9205" max="9205" width="49.81640625" style="113" bestFit="1" customWidth="1"/>
    <col min="9206" max="9206" width="8.81640625" style="113" bestFit="1" customWidth="1"/>
    <col min="9207" max="9208" width="8.1796875" style="113" customWidth="1"/>
    <col min="9209" max="9209" width="2.453125" style="113" customWidth="1"/>
    <col min="9210" max="9214" width="15.54296875" style="113" customWidth="1"/>
    <col min="9215" max="9215" width="1.54296875" style="113" customWidth="1"/>
    <col min="9216" max="9220" width="15.54296875" style="113" customWidth="1"/>
    <col min="9221" max="9221" width="4.81640625" style="113" customWidth="1"/>
    <col min="9222" max="9226" width="15.54296875" style="113" customWidth="1"/>
    <col min="9227" max="9227" width="1.54296875" style="113" customWidth="1"/>
    <col min="9228" max="9232" width="15.54296875" style="113" customWidth="1"/>
    <col min="9233" max="9458" width="11.453125" style="113"/>
    <col min="9459" max="9459" width="1.453125" style="113" customWidth="1"/>
    <col min="9460" max="9460" width="15.81640625" style="113" customWidth="1"/>
    <col min="9461" max="9461" width="49.81640625" style="113" bestFit="1" customWidth="1"/>
    <col min="9462" max="9462" width="8.81640625" style="113" bestFit="1" customWidth="1"/>
    <col min="9463" max="9464" width="8.1796875" style="113" customWidth="1"/>
    <col min="9465" max="9465" width="2.453125" style="113" customWidth="1"/>
    <col min="9466" max="9470" width="15.54296875" style="113" customWidth="1"/>
    <col min="9471" max="9471" width="1.54296875" style="113" customWidth="1"/>
    <col min="9472" max="9476" width="15.54296875" style="113" customWidth="1"/>
    <col min="9477" max="9477" width="4.81640625" style="113" customWidth="1"/>
    <col min="9478" max="9482" width="15.54296875" style="113" customWidth="1"/>
    <col min="9483" max="9483" width="1.54296875" style="113" customWidth="1"/>
    <col min="9484" max="9488" width="15.54296875" style="113" customWidth="1"/>
    <col min="9489" max="9714" width="11.453125" style="113"/>
    <col min="9715" max="9715" width="1.453125" style="113" customWidth="1"/>
    <col min="9716" max="9716" width="15.81640625" style="113" customWidth="1"/>
    <col min="9717" max="9717" width="49.81640625" style="113" bestFit="1" customWidth="1"/>
    <col min="9718" max="9718" width="8.81640625" style="113" bestFit="1" customWidth="1"/>
    <col min="9719" max="9720" width="8.1796875" style="113" customWidth="1"/>
    <col min="9721" max="9721" width="2.453125" style="113" customWidth="1"/>
    <col min="9722" max="9726" width="15.54296875" style="113" customWidth="1"/>
    <col min="9727" max="9727" width="1.54296875" style="113" customWidth="1"/>
    <col min="9728" max="9732" width="15.54296875" style="113" customWidth="1"/>
    <col min="9733" max="9733" width="4.81640625" style="113" customWidth="1"/>
    <col min="9734" max="9738" width="15.54296875" style="113" customWidth="1"/>
    <col min="9739" max="9739" width="1.54296875" style="113" customWidth="1"/>
    <col min="9740" max="9744" width="15.54296875" style="113" customWidth="1"/>
    <col min="9745" max="9970" width="11.453125" style="113"/>
    <col min="9971" max="9971" width="1.453125" style="113" customWidth="1"/>
    <col min="9972" max="9972" width="15.81640625" style="113" customWidth="1"/>
    <col min="9973" max="9973" width="49.81640625" style="113" bestFit="1" customWidth="1"/>
    <col min="9974" max="9974" width="8.81640625" style="113" bestFit="1" customWidth="1"/>
    <col min="9975" max="9976" width="8.1796875" style="113" customWidth="1"/>
    <col min="9977" max="9977" width="2.453125" style="113" customWidth="1"/>
    <col min="9978" max="9982" width="15.54296875" style="113" customWidth="1"/>
    <col min="9983" max="9983" width="1.54296875" style="113" customWidth="1"/>
    <col min="9984" max="9988" width="15.54296875" style="113" customWidth="1"/>
    <col min="9989" max="9989" width="4.81640625" style="113" customWidth="1"/>
    <col min="9990" max="9994" width="15.54296875" style="113" customWidth="1"/>
    <col min="9995" max="9995" width="1.54296875" style="113" customWidth="1"/>
    <col min="9996" max="10000" width="15.54296875" style="113" customWidth="1"/>
    <col min="10001" max="10226" width="11.453125" style="113"/>
    <col min="10227" max="10227" width="1.453125" style="113" customWidth="1"/>
    <col min="10228" max="10228" width="15.81640625" style="113" customWidth="1"/>
    <col min="10229" max="10229" width="49.81640625" style="113" bestFit="1" customWidth="1"/>
    <col min="10230" max="10230" width="8.81640625" style="113" bestFit="1" customWidth="1"/>
    <col min="10231" max="10232" width="8.1796875" style="113" customWidth="1"/>
    <col min="10233" max="10233" width="2.453125" style="113" customWidth="1"/>
    <col min="10234" max="10238" width="15.54296875" style="113" customWidth="1"/>
    <col min="10239" max="10239" width="1.54296875" style="113" customWidth="1"/>
    <col min="10240" max="10244" width="15.54296875" style="113" customWidth="1"/>
    <col min="10245" max="10245" width="4.81640625" style="113" customWidth="1"/>
    <col min="10246" max="10250" width="15.54296875" style="113" customWidth="1"/>
    <col min="10251" max="10251" width="1.54296875" style="113" customWidth="1"/>
    <col min="10252" max="10256" width="15.54296875" style="113" customWidth="1"/>
    <col min="10257" max="10482" width="11.453125" style="113"/>
    <col min="10483" max="10483" width="1.453125" style="113" customWidth="1"/>
    <col min="10484" max="10484" width="15.81640625" style="113" customWidth="1"/>
    <col min="10485" max="10485" width="49.81640625" style="113" bestFit="1" customWidth="1"/>
    <col min="10486" max="10486" width="8.81640625" style="113" bestFit="1" customWidth="1"/>
    <col min="10487" max="10488" width="8.1796875" style="113" customWidth="1"/>
    <col min="10489" max="10489" width="2.453125" style="113" customWidth="1"/>
    <col min="10490" max="10494" width="15.54296875" style="113" customWidth="1"/>
    <col min="10495" max="10495" width="1.54296875" style="113" customWidth="1"/>
    <col min="10496" max="10500" width="15.54296875" style="113" customWidth="1"/>
    <col min="10501" max="10501" width="4.81640625" style="113" customWidth="1"/>
    <col min="10502" max="10506" width="15.54296875" style="113" customWidth="1"/>
    <col min="10507" max="10507" width="1.54296875" style="113" customWidth="1"/>
    <col min="10508" max="10512" width="15.54296875" style="113" customWidth="1"/>
    <col min="10513" max="10738" width="11.453125" style="113"/>
    <col min="10739" max="10739" width="1.453125" style="113" customWidth="1"/>
    <col min="10740" max="10740" width="15.81640625" style="113" customWidth="1"/>
    <col min="10741" max="10741" width="49.81640625" style="113" bestFit="1" customWidth="1"/>
    <col min="10742" max="10742" width="8.81640625" style="113" bestFit="1" customWidth="1"/>
    <col min="10743" max="10744" width="8.1796875" style="113" customWidth="1"/>
    <col min="10745" max="10745" width="2.453125" style="113" customWidth="1"/>
    <col min="10746" max="10750" width="15.54296875" style="113" customWidth="1"/>
    <col min="10751" max="10751" width="1.54296875" style="113" customWidth="1"/>
    <col min="10752" max="10756" width="15.54296875" style="113" customWidth="1"/>
    <col min="10757" max="10757" width="4.81640625" style="113" customWidth="1"/>
    <col min="10758" max="10762" width="15.54296875" style="113" customWidth="1"/>
    <col min="10763" max="10763" width="1.54296875" style="113" customWidth="1"/>
    <col min="10764" max="10768" width="15.54296875" style="113" customWidth="1"/>
    <col min="10769" max="10994" width="11.453125" style="113"/>
    <col min="10995" max="10995" width="1.453125" style="113" customWidth="1"/>
    <col min="10996" max="10996" width="15.81640625" style="113" customWidth="1"/>
    <col min="10997" max="10997" width="49.81640625" style="113" bestFit="1" customWidth="1"/>
    <col min="10998" max="10998" width="8.81640625" style="113" bestFit="1" customWidth="1"/>
    <col min="10999" max="11000" width="8.1796875" style="113" customWidth="1"/>
    <col min="11001" max="11001" width="2.453125" style="113" customWidth="1"/>
    <col min="11002" max="11006" width="15.54296875" style="113" customWidth="1"/>
    <col min="11007" max="11007" width="1.54296875" style="113" customWidth="1"/>
    <col min="11008" max="11012" width="15.54296875" style="113" customWidth="1"/>
    <col min="11013" max="11013" width="4.81640625" style="113" customWidth="1"/>
    <col min="11014" max="11018" width="15.54296875" style="113" customWidth="1"/>
    <col min="11019" max="11019" width="1.54296875" style="113" customWidth="1"/>
    <col min="11020" max="11024" width="15.54296875" style="113" customWidth="1"/>
    <col min="11025" max="11250" width="11.453125" style="113"/>
    <col min="11251" max="11251" width="1.453125" style="113" customWidth="1"/>
    <col min="11252" max="11252" width="15.81640625" style="113" customWidth="1"/>
    <col min="11253" max="11253" width="49.81640625" style="113" bestFit="1" customWidth="1"/>
    <col min="11254" max="11254" width="8.81640625" style="113" bestFit="1" customWidth="1"/>
    <col min="11255" max="11256" width="8.1796875" style="113" customWidth="1"/>
    <col min="11257" max="11257" width="2.453125" style="113" customWidth="1"/>
    <col min="11258" max="11262" width="15.54296875" style="113" customWidth="1"/>
    <col min="11263" max="11263" width="1.54296875" style="113" customWidth="1"/>
    <col min="11264" max="11268" width="15.54296875" style="113" customWidth="1"/>
    <col min="11269" max="11269" width="4.81640625" style="113" customWidth="1"/>
    <col min="11270" max="11274" width="15.54296875" style="113" customWidth="1"/>
    <col min="11275" max="11275" width="1.54296875" style="113" customWidth="1"/>
    <col min="11276" max="11280" width="15.54296875" style="113" customWidth="1"/>
    <col min="11281" max="11506" width="11.453125" style="113"/>
    <col min="11507" max="11507" width="1.453125" style="113" customWidth="1"/>
    <col min="11508" max="11508" width="15.81640625" style="113" customWidth="1"/>
    <col min="11509" max="11509" width="49.81640625" style="113" bestFit="1" customWidth="1"/>
    <col min="11510" max="11510" width="8.81640625" style="113" bestFit="1" customWidth="1"/>
    <col min="11511" max="11512" width="8.1796875" style="113" customWidth="1"/>
    <col min="11513" max="11513" width="2.453125" style="113" customWidth="1"/>
    <col min="11514" max="11518" width="15.54296875" style="113" customWidth="1"/>
    <col min="11519" max="11519" width="1.54296875" style="113" customWidth="1"/>
    <col min="11520" max="11524" width="15.54296875" style="113" customWidth="1"/>
    <col min="11525" max="11525" width="4.81640625" style="113" customWidth="1"/>
    <col min="11526" max="11530" width="15.54296875" style="113" customWidth="1"/>
    <col min="11531" max="11531" width="1.54296875" style="113" customWidth="1"/>
    <col min="11532" max="11536" width="15.54296875" style="113" customWidth="1"/>
    <col min="11537" max="11762" width="11.453125" style="113"/>
    <col min="11763" max="11763" width="1.453125" style="113" customWidth="1"/>
    <col min="11764" max="11764" width="15.81640625" style="113" customWidth="1"/>
    <col min="11765" max="11765" width="49.81640625" style="113" bestFit="1" customWidth="1"/>
    <col min="11766" max="11766" width="8.81640625" style="113" bestFit="1" customWidth="1"/>
    <col min="11767" max="11768" width="8.1796875" style="113" customWidth="1"/>
    <col min="11769" max="11769" width="2.453125" style="113" customWidth="1"/>
    <col min="11770" max="11774" width="15.54296875" style="113" customWidth="1"/>
    <col min="11775" max="11775" width="1.54296875" style="113" customWidth="1"/>
    <col min="11776" max="11780" width="15.54296875" style="113" customWidth="1"/>
    <col min="11781" max="11781" width="4.81640625" style="113" customWidth="1"/>
    <col min="11782" max="11786" width="15.54296875" style="113" customWidth="1"/>
    <col min="11787" max="11787" width="1.54296875" style="113" customWidth="1"/>
    <col min="11788" max="11792" width="15.54296875" style="113" customWidth="1"/>
    <col min="11793" max="12018" width="11.453125" style="113"/>
    <col min="12019" max="12019" width="1.453125" style="113" customWidth="1"/>
    <col min="12020" max="12020" width="15.81640625" style="113" customWidth="1"/>
    <col min="12021" max="12021" width="49.81640625" style="113" bestFit="1" customWidth="1"/>
    <col min="12022" max="12022" width="8.81640625" style="113" bestFit="1" customWidth="1"/>
    <col min="12023" max="12024" width="8.1796875" style="113" customWidth="1"/>
    <col min="12025" max="12025" width="2.453125" style="113" customWidth="1"/>
    <col min="12026" max="12030" width="15.54296875" style="113" customWidth="1"/>
    <col min="12031" max="12031" width="1.54296875" style="113" customWidth="1"/>
    <col min="12032" max="12036" width="15.54296875" style="113" customWidth="1"/>
    <col min="12037" max="12037" width="4.81640625" style="113" customWidth="1"/>
    <col min="12038" max="12042" width="15.54296875" style="113" customWidth="1"/>
    <col min="12043" max="12043" width="1.54296875" style="113" customWidth="1"/>
    <col min="12044" max="12048" width="15.54296875" style="113" customWidth="1"/>
    <col min="12049" max="12274" width="11.453125" style="113"/>
    <col min="12275" max="12275" width="1.453125" style="113" customWidth="1"/>
    <col min="12276" max="12276" width="15.81640625" style="113" customWidth="1"/>
    <col min="12277" max="12277" width="49.81640625" style="113" bestFit="1" customWidth="1"/>
    <col min="12278" max="12278" width="8.81640625" style="113" bestFit="1" customWidth="1"/>
    <col min="12279" max="12280" width="8.1796875" style="113" customWidth="1"/>
    <col min="12281" max="12281" width="2.453125" style="113" customWidth="1"/>
    <col min="12282" max="12286" width="15.54296875" style="113" customWidth="1"/>
    <col min="12287" max="12287" width="1.54296875" style="113" customWidth="1"/>
    <col min="12288" max="12292" width="15.54296875" style="113" customWidth="1"/>
    <col min="12293" max="12293" width="4.81640625" style="113" customWidth="1"/>
    <col min="12294" max="12298" width="15.54296875" style="113" customWidth="1"/>
    <col min="12299" max="12299" width="1.54296875" style="113" customWidth="1"/>
    <col min="12300" max="12304" width="15.54296875" style="113" customWidth="1"/>
    <col min="12305" max="12530" width="11.453125" style="113"/>
    <col min="12531" max="12531" width="1.453125" style="113" customWidth="1"/>
    <col min="12532" max="12532" width="15.81640625" style="113" customWidth="1"/>
    <col min="12533" max="12533" width="49.81640625" style="113" bestFit="1" customWidth="1"/>
    <col min="12534" max="12534" width="8.81640625" style="113" bestFit="1" customWidth="1"/>
    <col min="12535" max="12536" width="8.1796875" style="113" customWidth="1"/>
    <col min="12537" max="12537" width="2.453125" style="113" customWidth="1"/>
    <col min="12538" max="12542" width="15.54296875" style="113" customWidth="1"/>
    <col min="12543" max="12543" width="1.54296875" style="113" customWidth="1"/>
    <col min="12544" max="12548" width="15.54296875" style="113" customWidth="1"/>
    <col min="12549" max="12549" width="4.81640625" style="113" customWidth="1"/>
    <col min="12550" max="12554" width="15.54296875" style="113" customWidth="1"/>
    <col min="12555" max="12555" width="1.54296875" style="113" customWidth="1"/>
    <col min="12556" max="12560" width="15.54296875" style="113" customWidth="1"/>
    <col min="12561" max="12786" width="11.453125" style="113"/>
    <col min="12787" max="12787" width="1.453125" style="113" customWidth="1"/>
    <col min="12788" max="12788" width="15.81640625" style="113" customWidth="1"/>
    <col min="12789" max="12789" width="49.81640625" style="113" bestFit="1" customWidth="1"/>
    <col min="12790" max="12790" width="8.81640625" style="113" bestFit="1" customWidth="1"/>
    <col min="12791" max="12792" width="8.1796875" style="113" customWidth="1"/>
    <col min="12793" max="12793" width="2.453125" style="113" customWidth="1"/>
    <col min="12794" max="12798" width="15.54296875" style="113" customWidth="1"/>
    <col min="12799" max="12799" width="1.54296875" style="113" customWidth="1"/>
    <col min="12800" max="12804" width="15.54296875" style="113" customWidth="1"/>
    <col min="12805" max="12805" width="4.81640625" style="113" customWidth="1"/>
    <col min="12806" max="12810" width="15.54296875" style="113" customWidth="1"/>
    <col min="12811" max="12811" width="1.54296875" style="113" customWidth="1"/>
    <col min="12812" max="12816" width="15.54296875" style="113" customWidth="1"/>
    <col min="12817" max="13042" width="11.453125" style="113"/>
    <col min="13043" max="13043" width="1.453125" style="113" customWidth="1"/>
    <col min="13044" max="13044" width="15.81640625" style="113" customWidth="1"/>
    <col min="13045" max="13045" width="49.81640625" style="113" bestFit="1" customWidth="1"/>
    <col min="13046" max="13046" width="8.81640625" style="113" bestFit="1" customWidth="1"/>
    <col min="13047" max="13048" width="8.1796875" style="113" customWidth="1"/>
    <col min="13049" max="13049" width="2.453125" style="113" customWidth="1"/>
    <col min="13050" max="13054" width="15.54296875" style="113" customWidth="1"/>
    <col min="13055" max="13055" width="1.54296875" style="113" customWidth="1"/>
    <col min="13056" max="13060" width="15.54296875" style="113" customWidth="1"/>
    <col min="13061" max="13061" width="4.81640625" style="113" customWidth="1"/>
    <col min="13062" max="13066" width="15.54296875" style="113" customWidth="1"/>
    <col min="13067" max="13067" width="1.54296875" style="113" customWidth="1"/>
    <col min="13068" max="13072" width="15.54296875" style="113" customWidth="1"/>
    <col min="13073" max="13298" width="11.453125" style="113"/>
    <col min="13299" max="13299" width="1.453125" style="113" customWidth="1"/>
    <col min="13300" max="13300" width="15.81640625" style="113" customWidth="1"/>
    <col min="13301" max="13301" width="49.81640625" style="113" bestFit="1" customWidth="1"/>
    <col min="13302" max="13302" width="8.81640625" style="113" bestFit="1" customWidth="1"/>
    <col min="13303" max="13304" width="8.1796875" style="113" customWidth="1"/>
    <col min="13305" max="13305" width="2.453125" style="113" customWidth="1"/>
    <col min="13306" max="13310" width="15.54296875" style="113" customWidth="1"/>
    <col min="13311" max="13311" width="1.54296875" style="113" customWidth="1"/>
    <col min="13312" max="13316" width="15.54296875" style="113" customWidth="1"/>
    <col min="13317" max="13317" width="4.81640625" style="113" customWidth="1"/>
    <col min="13318" max="13322" width="15.54296875" style="113" customWidth="1"/>
    <col min="13323" max="13323" width="1.54296875" style="113" customWidth="1"/>
    <col min="13324" max="13328" width="15.54296875" style="113" customWidth="1"/>
    <col min="13329" max="13554" width="11.453125" style="113"/>
    <col min="13555" max="13555" width="1.453125" style="113" customWidth="1"/>
    <col min="13556" max="13556" width="15.81640625" style="113" customWidth="1"/>
    <col min="13557" max="13557" width="49.81640625" style="113" bestFit="1" customWidth="1"/>
    <col min="13558" max="13558" width="8.81640625" style="113" bestFit="1" customWidth="1"/>
    <col min="13559" max="13560" width="8.1796875" style="113" customWidth="1"/>
    <col min="13561" max="13561" width="2.453125" style="113" customWidth="1"/>
    <col min="13562" max="13566" width="15.54296875" style="113" customWidth="1"/>
    <col min="13567" max="13567" width="1.54296875" style="113" customWidth="1"/>
    <col min="13568" max="13572" width="15.54296875" style="113" customWidth="1"/>
    <col min="13573" max="13573" width="4.81640625" style="113" customWidth="1"/>
    <col min="13574" max="13578" width="15.54296875" style="113" customWidth="1"/>
    <col min="13579" max="13579" width="1.54296875" style="113" customWidth="1"/>
    <col min="13580" max="13584" width="15.54296875" style="113" customWidth="1"/>
    <col min="13585" max="13810" width="11.453125" style="113"/>
    <col min="13811" max="13811" width="1.453125" style="113" customWidth="1"/>
    <col min="13812" max="13812" width="15.81640625" style="113" customWidth="1"/>
    <col min="13813" max="13813" width="49.81640625" style="113" bestFit="1" customWidth="1"/>
    <col min="13814" max="13814" width="8.81640625" style="113" bestFit="1" customWidth="1"/>
    <col min="13815" max="13816" width="8.1796875" style="113" customWidth="1"/>
    <col min="13817" max="13817" width="2.453125" style="113" customWidth="1"/>
    <col min="13818" max="13822" width="15.54296875" style="113" customWidth="1"/>
    <col min="13823" max="13823" width="1.54296875" style="113" customWidth="1"/>
    <col min="13824" max="13828" width="15.54296875" style="113" customWidth="1"/>
    <col min="13829" max="13829" width="4.81640625" style="113" customWidth="1"/>
    <col min="13830" max="13834" width="15.54296875" style="113" customWidth="1"/>
    <col min="13835" max="13835" width="1.54296875" style="113" customWidth="1"/>
    <col min="13836" max="13840" width="15.54296875" style="113" customWidth="1"/>
    <col min="13841" max="14066" width="11.453125" style="113"/>
    <col min="14067" max="14067" width="1.453125" style="113" customWidth="1"/>
    <col min="14068" max="14068" width="15.81640625" style="113" customWidth="1"/>
    <col min="14069" max="14069" width="49.81640625" style="113" bestFit="1" customWidth="1"/>
    <col min="14070" max="14070" width="8.81640625" style="113" bestFit="1" customWidth="1"/>
    <col min="14071" max="14072" width="8.1796875" style="113" customWidth="1"/>
    <col min="14073" max="14073" width="2.453125" style="113" customWidth="1"/>
    <col min="14074" max="14078" width="15.54296875" style="113" customWidth="1"/>
    <col min="14079" max="14079" width="1.54296875" style="113" customWidth="1"/>
    <col min="14080" max="14084" width="15.54296875" style="113" customWidth="1"/>
    <col min="14085" max="14085" width="4.81640625" style="113" customWidth="1"/>
    <col min="14086" max="14090" width="15.54296875" style="113" customWidth="1"/>
    <col min="14091" max="14091" width="1.54296875" style="113" customWidth="1"/>
    <col min="14092" max="14096" width="15.54296875" style="113" customWidth="1"/>
    <col min="14097" max="14322" width="11.453125" style="113"/>
    <col min="14323" max="14323" width="1.453125" style="113" customWidth="1"/>
    <col min="14324" max="14324" width="15.81640625" style="113" customWidth="1"/>
    <col min="14325" max="14325" width="49.81640625" style="113" bestFit="1" customWidth="1"/>
    <col min="14326" max="14326" width="8.81640625" style="113" bestFit="1" customWidth="1"/>
    <col min="14327" max="14328" width="8.1796875" style="113" customWidth="1"/>
    <col min="14329" max="14329" width="2.453125" style="113" customWidth="1"/>
    <col min="14330" max="14334" width="15.54296875" style="113" customWidth="1"/>
    <col min="14335" max="14335" width="1.54296875" style="113" customWidth="1"/>
    <col min="14336" max="14340" width="15.54296875" style="113" customWidth="1"/>
    <col min="14341" max="14341" width="4.81640625" style="113" customWidth="1"/>
    <col min="14342" max="14346" width="15.54296875" style="113" customWidth="1"/>
    <col min="14347" max="14347" width="1.54296875" style="113" customWidth="1"/>
    <col min="14348" max="14352" width="15.54296875" style="113" customWidth="1"/>
    <col min="14353" max="14578" width="11.453125" style="113"/>
    <col min="14579" max="14579" width="1.453125" style="113" customWidth="1"/>
    <col min="14580" max="14580" width="15.81640625" style="113" customWidth="1"/>
    <col min="14581" max="14581" width="49.81640625" style="113" bestFit="1" customWidth="1"/>
    <col min="14582" max="14582" width="8.81640625" style="113" bestFit="1" customWidth="1"/>
    <col min="14583" max="14584" width="8.1796875" style="113" customWidth="1"/>
    <col min="14585" max="14585" width="2.453125" style="113" customWidth="1"/>
    <col min="14586" max="14590" width="15.54296875" style="113" customWidth="1"/>
    <col min="14591" max="14591" width="1.54296875" style="113" customWidth="1"/>
    <col min="14592" max="14596" width="15.54296875" style="113" customWidth="1"/>
    <col min="14597" max="14597" width="4.81640625" style="113" customWidth="1"/>
    <col min="14598" max="14602" width="15.54296875" style="113" customWidth="1"/>
    <col min="14603" max="14603" width="1.54296875" style="113" customWidth="1"/>
    <col min="14604" max="14608" width="15.54296875" style="113" customWidth="1"/>
    <col min="14609" max="14834" width="11.453125" style="113"/>
    <col min="14835" max="14835" width="1.453125" style="113" customWidth="1"/>
    <col min="14836" max="14836" width="15.81640625" style="113" customWidth="1"/>
    <col min="14837" max="14837" width="49.81640625" style="113" bestFit="1" customWidth="1"/>
    <col min="14838" max="14838" width="8.81640625" style="113" bestFit="1" customWidth="1"/>
    <col min="14839" max="14840" width="8.1796875" style="113" customWidth="1"/>
    <col min="14841" max="14841" width="2.453125" style="113" customWidth="1"/>
    <col min="14842" max="14846" width="15.54296875" style="113" customWidth="1"/>
    <col min="14847" max="14847" width="1.54296875" style="113" customWidth="1"/>
    <col min="14848" max="14852" width="15.54296875" style="113" customWidth="1"/>
    <col min="14853" max="14853" width="4.81640625" style="113" customWidth="1"/>
    <col min="14854" max="14858" width="15.54296875" style="113" customWidth="1"/>
    <col min="14859" max="14859" width="1.54296875" style="113" customWidth="1"/>
    <col min="14860" max="14864" width="15.54296875" style="113" customWidth="1"/>
    <col min="14865" max="15090" width="11.453125" style="113"/>
    <col min="15091" max="15091" width="1.453125" style="113" customWidth="1"/>
    <col min="15092" max="15092" width="15.81640625" style="113" customWidth="1"/>
    <col min="15093" max="15093" width="49.81640625" style="113" bestFit="1" customWidth="1"/>
    <col min="15094" max="15094" width="8.81640625" style="113" bestFit="1" customWidth="1"/>
    <col min="15095" max="15096" width="8.1796875" style="113" customWidth="1"/>
    <col min="15097" max="15097" width="2.453125" style="113" customWidth="1"/>
    <col min="15098" max="15102" width="15.54296875" style="113" customWidth="1"/>
    <col min="15103" max="15103" width="1.54296875" style="113" customWidth="1"/>
    <col min="15104" max="15108" width="15.54296875" style="113" customWidth="1"/>
    <col min="15109" max="15109" width="4.81640625" style="113" customWidth="1"/>
    <col min="15110" max="15114" width="15.54296875" style="113" customWidth="1"/>
    <col min="15115" max="15115" width="1.54296875" style="113" customWidth="1"/>
    <col min="15116" max="15120" width="15.54296875" style="113" customWidth="1"/>
    <col min="15121" max="15346" width="11.453125" style="113"/>
    <col min="15347" max="15347" width="1.453125" style="113" customWidth="1"/>
    <col min="15348" max="15348" width="15.81640625" style="113" customWidth="1"/>
    <col min="15349" max="15349" width="49.81640625" style="113" bestFit="1" customWidth="1"/>
    <col min="15350" max="15350" width="8.81640625" style="113" bestFit="1" customWidth="1"/>
    <col min="15351" max="15352" width="8.1796875" style="113" customWidth="1"/>
    <col min="15353" max="15353" width="2.453125" style="113" customWidth="1"/>
    <col min="15354" max="15358" width="15.54296875" style="113" customWidth="1"/>
    <col min="15359" max="15359" width="1.54296875" style="113" customWidth="1"/>
    <col min="15360" max="15364" width="15.54296875" style="113" customWidth="1"/>
    <col min="15365" max="15365" width="4.81640625" style="113" customWidth="1"/>
    <col min="15366" max="15370" width="15.54296875" style="113" customWidth="1"/>
    <col min="15371" max="15371" width="1.54296875" style="113" customWidth="1"/>
    <col min="15372" max="15376" width="15.54296875" style="113" customWidth="1"/>
    <col min="15377" max="15602" width="11.453125" style="113"/>
    <col min="15603" max="15603" width="1.453125" style="113" customWidth="1"/>
    <col min="15604" max="15604" width="15.81640625" style="113" customWidth="1"/>
    <col min="15605" max="15605" width="49.81640625" style="113" bestFit="1" customWidth="1"/>
    <col min="15606" max="15606" width="8.81640625" style="113" bestFit="1" customWidth="1"/>
    <col min="15607" max="15608" width="8.1796875" style="113" customWidth="1"/>
    <col min="15609" max="15609" width="2.453125" style="113" customWidth="1"/>
    <col min="15610" max="15614" width="15.54296875" style="113" customWidth="1"/>
    <col min="15615" max="15615" width="1.54296875" style="113" customWidth="1"/>
    <col min="15616" max="15620" width="15.54296875" style="113" customWidth="1"/>
    <col min="15621" max="15621" width="4.81640625" style="113" customWidth="1"/>
    <col min="15622" max="15626" width="15.54296875" style="113" customWidth="1"/>
    <col min="15627" max="15627" width="1.54296875" style="113" customWidth="1"/>
    <col min="15628" max="15632" width="15.54296875" style="113" customWidth="1"/>
    <col min="15633" max="15858" width="11.453125" style="113"/>
    <col min="15859" max="15859" width="1.453125" style="113" customWidth="1"/>
    <col min="15860" max="15860" width="15.81640625" style="113" customWidth="1"/>
    <col min="15861" max="15861" width="49.81640625" style="113" bestFit="1" customWidth="1"/>
    <col min="15862" max="15862" width="8.81640625" style="113" bestFit="1" customWidth="1"/>
    <col min="15863" max="15864" width="8.1796875" style="113" customWidth="1"/>
    <col min="15865" max="15865" width="2.453125" style="113" customWidth="1"/>
    <col min="15866" max="15870" width="15.54296875" style="113" customWidth="1"/>
    <col min="15871" max="15871" width="1.54296875" style="113" customWidth="1"/>
    <col min="15872" max="15876" width="15.54296875" style="113" customWidth="1"/>
    <col min="15877" max="15877" width="4.81640625" style="113" customWidth="1"/>
    <col min="15878" max="15882" width="15.54296875" style="113" customWidth="1"/>
    <col min="15883" max="15883" width="1.54296875" style="113" customWidth="1"/>
    <col min="15884" max="15888" width="15.54296875" style="113" customWidth="1"/>
    <col min="15889" max="16114" width="11.453125" style="113"/>
    <col min="16115" max="16115" width="1.453125" style="113" customWidth="1"/>
    <col min="16116" max="16116" width="15.81640625" style="113" customWidth="1"/>
    <col min="16117" max="16117" width="49.81640625" style="113" bestFit="1" customWidth="1"/>
    <col min="16118" max="16118" width="8.81640625" style="113" bestFit="1" customWidth="1"/>
    <col min="16119" max="16120" width="8.1796875" style="113" customWidth="1"/>
    <col min="16121" max="16121" width="2.453125" style="113" customWidth="1"/>
    <col min="16122" max="16126" width="15.54296875" style="113" customWidth="1"/>
    <col min="16127" max="16127" width="1.54296875" style="113" customWidth="1"/>
    <col min="16128" max="16132" width="15.54296875" style="113" customWidth="1"/>
    <col min="16133" max="16133" width="4.81640625" style="113" customWidth="1"/>
    <col min="16134" max="16138" width="15.54296875" style="113" customWidth="1"/>
    <col min="16139" max="16139" width="1.54296875" style="113" customWidth="1"/>
    <col min="16140" max="16144" width="15.54296875" style="113" customWidth="1"/>
    <col min="16145" max="16384" width="11.453125" style="113"/>
  </cols>
  <sheetData>
    <row r="1" spans="2:31" ht="13.5" customHeight="1" thickBot="1"/>
    <row r="2" spans="2:31" ht="23.25" customHeight="1">
      <c r="B2" s="665" t="s">
        <v>34</v>
      </c>
      <c r="C2" s="665"/>
      <c r="D2" s="665"/>
      <c r="E2" s="665"/>
      <c r="F2" s="665"/>
      <c r="G2" s="665"/>
      <c r="I2" s="678" t="s">
        <v>35</v>
      </c>
      <c r="J2" s="679"/>
      <c r="K2" s="679"/>
      <c r="L2" s="679"/>
      <c r="M2" s="669"/>
      <c r="N2" s="260"/>
      <c r="O2" s="678" t="s">
        <v>3</v>
      </c>
      <c r="P2" s="679"/>
      <c r="Q2" s="679"/>
      <c r="R2" s="679"/>
      <c r="S2" s="669"/>
      <c r="U2" s="678" t="s">
        <v>35</v>
      </c>
      <c r="V2" s="679"/>
      <c r="W2" s="679"/>
      <c r="X2" s="679"/>
      <c r="Y2" s="669"/>
      <c r="Z2" s="260"/>
      <c r="AA2" s="678" t="s">
        <v>3</v>
      </c>
      <c r="AB2" s="679"/>
      <c r="AC2" s="679"/>
      <c r="AD2" s="679"/>
      <c r="AE2" s="669"/>
    </row>
    <row r="3" spans="2:31" customFormat="1" ht="3.75" customHeight="1">
      <c r="N3" s="6"/>
      <c r="O3" s="6"/>
      <c r="P3" s="6"/>
      <c r="Q3" s="6"/>
      <c r="R3" s="6"/>
      <c r="S3" s="6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</row>
    <row r="4" spans="2:31" s="244" customFormat="1" ht="30" customHeight="1" thickBot="1">
      <c r="B4" s="121">
        <f>'PVP VaP - Pyme'!B4</f>
        <v>45658</v>
      </c>
      <c r="C4" s="119" t="s">
        <v>629</v>
      </c>
      <c r="D4" s="680" t="s">
        <v>179</v>
      </c>
      <c r="E4" s="680"/>
      <c r="F4" s="680"/>
      <c r="G4" s="680"/>
      <c r="H4" s="243"/>
      <c r="I4" s="312" t="s">
        <v>108</v>
      </c>
      <c r="J4" s="313" t="s">
        <v>109</v>
      </c>
      <c r="K4" s="313" t="s">
        <v>110</v>
      </c>
      <c r="L4" s="313" t="s">
        <v>111</v>
      </c>
      <c r="M4" s="7" t="s">
        <v>146</v>
      </c>
      <c r="N4" s="243"/>
      <c r="O4" s="312" t="s">
        <v>108</v>
      </c>
      <c r="P4" s="313" t="s">
        <v>109</v>
      </c>
      <c r="Q4" s="313" t="s">
        <v>110</v>
      </c>
      <c r="R4" s="313" t="s">
        <v>111</v>
      </c>
      <c r="S4" s="7" t="s">
        <v>146</v>
      </c>
      <c r="U4" s="312" t="s">
        <v>36</v>
      </c>
      <c r="V4" s="313" t="s">
        <v>37</v>
      </c>
      <c r="W4" s="313" t="s">
        <v>38</v>
      </c>
      <c r="X4" s="313" t="s">
        <v>39</v>
      </c>
      <c r="Y4" s="7" t="s">
        <v>175</v>
      </c>
      <c r="Z4" s="243"/>
      <c r="AA4" s="312" t="s">
        <v>36</v>
      </c>
      <c r="AB4" s="313" t="s">
        <v>37</v>
      </c>
      <c r="AC4" s="313" t="s">
        <v>38</v>
      </c>
      <c r="AD4" s="7" t="s">
        <v>39</v>
      </c>
      <c r="AE4" s="7" t="s">
        <v>175</v>
      </c>
    </row>
    <row r="5" spans="2:31" ht="17.25" customHeight="1">
      <c r="B5" s="646" t="s">
        <v>40</v>
      </c>
      <c r="C5" s="647"/>
      <c r="D5" s="652" t="s">
        <v>41</v>
      </c>
      <c r="E5" s="652"/>
      <c r="F5" s="652"/>
      <c r="G5" s="653"/>
      <c r="H5" s="245"/>
      <c r="I5" s="759" t="s">
        <v>162</v>
      </c>
      <c r="J5" s="762" t="s">
        <v>163</v>
      </c>
      <c r="K5" s="762" t="s">
        <v>164</v>
      </c>
      <c r="L5" s="762" t="s">
        <v>165</v>
      </c>
      <c r="M5" s="765" t="s">
        <v>166</v>
      </c>
      <c r="N5" s="246"/>
      <c r="O5" s="759" t="s">
        <v>162</v>
      </c>
      <c r="P5" s="762" t="s">
        <v>163</v>
      </c>
      <c r="Q5" s="762" t="s">
        <v>164</v>
      </c>
      <c r="R5" s="762" t="s">
        <v>165</v>
      </c>
      <c r="S5" s="765" t="s">
        <v>166</v>
      </c>
      <c r="U5" s="775" t="s">
        <v>307</v>
      </c>
      <c r="V5" s="778" t="s">
        <v>308</v>
      </c>
      <c r="W5" s="778" t="s">
        <v>309</v>
      </c>
      <c r="X5" s="778" t="s">
        <v>310</v>
      </c>
      <c r="Y5" s="772" t="s">
        <v>311</v>
      </c>
      <c r="Z5" s="246"/>
      <c r="AA5" s="775" t="s">
        <v>307</v>
      </c>
      <c r="AB5" s="778" t="s">
        <v>308</v>
      </c>
      <c r="AC5" s="778" t="s">
        <v>309</v>
      </c>
      <c r="AD5" s="778" t="s">
        <v>310</v>
      </c>
      <c r="AE5" s="772" t="s">
        <v>311</v>
      </c>
    </row>
    <row r="6" spans="2:31" ht="17.25" customHeight="1">
      <c r="B6" s="648"/>
      <c r="C6" s="649"/>
      <c r="D6" s="654"/>
      <c r="E6" s="654"/>
      <c r="F6" s="654"/>
      <c r="G6" s="655"/>
      <c r="H6" s="246"/>
      <c r="I6" s="760"/>
      <c r="J6" s="763"/>
      <c r="K6" s="763"/>
      <c r="L6" s="763"/>
      <c r="M6" s="766"/>
      <c r="N6" s="246"/>
      <c r="O6" s="760"/>
      <c r="P6" s="763"/>
      <c r="Q6" s="763"/>
      <c r="R6" s="763"/>
      <c r="S6" s="766"/>
      <c r="U6" s="776"/>
      <c r="V6" s="779"/>
      <c r="W6" s="779"/>
      <c r="X6" s="779"/>
      <c r="Y6" s="773"/>
      <c r="Z6" s="246"/>
      <c r="AA6" s="776"/>
      <c r="AB6" s="779"/>
      <c r="AC6" s="779"/>
      <c r="AD6" s="779"/>
      <c r="AE6" s="773"/>
    </row>
    <row r="7" spans="2:31" ht="17.25" customHeight="1">
      <c r="B7" s="648"/>
      <c r="C7" s="649"/>
      <c r="D7" s="654"/>
      <c r="E7" s="654"/>
      <c r="F7" s="654"/>
      <c r="G7" s="655"/>
      <c r="H7" s="246"/>
      <c r="I7" s="760"/>
      <c r="J7" s="763"/>
      <c r="K7" s="763"/>
      <c r="L7" s="763"/>
      <c r="M7" s="766"/>
      <c r="N7" s="246"/>
      <c r="O7" s="760"/>
      <c r="P7" s="763"/>
      <c r="Q7" s="763"/>
      <c r="R7" s="763"/>
      <c r="S7" s="766"/>
      <c r="U7" s="776"/>
      <c r="V7" s="779"/>
      <c r="W7" s="779"/>
      <c r="X7" s="779"/>
      <c r="Y7" s="773"/>
      <c r="Z7" s="246"/>
      <c r="AA7" s="776"/>
      <c r="AB7" s="779"/>
      <c r="AC7" s="779"/>
      <c r="AD7" s="779"/>
      <c r="AE7" s="773"/>
    </row>
    <row r="8" spans="2:31" ht="17.25" customHeight="1">
      <c r="B8" s="648"/>
      <c r="C8" s="649"/>
      <c r="D8" s="654"/>
      <c r="E8" s="654"/>
      <c r="F8" s="654"/>
      <c r="G8" s="655"/>
      <c r="H8" s="246"/>
      <c r="I8" s="760"/>
      <c r="J8" s="763"/>
      <c r="K8" s="763"/>
      <c r="L8" s="763"/>
      <c r="M8" s="766"/>
      <c r="N8" s="246"/>
      <c r="O8" s="760"/>
      <c r="P8" s="763"/>
      <c r="Q8" s="763"/>
      <c r="R8" s="763"/>
      <c r="S8" s="766"/>
      <c r="U8" s="776"/>
      <c r="V8" s="779"/>
      <c r="W8" s="779"/>
      <c r="X8" s="779"/>
      <c r="Y8" s="773"/>
      <c r="Z8" s="246"/>
      <c r="AA8" s="776"/>
      <c r="AB8" s="779"/>
      <c r="AC8" s="779"/>
      <c r="AD8" s="779"/>
      <c r="AE8" s="773"/>
    </row>
    <row r="9" spans="2:31" ht="17.25" customHeight="1">
      <c r="B9" s="648"/>
      <c r="C9" s="649"/>
      <c r="D9" s="654"/>
      <c r="E9" s="654"/>
      <c r="F9" s="654"/>
      <c r="G9" s="655"/>
      <c r="H9" s="246"/>
      <c r="I9" s="760"/>
      <c r="J9" s="763"/>
      <c r="K9" s="763"/>
      <c r="L9" s="763"/>
      <c r="M9" s="766"/>
      <c r="N9" s="246"/>
      <c r="O9" s="760"/>
      <c r="P9" s="763"/>
      <c r="Q9" s="763"/>
      <c r="R9" s="763"/>
      <c r="S9" s="766"/>
      <c r="U9" s="776"/>
      <c r="V9" s="779"/>
      <c r="W9" s="779"/>
      <c r="X9" s="779"/>
      <c r="Y9" s="773"/>
      <c r="Z9" s="246"/>
      <c r="AA9" s="776"/>
      <c r="AB9" s="779"/>
      <c r="AC9" s="779"/>
      <c r="AD9" s="779"/>
      <c r="AE9" s="773"/>
    </row>
    <row r="10" spans="2:31" ht="17.25" customHeight="1">
      <c r="B10" s="648"/>
      <c r="C10" s="649"/>
      <c r="D10" s="654"/>
      <c r="E10" s="654"/>
      <c r="F10" s="654"/>
      <c r="G10" s="655"/>
      <c r="H10" s="246"/>
      <c r="I10" s="760"/>
      <c r="J10" s="763"/>
      <c r="K10" s="763"/>
      <c r="L10" s="763"/>
      <c r="M10" s="766"/>
      <c r="N10" s="246"/>
      <c r="O10" s="760"/>
      <c r="P10" s="763"/>
      <c r="Q10" s="763"/>
      <c r="R10" s="763"/>
      <c r="S10" s="766"/>
      <c r="U10" s="776"/>
      <c r="V10" s="779"/>
      <c r="W10" s="779"/>
      <c r="X10" s="779"/>
      <c r="Y10" s="773"/>
      <c r="Z10" s="246"/>
      <c r="AA10" s="776"/>
      <c r="AB10" s="779"/>
      <c r="AC10" s="779"/>
      <c r="AD10" s="779"/>
      <c r="AE10" s="773"/>
    </row>
    <row r="11" spans="2:31" ht="17.25" customHeight="1" thickBot="1">
      <c r="B11" s="648"/>
      <c r="C11" s="649"/>
      <c r="D11" s="656"/>
      <c r="E11" s="656"/>
      <c r="F11" s="656"/>
      <c r="G11" s="657"/>
      <c r="H11" s="246"/>
      <c r="I11" s="761"/>
      <c r="J11" s="764"/>
      <c r="K11" s="764"/>
      <c r="L11" s="764"/>
      <c r="M11" s="767"/>
      <c r="N11" s="246"/>
      <c r="O11" s="761"/>
      <c r="P11" s="764"/>
      <c r="Q11" s="764"/>
      <c r="R11" s="764"/>
      <c r="S11" s="767"/>
      <c r="U11" s="777"/>
      <c r="V11" s="780"/>
      <c r="W11" s="780"/>
      <c r="X11" s="780"/>
      <c r="Y11" s="774"/>
      <c r="Z11" s="246"/>
      <c r="AA11" s="777"/>
      <c r="AB11" s="780"/>
      <c r="AC11" s="780"/>
      <c r="AD11" s="780"/>
      <c r="AE11" s="774"/>
    </row>
    <row r="12" spans="2:31" ht="30.75" customHeight="1" thickBot="1">
      <c r="B12" s="648"/>
      <c r="C12" s="649"/>
      <c r="D12" s="670" t="s">
        <v>42</v>
      </c>
      <c r="E12" s="670"/>
      <c r="F12" s="671"/>
      <c r="G12" s="672"/>
      <c r="H12" s="247"/>
      <c r="I12" s="307" t="s">
        <v>43</v>
      </c>
      <c r="J12" s="248" t="s">
        <v>43</v>
      </c>
      <c r="K12" s="248" t="s">
        <v>43</v>
      </c>
      <c r="L12" s="276" t="s">
        <v>43</v>
      </c>
      <c r="M12" s="277" t="s">
        <v>43</v>
      </c>
      <c r="N12" s="246"/>
      <c r="O12" s="307" t="s">
        <v>43</v>
      </c>
      <c r="P12" s="248" t="s">
        <v>43</v>
      </c>
      <c r="Q12" s="248" t="s">
        <v>43</v>
      </c>
      <c r="R12" s="276" t="s">
        <v>43</v>
      </c>
      <c r="S12" s="277" t="s">
        <v>43</v>
      </c>
      <c r="U12" s="307" t="s">
        <v>43</v>
      </c>
      <c r="V12" s="248" t="s">
        <v>43</v>
      </c>
      <c r="W12" s="248" t="s">
        <v>43</v>
      </c>
      <c r="X12" s="276" t="s">
        <v>43</v>
      </c>
      <c r="Y12" s="277" t="s">
        <v>43</v>
      </c>
      <c r="Z12" s="246"/>
      <c r="AA12" s="307" t="s">
        <v>43</v>
      </c>
      <c r="AB12" s="248" t="s">
        <v>43</v>
      </c>
      <c r="AC12" s="248" t="s">
        <v>43</v>
      </c>
      <c r="AD12" s="276" t="s">
        <v>43</v>
      </c>
      <c r="AE12" s="277" t="s">
        <v>43</v>
      </c>
    </row>
    <row r="13" spans="2:31" ht="65.25" customHeight="1" thickBot="1">
      <c r="B13" s="648"/>
      <c r="C13" s="649"/>
      <c r="D13" s="754" t="s">
        <v>44</v>
      </c>
      <c r="E13" s="670"/>
      <c r="F13" s="671"/>
      <c r="G13" s="672"/>
      <c r="H13" s="247"/>
      <c r="I13" s="310" t="s">
        <v>100</v>
      </c>
      <c r="J13" s="249" t="s">
        <v>100</v>
      </c>
      <c r="K13" s="249" t="s">
        <v>100</v>
      </c>
      <c r="L13" s="278" t="s">
        <v>100</v>
      </c>
      <c r="M13" s="250" t="s">
        <v>100</v>
      </c>
      <c r="N13" s="246"/>
      <c r="O13" s="310" t="s">
        <v>45</v>
      </c>
      <c r="P13" s="249" t="s">
        <v>45</v>
      </c>
      <c r="Q13" s="249" t="s">
        <v>45</v>
      </c>
      <c r="R13" s="278" t="s">
        <v>45</v>
      </c>
      <c r="S13" s="250" t="s">
        <v>45</v>
      </c>
      <c r="U13" s="310" t="s">
        <v>100</v>
      </c>
      <c r="V13" s="249" t="s">
        <v>100</v>
      </c>
      <c r="W13" s="249" t="s">
        <v>100</v>
      </c>
      <c r="X13" s="278" t="s">
        <v>100</v>
      </c>
      <c r="Y13" s="250" t="s">
        <v>100</v>
      </c>
      <c r="Z13" s="246"/>
      <c r="AA13" s="310" t="s">
        <v>45</v>
      </c>
      <c r="AB13" s="249" t="s">
        <v>45</v>
      </c>
      <c r="AC13" s="249" t="s">
        <v>45</v>
      </c>
      <c r="AD13" s="278" t="s">
        <v>45</v>
      </c>
      <c r="AE13" s="250" t="s">
        <v>45</v>
      </c>
    </row>
    <row r="14" spans="2:31" ht="21" customHeight="1" thickBot="1">
      <c r="B14" s="648"/>
      <c r="C14" s="649"/>
      <c r="D14" s="674" t="s">
        <v>46</v>
      </c>
      <c r="E14" s="675"/>
      <c r="F14" s="675"/>
      <c r="G14" s="675"/>
      <c r="H14" s="251"/>
      <c r="I14" s="305" t="s">
        <v>47</v>
      </c>
      <c r="J14" s="269" t="s">
        <v>47</v>
      </c>
      <c r="K14" s="269" t="s">
        <v>47</v>
      </c>
      <c r="L14" s="309" t="s">
        <v>47</v>
      </c>
      <c r="M14" s="270" t="s">
        <v>47</v>
      </c>
      <c r="N14" s="246"/>
      <c r="O14" s="305" t="s">
        <v>47</v>
      </c>
      <c r="P14" s="269" t="s">
        <v>47</v>
      </c>
      <c r="Q14" s="269" t="s">
        <v>47</v>
      </c>
      <c r="R14" s="309" t="s">
        <v>47</v>
      </c>
      <c r="S14" s="270" t="s">
        <v>47</v>
      </c>
      <c r="U14" s="305" t="s">
        <v>49</v>
      </c>
      <c r="V14" s="269" t="s">
        <v>49</v>
      </c>
      <c r="W14" s="269" t="s">
        <v>49</v>
      </c>
      <c r="X14" s="309" t="s">
        <v>49</v>
      </c>
      <c r="Y14" s="270" t="s">
        <v>49</v>
      </c>
      <c r="Z14" s="246"/>
      <c r="AA14" s="305" t="s">
        <v>49</v>
      </c>
      <c r="AB14" s="269" t="s">
        <v>49</v>
      </c>
      <c r="AC14" s="269" t="s">
        <v>49</v>
      </c>
      <c r="AD14" s="309" t="s">
        <v>49</v>
      </c>
      <c r="AE14" s="270" t="s">
        <v>49</v>
      </c>
    </row>
    <row r="15" spans="2:31" ht="21" customHeight="1" thickBot="1">
      <c r="B15" s="648"/>
      <c r="C15" s="649"/>
      <c r="D15" s="754" t="s">
        <v>48</v>
      </c>
      <c r="E15" s="670"/>
      <c r="F15" s="670"/>
      <c r="G15" s="755"/>
      <c r="H15" s="251"/>
      <c r="I15" s="305" t="s">
        <v>49</v>
      </c>
      <c r="J15" s="269" t="s">
        <v>49</v>
      </c>
      <c r="K15" s="269" t="s">
        <v>50</v>
      </c>
      <c r="L15" s="309" t="s">
        <v>50</v>
      </c>
      <c r="M15" s="270" t="s">
        <v>50</v>
      </c>
      <c r="N15" s="246"/>
      <c r="O15" s="305" t="s">
        <v>49</v>
      </c>
      <c r="P15" s="269" t="s">
        <v>49</v>
      </c>
      <c r="Q15" s="269" t="s">
        <v>50</v>
      </c>
      <c r="R15" s="309" t="s">
        <v>50</v>
      </c>
      <c r="S15" s="270" t="s">
        <v>50</v>
      </c>
      <c r="U15" s="305" t="s">
        <v>49</v>
      </c>
      <c r="V15" s="269" t="s">
        <v>49</v>
      </c>
      <c r="W15" s="269" t="s">
        <v>50</v>
      </c>
      <c r="X15" s="309" t="s">
        <v>50</v>
      </c>
      <c r="Y15" s="270" t="s">
        <v>50</v>
      </c>
      <c r="Z15" s="246"/>
      <c r="AA15" s="305" t="s">
        <v>49</v>
      </c>
      <c r="AB15" s="269" t="s">
        <v>49</v>
      </c>
      <c r="AC15" s="269" t="s">
        <v>50</v>
      </c>
      <c r="AD15" s="309" t="s">
        <v>50</v>
      </c>
      <c r="AE15" s="270" t="s">
        <v>50</v>
      </c>
    </row>
    <row r="16" spans="2:31" ht="21" customHeight="1" thickBot="1">
      <c r="B16" s="650"/>
      <c r="C16" s="651"/>
      <c r="D16" s="713" t="s">
        <v>51</v>
      </c>
      <c r="E16" s="714"/>
      <c r="F16" s="714"/>
      <c r="G16" s="715"/>
      <c r="H16" s="251"/>
      <c r="I16" s="305" t="s">
        <v>49</v>
      </c>
      <c r="J16" s="269" t="s">
        <v>49</v>
      </c>
      <c r="K16" s="269" t="s">
        <v>49</v>
      </c>
      <c r="L16" s="309" t="s">
        <v>49</v>
      </c>
      <c r="M16" s="270" t="s">
        <v>49</v>
      </c>
      <c r="N16" s="246"/>
      <c r="O16" s="305" t="s">
        <v>49</v>
      </c>
      <c r="P16" s="269" t="s">
        <v>49</v>
      </c>
      <c r="Q16" s="269" t="s">
        <v>49</v>
      </c>
      <c r="R16" s="309" t="s">
        <v>49</v>
      </c>
      <c r="S16" s="270" t="s">
        <v>49</v>
      </c>
      <c r="U16" s="305" t="s">
        <v>49</v>
      </c>
      <c r="V16" s="269" t="s">
        <v>49</v>
      </c>
      <c r="W16" s="269" t="s">
        <v>49</v>
      </c>
      <c r="X16" s="309" t="s">
        <v>49</v>
      </c>
      <c r="Y16" s="270" t="s">
        <v>49</v>
      </c>
      <c r="Z16" s="246"/>
      <c r="AA16" s="305" t="s">
        <v>49</v>
      </c>
      <c r="AB16" s="269" t="s">
        <v>49</v>
      </c>
      <c r="AC16" s="269" t="s">
        <v>49</v>
      </c>
      <c r="AD16" s="309" t="s">
        <v>49</v>
      </c>
      <c r="AE16" s="270" t="s">
        <v>49</v>
      </c>
    </row>
    <row r="17" spans="2:55" ht="23.25" customHeight="1" thickBot="1">
      <c r="B17" s="748"/>
      <c r="C17" s="749"/>
      <c r="D17" s="749"/>
      <c r="E17" s="749"/>
      <c r="F17" s="749"/>
      <c r="I17" s="25" t="s">
        <v>103</v>
      </c>
      <c r="U17" s="25" t="s">
        <v>103</v>
      </c>
      <c r="AG17" s="751" t="s">
        <v>174</v>
      </c>
      <c r="AH17" s="752"/>
      <c r="AI17" s="752"/>
      <c r="AJ17" s="752"/>
      <c r="AK17" s="752"/>
      <c r="AL17" s="752"/>
      <c r="AM17" s="752"/>
      <c r="AN17" s="752"/>
      <c r="AO17" s="752"/>
      <c r="AP17" s="752"/>
      <c r="AQ17" s="753"/>
    </row>
    <row r="18" spans="2:55" ht="23.25" customHeight="1" thickBot="1">
      <c r="B18" s="750"/>
      <c r="C18" s="750"/>
      <c r="D18" s="750"/>
      <c r="E18" s="750"/>
      <c r="F18" s="750"/>
      <c r="I18" s="25"/>
      <c r="U18" s="25"/>
      <c r="AG18" s="287"/>
      <c r="AH18" s="287"/>
      <c r="AI18" s="287"/>
      <c r="AJ18" s="287"/>
      <c r="AK18" s="287"/>
      <c r="AL18" s="150"/>
      <c r="AM18" s="287"/>
      <c r="AN18" s="287"/>
      <c r="AO18" s="287"/>
      <c r="AP18" s="287"/>
      <c r="AQ18" s="287"/>
    </row>
    <row r="19" spans="2:55" ht="23.25" customHeight="1">
      <c r="B19" s="716" t="s">
        <v>52</v>
      </c>
      <c r="C19" s="717"/>
      <c r="D19" s="717"/>
      <c r="E19" s="717"/>
      <c r="F19" s="717"/>
      <c r="G19" s="718"/>
      <c r="I19" s="634" t="s">
        <v>105</v>
      </c>
      <c r="J19" s="722"/>
      <c r="K19" s="722"/>
      <c r="L19" s="722"/>
      <c r="M19" s="723"/>
      <c r="N19" s="260"/>
      <c r="O19" s="634" t="s">
        <v>106</v>
      </c>
      <c r="P19" s="722"/>
      <c r="Q19" s="722"/>
      <c r="R19" s="722"/>
      <c r="S19" s="723"/>
      <c r="U19" s="634" t="s">
        <v>53</v>
      </c>
      <c r="V19" s="722"/>
      <c r="W19" s="722"/>
      <c r="X19" s="722"/>
      <c r="Y19" s="723"/>
      <c r="Z19" s="260"/>
      <c r="AA19" s="634" t="s">
        <v>54</v>
      </c>
      <c r="AB19" s="722"/>
      <c r="AC19" s="722"/>
      <c r="AD19" s="722"/>
      <c r="AE19" s="723"/>
      <c r="AG19" s="634" t="s">
        <v>53</v>
      </c>
      <c r="AH19" s="722"/>
      <c r="AI19" s="722"/>
      <c r="AJ19" s="722"/>
      <c r="AK19" s="723"/>
      <c r="AL19" s="288"/>
      <c r="AM19" s="634" t="s">
        <v>54</v>
      </c>
      <c r="AN19" s="722"/>
      <c r="AO19" s="722"/>
      <c r="AP19" s="722"/>
      <c r="AQ19" s="723"/>
      <c r="AS19" s="634" t="s">
        <v>105</v>
      </c>
      <c r="AT19" s="722"/>
      <c r="AU19" s="722"/>
      <c r="AV19" s="722"/>
      <c r="AW19" s="723"/>
      <c r="AX19" s="260"/>
      <c r="AY19" s="634" t="s">
        <v>106</v>
      </c>
      <c r="AZ19" s="722"/>
      <c r="BA19" s="722"/>
      <c r="BB19" s="722"/>
      <c r="BC19" s="723"/>
    </row>
    <row r="20" spans="2:55" ht="3.75" customHeight="1">
      <c r="B20" s="719"/>
      <c r="C20" s="720"/>
      <c r="D20" s="720"/>
      <c r="E20" s="720"/>
      <c r="F20" s="720"/>
      <c r="G20" s="721"/>
      <c r="I20" s="259"/>
      <c r="J20" s="259"/>
      <c r="K20" s="260"/>
      <c r="L20" s="260"/>
      <c r="M20" s="260"/>
      <c r="N20" s="260"/>
      <c r="O20" s="259"/>
      <c r="P20" s="259"/>
      <c r="Q20" s="260"/>
      <c r="R20" s="260"/>
      <c r="S20" s="260"/>
      <c r="U20" s="259"/>
      <c r="V20" s="259"/>
      <c r="W20" s="260"/>
      <c r="X20" s="260"/>
      <c r="Y20" s="260"/>
      <c r="Z20" s="260"/>
      <c r="AA20" s="259"/>
      <c r="AB20" s="259"/>
      <c r="AC20" s="260"/>
      <c r="AD20" s="260"/>
      <c r="AE20" s="260"/>
      <c r="AG20" s="259"/>
      <c r="AH20" s="259"/>
      <c r="AI20" s="260"/>
      <c r="AJ20" s="260"/>
      <c r="AK20" s="260"/>
      <c r="AL20" s="288"/>
      <c r="AM20" s="259"/>
      <c r="AN20" s="259"/>
      <c r="AO20" s="260"/>
      <c r="AP20" s="260"/>
      <c r="AQ20" s="260"/>
      <c r="AS20" s="259"/>
      <c r="AT20" s="259"/>
      <c r="AU20" s="260"/>
      <c r="AV20" s="260"/>
      <c r="AW20" s="260"/>
      <c r="AX20" s="260"/>
      <c r="AY20" s="259"/>
      <c r="AZ20" s="259"/>
      <c r="BA20" s="260"/>
      <c r="BB20" s="260"/>
      <c r="BC20" s="260"/>
    </row>
    <row r="21" spans="2:55" ht="33.75" customHeight="1">
      <c r="B21" s="719"/>
      <c r="C21" s="720"/>
      <c r="D21" s="720"/>
      <c r="E21" s="720"/>
      <c r="F21" s="720"/>
      <c r="G21" s="721"/>
      <c r="I21" s="641" t="s">
        <v>55</v>
      </c>
      <c r="J21" s="642"/>
      <c r="K21" s="642"/>
      <c r="L21" s="642"/>
      <c r="M21" s="643"/>
      <c r="N21" s="243"/>
      <c r="O21" s="641" t="s">
        <v>55</v>
      </c>
      <c r="P21" s="642"/>
      <c r="Q21" s="642"/>
      <c r="R21" s="642"/>
      <c r="S21" s="643"/>
      <c r="U21" s="641" t="s">
        <v>55</v>
      </c>
      <c r="V21" s="642"/>
      <c r="W21" s="642"/>
      <c r="X21" s="642"/>
      <c r="Y21" s="643"/>
      <c r="Z21" s="243"/>
      <c r="AA21" s="641" t="s">
        <v>55</v>
      </c>
      <c r="AB21" s="642"/>
      <c r="AC21" s="642"/>
      <c r="AD21" s="642"/>
      <c r="AE21" s="643"/>
      <c r="AG21" s="641" t="s">
        <v>55</v>
      </c>
      <c r="AH21" s="642"/>
      <c r="AI21" s="642"/>
      <c r="AJ21" s="642"/>
      <c r="AK21" s="643"/>
      <c r="AL21" s="289"/>
      <c r="AM21" s="641" t="s">
        <v>55</v>
      </c>
      <c r="AN21" s="642"/>
      <c r="AO21" s="642"/>
      <c r="AP21" s="642"/>
      <c r="AQ21" s="643"/>
      <c r="AS21" s="641" t="s">
        <v>55</v>
      </c>
      <c r="AT21" s="642"/>
      <c r="AU21" s="642"/>
      <c r="AV21" s="642"/>
      <c r="AW21" s="643"/>
      <c r="AX21" s="243"/>
      <c r="AY21" s="641" t="s">
        <v>55</v>
      </c>
      <c r="AZ21" s="642"/>
      <c r="BA21" s="642"/>
      <c r="BB21" s="642"/>
      <c r="BC21" s="643"/>
    </row>
    <row r="22" spans="2:55" s="150" customFormat="1" ht="3.75" customHeight="1">
      <c r="B22" s="719"/>
      <c r="C22" s="720"/>
      <c r="D22" s="720"/>
      <c r="E22" s="720"/>
      <c r="F22" s="720"/>
      <c r="G22" s="721"/>
      <c r="I22" s="261"/>
      <c r="J22" s="262"/>
      <c r="K22" s="262"/>
      <c r="L22" s="262"/>
      <c r="M22" s="271"/>
      <c r="N22" s="243"/>
      <c r="O22" s="261"/>
      <c r="P22" s="262"/>
      <c r="Q22" s="262"/>
      <c r="R22" s="262"/>
      <c r="S22" s="271"/>
      <c r="U22" s="261"/>
      <c r="V22" s="262"/>
      <c r="W22" s="262"/>
      <c r="X22" s="262"/>
      <c r="Y22" s="271"/>
      <c r="Z22" s="243"/>
      <c r="AA22" s="261"/>
      <c r="AB22" s="262"/>
      <c r="AC22" s="262"/>
      <c r="AD22" s="262"/>
      <c r="AE22" s="271"/>
      <c r="AG22" s="261"/>
      <c r="AH22" s="262"/>
      <c r="AI22" s="262"/>
      <c r="AJ22" s="262"/>
      <c r="AK22" s="271"/>
      <c r="AL22" s="289"/>
      <c r="AM22" s="261"/>
      <c r="AN22" s="262"/>
      <c r="AO22" s="262"/>
      <c r="AP22" s="262"/>
      <c r="AQ22" s="271"/>
      <c r="AS22" s="261"/>
      <c r="AT22" s="262"/>
      <c r="AU22" s="262"/>
      <c r="AV22" s="262"/>
      <c r="AW22" s="271"/>
      <c r="AX22" s="243"/>
      <c r="AY22" s="261"/>
      <c r="AZ22" s="262"/>
      <c r="BA22" s="262"/>
      <c r="BB22" s="262"/>
      <c r="BC22" s="271"/>
    </row>
    <row r="23" spans="2:55" ht="30" customHeight="1">
      <c r="B23" s="719"/>
      <c r="C23" s="720"/>
      <c r="D23" s="720"/>
      <c r="E23" s="720"/>
      <c r="F23" s="720"/>
      <c r="G23" s="721"/>
      <c r="H23" s="263"/>
      <c r="I23" s="312" t="s">
        <v>108</v>
      </c>
      <c r="J23" s="313" t="s">
        <v>109</v>
      </c>
      <c r="K23" s="313" t="s">
        <v>110</v>
      </c>
      <c r="L23" s="313" t="s">
        <v>111</v>
      </c>
      <c r="M23" s="7" t="s">
        <v>146</v>
      </c>
      <c r="N23" s="243"/>
      <c r="O23" s="312" t="s">
        <v>108</v>
      </c>
      <c r="P23" s="313" t="s">
        <v>109</v>
      </c>
      <c r="Q23" s="313" t="s">
        <v>110</v>
      </c>
      <c r="R23" s="313" t="s">
        <v>111</v>
      </c>
      <c r="S23" s="7" t="s">
        <v>146</v>
      </c>
      <c r="T23" s="71"/>
      <c r="U23" s="304" t="s">
        <v>108</v>
      </c>
      <c r="V23" s="304" t="s">
        <v>109</v>
      </c>
      <c r="W23" s="304" t="s">
        <v>110</v>
      </c>
      <c r="X23" s="149" t="s">
        <v>111</v>
      </c>
      <c r="Y23" s="149" t="s">
        <v>146</v>
      </c>
      <c r="Z23" s="243"/>
      <c r="AA23" s="304" t="s">
        <v>108</v>
      </c>
      <c r="AB23" s="304" t="s">
        <v>109</v>
      </c>
      <c r="AC23" s="304" t="s">
        <v>110</v>
      </c>
      <c r="AD23" s="149" t="s">
        <v>111</v>
      </c>
      <c r="AE23" s="149" t="s">
        <v>146</v>
      </c>
      <c r="AG23" s="304" t="s">
        <v>36</v>
      </c>
      <c r="AH23" s="304" t="s">
        <v>37</v>
      </c>
      <c r="AI23" s="304" t="s">
        <v>38</v>
      </c>
      <c r="AJ23" s="149" t="s">
        <v>39</v>
      </c>
      <c r="AK23" s="149" t="s">
        <v>175</v>
      </c>
      <c r="AL23" s="289"/>
      <c r="AM23" s="304" t="s">
        <v>36</v>
      </c>
      <c r="AN23" s="304" t="s">
        <v>37</v>
      </c>
      <c r="AO23" s="304" t="s">
        <v>38</v>
      </c>
      <c r="AP23" s="149" t="s">
        <v>39</v>
      </c>
      <c r="AQ23" s="149" t="s">
        <v>175</v>
      </c>
      <c r="AS23" s="304" t="s">
        <v>36</v>
      </c>
      <c r="AT23" s="304" t="s">
        <v>37</v>
      </c>
      <c r="AU23" s="304" t="s">
        <v>38</v>
      </c>
      <c r="AV23" s="149" t="s">
        <v>39</v>
      </c>
      <c r="AW23" s="149" t="s">
        <v>175</v>
      </c>
      <c r="AX23" s="243"/>
      <c r="AY23" s="304" t="s">
        <v>36</v>
      </c>
      <c r="AZ23" s="304" t="s">
        <v>37</v>
      </c>
      <c r="BA23" s="304" t="s">
        <v>38</v>
      </c>
      <c r="BB23" s="149" t="s">
        <v>39</v>
      </c>
      <c r="BC23" s="149" t="s">
        <v>175</v>
      </c>
    </row>
    <row r="24" spans="2:55" customFormat="1" ht="3.75" customHeight="1">
      <c r="B24" s="143"/>
      <c r="C24" s="150"/>
      <c r="D24" s="150"/>
      <c r="E24" s="150"/>
      <c r="F24" s="150"/>
      <c r="G24" s="144"/>
      <c r="H24" s="17"/>
      <c r="I24" s="72"/>
      <c r="J24" s="73"/>
      <c r="K24" s="73"/>
      <c r="L24" s="74"/>
      <c r="M24" s="74"/>
      <c r="N24" s="75"/>
      <c r="O24" s="72"/>
      <c r="P24" s="73"/>
      <c r="Q24" s="73"/>
      <c r="R24" s="74"/>
      <c r="S24" s="74"/>
      <c r="T24" s="5"/>
      <c r="U24" s="143"/>
      <c r="V24" s="150"/>
      <c r="W24" s="150"/>
      <c r="X24" s="144"/>
      <c r="Y24" s="144"/>
      <c r="Z24" s="150"/>
      <c r="AA24" s="143"/>
      <c r="AB24" s="150"/>
      <c r="AC24" s="150"/>
      <c r="AD24" s="144"/>
      <c r="AE24" s="144"/>
      <c r="AF24" s="150"/>
      <c r="AG24" s="143"/>
      <c r="AH24" s="150"/>
      <c r="AI24" s="150"/>
      <c r="AJ24" s="144"/>
      <c r="AK24" s="144"/>
      <c r="AL24" s="290"/>
      <c r="AM24" s="143"/>
      <c r="AN24" s="150"/>
      <c r="AO24" s="150"/>
      <c r="AP24" s="144"/>
      <c r="AQ24" s="144"/>
      <c r="AS24" s="143"/>
      <c r="AT24" s="150"/>
      <c r="AU24" s="150"/>
      <c r="AV24" s="144"/>
      <c r="AW24" s="144"/>
      <c r="AX24" s="150"/>
      <c r="AY24" s="143"/>
      <c r="AZ24" s="150"/>
      <c r="BA24" s="150"/>
      <c r="BB24" s="144"/>
      <c r="BC24" s="144"/>
    </row>
    <row r="25" spans="2:55" ht="48.75" customHeight="1">
      <c r="B25" s="226" t="s">
        <v>56</v>
      </c>
      <c r="C25" s="8" t="s">
        <v>57</v>
      </c>
      <c r="D25" s="9" t="s">
        <v>58</v>
      </c>
      <c r="E25" s="101" t="s">
        <v>123</v>
      </c>
      <c r="F25" s="226" t="s">
        <v>59</v>
      </c>
      <c r="G25" s="316"/>
      <c r="H25" s="243"/>
      <c r="I25" s="10" t="s">
        <v>119</v>
      </c>
      <c r="J25" s="10" t="s">
        <v>119</v>
      </c>
      <c r="K25" s="10" t="s">
        <v>119</v>
      </c>
      <c r="L25" s="8" t="s">
        <v>119</v>
      </c>
      <c r="M25" s="8" t="s">
        <v>119</v>
      </c>
      <c r="N25" s="243"/>
      <c r="O25" s="10" t="s">
        <v>119</v>
      </c>
      <c r="P25" s="10" t="s">
        <v>119</v>
      </c>
      <c r="Q25" s="10" t="s">
        <v>119</v>
      </c>
      <c r="R25" s="8" t="s">
        <v>119</v>
      </c>
      <c r="S25" s="8" t="s">
        <v>119</v>
      </c>
      <c r="T25" s="71"/>
      <c r="U25" s="10" t="s">
        <v>168</v>
      </c>
      <c r="V25" s="10" t="s">
        <v>168</v>
      </c>
      <c r="W25" s="10" t="s">
        <v>168</v>
      </c>
      <c r="X25" s="10" t="s">
        <v>168</v>
      </c>
      <c r="Y25" s="10" t="s">
        <v>168</v>
      </c>
      <c r="Z25" s="243"/>
      <c r="AA25" s="10" t="s">
        <v>168</v>
      </c>
      <c r="AB25" s="10" t="s">
        <v>168</v>
      </c>
      <c r="AC25" s="10" t="s">
        <v>168</v>
      </c>
      <c r="AD25" s="10" t="s">
        <v>168</v>
      </c>
      <c r="AE25" s="10" t="s">
        <v>168</v>
      </c>
      <c r="AG25" s="10" t="s">
        <v>168</v>
      </c>
      <c r="AH25" s="10" t="s">
        <v>168</v>
      </c>
      <c r="AI25" s="10" t="s">
        <v>168</v>
      </c>
      <c r="AJ25" s="10" t="s">
        <v>168</v>
      </c>
      <c r="AK25" s="10" t="s">
        <v>168</v>
      </c>
      <c r="AL25" s="289"/>
      <c r="AM25" s="10" t="s">
        <v>168</v>
      </c>
      <c r="AN25" s="10" t="s">
        <v>168</v>
      </c>
      <c r="AO25" s="10" t="s">
        <v>168</v>
      </c>
      <c r="AP25" s="10" t="s">
        <v>168</v>
      </c>
      <c r="AQ25" s="10" t="s">
        <v>168</v>
      </c>
      <c r="AS25" s="10" t="s">
        <v>119</v>
      </c>
      <c r="AT25" s="10" t="s">
        <v>119</v>
      </c>
      <c r="AU25" s="10" t="s">
        <v>119</v>
      </c>
      <c r="AV25" s="10" t="s">
        <v>119</v>
      </c>
      <c r="AW25" s="10" t="s">
        <v>119</v>
      </c>
      <c r="AX25" s="243"/>
      <c r="AY25" s="10" t="s">
        <v>119</v>
      </c>
      <c r="AZ25" s="10" t="s">
        <v>119</v>
      </c>
      <c r="BA25" s="10" t="s">
        <v>119</v>
      </c>
      <c r="BB25" s="10" t="s">
        <v>119</v>
      </c>
      <c r="BC25" s="10" t="s">
        <v>119</v>
      </c>
    </row>
    <row r="26" spans="2:55" ht="13">
      <c r="B26" s="280" t="s">
        <v>64</v>
      </c>
      <c r="C26" s="281" t="s">
        <v>189</v>
      </c>
      <c r="D26" s="529">
        <v>0</v>
      </c>
      <c r="E26" s="530">
        <v>1.1000000000000001</v>
      </c>
      <c r="F26" s="234" t="s">
        <v>284</v>
      </c>
      <c r="G26" s="315"/>
      <c r="H26" s="264"/>
      <c r="I26" s="282">
        <v>0</v>
      </c>
      <c r="J26" s="282">
        <v>0</v>
      </c>
      <c r="K26" s="282">
        <v>0</v>
      </c>
      <c r="L26" s="282">
        <v>0</v>
      </c>
      <c r="M26" s="283">
        <v>0</v>
      </c>
      <c r="N26" s="284"/>
      <c r="O26" s="282">
        <v>0</v>
      </c>
      <c r="P26" s="282">
        <v>0</v>
      </c>
      <c r="Q26" s="282">
        <v>0</v>
      </c>
      <c r="R26" s="282">
        <v>0</v>
      </c>
      <c r="S26" s="283">
        <v>0</v>
      </c>
      <c r="U26" s="282">
        <v>0</v>
      </c>
      <c r="V26" s="282">
        <v>0</v>
      </c>
      <c r="W26" s="282">
        <v>0</v>
      </c>
      <c r="X26" s="282">
        <v>0</v>
      </c>
      <c r="Y26" s="283">
        <v>0</v>
      </c>
      <c r="Z26" s="284"/>
      <c r="AA26" s="282">
        <v>0</v>
      </c>
      <c r="AB26" s="282">
        <v>0</v>
      </c>
      <c r="AC26" s="282">
        <v>0</v>
      </c>
      <c r="AD26" s="282">
        <v>0</v>
      </c>
      <c r="AE26" s="283">
        <v>0</v>
      </c>
      <c r="AG26" s="282">
        <v>0</v>
      </c>
      <c r="AH26" s="282">
        <v>0</v>
      </c>
      <c r="AI26" s="282">
        <v>0</v>
      </c>
      <c r="AJ26" s="282">
        <v>0</v>
      </c>
      <c r="AK26" s="283">
        <v>0</v>
      </c>
      <c r="AL26" s="289"/>
      <c r="AM26" s="282">
        <v>0</v>
      </c>
      <c r="AN26" s="282">
        <v>0</v>
      </c>
      <c r="AO26" s="282">
        <v>0</v>
      </c>
      <c r="AP26" s="282">
        <v>0</v>
      </c>
      <c r="AQ26" s="283">
        <v>0</v>
      </c>
      <c r="AS26" s="282" t="s">
        <v>15</v>
      </c>
      <c r="AT26" s="282" t="s">
        <v>15</v>
      </c>
      <c r="AU26" s="282" t="s">
        <v>15</v>
      </c>
      <c r="AV26" s="282" t="s">
        <v>15</v>
      </c>
      <c r="AW26" s="283" t="s">
        <v>15</v>
      </c>
      <c r="AX26" s="284"/>
      <c r="AY26" s="282" t="s">
        <v>15</v>
      </c>
      <c r="AZ26" s="282" t="s">
        <v>15</v>
      </c>
      <c r="BA26" s="282" t="s">
        <v>15</v>
      </c>
      <c r="BB26" s="282" t="s">
        <v>15</v>
      </c>
      <c r="BC26" s="283" t="s">
        <v>15</v>
      </c>
    </row>
    <row r="27" spans="2:55" ht="13">
      <c r="B27" s="273" t="s">
        <v>64</v>
      </c>
      <c r="C27" s="286" t="s">
        <v>385</v>
      </c>
      <c r="D27" s="531">
        <v>239</v>
      </c>
      <c r="E27" s="532">
        <v>3.75</v>
      </c>
      <c r="F27" s="237" t="s">
        <v>284</v>
      </c>
      <c r="G27" s="314"/>
      <c r="H27" s="264"/>
      <c r="I27" s="267">
        <v>39</v>
      </c>
      <c r="J27" s="267">
        <v>54</v>
      </c>
      <c r="K27" s="267">
        <v>78</v>
      </c>
      <c r="L27" s="267">
        <v>112</v>
      </c>
      <c r="M27" s="268">
        <v>145</v>
      </c>
      <c r="N27" s="284"/>
      <c r="O27" s="267">
        <v>58</v>
      </c>
      <c r="P27" s="267">
        <v>83</v>
      </c>
      <c r="Q27" s="267">
        <v>120</v>
      </c>
      <c r="R27" s="267">
        <v>185</v>
      </c>
      <c r="S27" s="268">
        <v>270</v>
      </c>
      <c r="U27" s="267">
        <v>116</v>
      </c>
      <c r="V27" s="267">
        <v>166</v>
      </c>
      <c r="W27" s="267">
        <v>215</v>
      </c>
      <c r="X27" s="267">
        <v>239</v>
      </c>
      <c r="Y27" s="268">
        <v>239</v>
      </c>
      <c r="Z27" s="284"/>
      <c r="AA27" s="267">
        <v>210</v>
      </c>
      <c r="AB27" s="267">
        <v>220</v>
      </c>
      <c r="AC27" s="267">
        <v>239</v>
      </c>
      <c r="AD27" s="267">
        <v>239</v>
      </c>
      <c r="AE27" s="268">
        <v>239</v>
      </c>
      <c r="AG27" s="282">
        <v>0</v>
      </c>
      <c r="AH27" s="282">
        <v>0</v>
      </c>
      <c r="AI27" s="282">
        <v>0</v>
      </c>
      <c r="AJ27" s="282">
        <v>0</v>
      </c>
      <c r="AK27" s="283">
        <v>0</v>
      </c>
      <c r="AL27" s="289"/>
      <c r="AM27" s="282">
        <v>0</v>
      </c>
      <c r="AN27" s="282">
        <v>0</v>
      </c>
      <c r="AO27" s="282">
        <v>0</v>
      </c>
      <c r="AP27" s="282">
        <v>0</v>
      </c>
      <c r="AQ27" s="283">
        <v>0</v>
      </c>
      <c r="AS27" s="282">
        <v>123</v>
      </c>
      <c r="AT27" s="282">
        <v>73</v>
      </c>
      <c r="AU27" s="282">
        <v>24</v>
      </c>
      <c r="AV27" s="282">
        <v>0</v>
      </c>
      <c r="AW27" s="283">
        <v>0</v>
      </c>
      <c r="AX27" s="284"/>
      <c r="AY27" s="282">
        <v>29</v>
      </c>
      <c r="AZ27" s="282">
        <v>19</v>
      </c>
      <c r="BA27" s="282">
        <v>0</v>
      </c>
      <c r="BB27" s="282">
        <v>0</v>
      </c>
      <c r="BC27" s="283">
        <v>0</v>
      </c>
    </row>
    <row r="28" spans="2:55" ht="13">
      <c r="B28" s="280" t="s">
        <v>64</v>
      </c>
      <c r="C28" s="281" t="s">
        <v>386</v>
      </c>
      <c r="D28" s="533">
        <v>0</v>
      </c>
      <c r="E28" s="534">
        <v>3.75</v>
      </c>
      <c r="F28" s="239" t="s">
        <v>284</v>
      </c>
      <c r="G28" s="315"/>
      <c r="H28" s="264"/>
      <c r="I28" s="265">
        <v>51</v>
      </c>
      <c r="J28" s="265">
        <v>60</v>
      </c>
      <c r="K28" s="265">
        <v>67</v>
      </c>
      <c r="L28" s="265">
        <v>67</v>
      </c>
      <c r="M28" s="266">
        <v>67</v>
      </c>
      <c r="N28" s="284"/>
      <c r="O28" s="265">
        <v>60</v>
      </c>
      <c r="P28" s="265">
        <v>67</v>
      </c>
      <c r="Q28" s="265">
        <v>67</v>
      </c>
      <c r="R28" s="265">
        <v>67</v>
      </c>
      <c r="S28" s="266">
        <v>67</v>
      </c>
      <c r="U28" s="265">
        <v>0</v>
      </c>
      <c r="V28" s="265">
        <v>0</v>
      </c>
      <c r="W28" s="265">
        <v>0</v>
      </c>
      <c r="X28" s="265">
        <v>0</v>
      </c>
      <c r="Y28" s="266">
        <v>0</v>
      </c>
      <c r="Z28" s="284"/>
      <c r="AA28" s="265">
        <v>0</v>
      </c>
      <c r="AB28" s="265">
        <v>0</v>
      </c>
      <c r="AC28" s="265">
        <v>0</v>
      </c>
      <c r="AD28" s="265">
        <v>0</v>
      </c>
      <c r="AE28" s="266">
        <v>0</v>
      </c>
      <c r="AG28" s="282">
        <v>0</v>
      </c>
      <c r="AH28" s="282">
        <v>0</v>
      </c>
      <c r="AI28" s="282">
        <v>0</v>
      </c>
      <c r="AJ28" s="282">
        <v>0</v>
      </c>
      <c r="AK28" s="283">
        <v>0</v>
      </c>
      <c r="AL28" s="289"/>
      <c r="AM28" s="282">
        <v>0</v>
      </c>
      <c r="AN28" s="282">
        <v>0</v>
      </c>
      <c r="AO28" s="282">
        <v>0</v>
      </c>
      <c r="AP28" s="282">
        <v>0</v>
      </c>
      <c r="AQ28" s="283">
        <v>0</v>
      </c>
      <c r="AS28" s="282" t="s">
        <v>15</v>
      </c>
      <c r="AT28" s="282" t="s">
        <v>15</v>
      </c>
      <c r="AU28" s="282" t="s">
        <v>15</v>
      </c>
      <c r="AV28" s="282" t="s">
        <v>15</v>
      </c>
      <c r="AW28" s="283" t="s">
        <v>15</v>
      </c>
      <c r="AX28" s="284"/>
      <c r="AY28" s="282" t="s">
        <v>15</v>
      </c>
      <c r="AZ28" s="282" t="s">
        <v>15</v>
      </c>
      <c r="BA28" s="282" t="s">
        <v>15</v>
      </c>
      <c r="BB28" s="282" t="s">
        <v>15</v>
      </c>
      <c r="BC28" s="283" t="s">
        <v>15</v>
      </c>
    </row>
    <row r="29" spans="2:55" ht="13">
      <c r="B29" s="273" t="s">
        <v>346</v>
      </c>
      <c r="C29" s="286" t="s">
        <v>347</v>
      </c>
      <c r="D29" s="531">
        <v>64</v>
      </c>
      <c r="E29" s="532">
        <v>1.1000000000000001</v>
      </c>
      <c r="F29" s="237" t="s">
        <v>4</v>
      </c>
      <c r="G29" s="314"/>
      <c r="H29" s="264"/>
      <c r="I29" s="267">
        <v>34</v>
      </c>
      <c r="J29" s="267">
        <v>0</v>
      </c>
      <c r="K29" s="267">
        <v>0</v>
      </c>
      <c r="L29" s="267">
        <v>0</v>
      </c>
      <c r="M29" s="268">
        <v>0</v>
      </c>
      <c r="N29" s="284"/>
      <c r="O29" s="267">
        <v>34</v>
      </c>
      <c r="P29" s="267">
        <v>0</v>
      </c>
      <c r="Q29" s="267">
        <v>0</v>
      </c>
      <c r="R29" s="267">
        <v>0</v>
      </c>
      <c r="S29" s="268">
        <v>0</v>
      </c>
      <c r="U29" s="267">
        <v>64</v>
      </c>
      <c r="V29" s="267">
        <v>64</v>
      </c>
      <c r="W29" s="267">
        <v>0</v>
      </c>
      <c r="X29" s="267">
        <v>0</v>
      </c>
      <c r="Y29" s="268">
        <v>0</v>
      </c>
      <c r="Z29" s="284"/>
      <c r="AA29" s="267">
        <v>64</v>
      </c>
      <c r="AB29" s="267">
        <v>0</v>
      </c>
      <c r="AC29" s="267">
        <v>0</v>
      </c>
      <c r="AD29" s="267">
        <v>0</v>
      </c>
      <c r="AE29" s="268">
        <v>0</v>
      </c>
      <c r="AG29" s="282">
        <v>0</v>
      </c>
      <c r="AH29" s="282">
        <v>0</v>
      </c>
      <c r="AI29" s="282">
        <v>0</v>
      </c>
      <c r="AJ29" s="282">
        <v>0</v>
      </c>
      <c r="AK29" s="283">
        <v>0</v>
      </c>
      <c r="AL29" s="289"/>
      <c r="AM29" s="282">
        <v>0</v>
      </c>
      <c r="AN29" s="282">
        <v>0</v>
      </c>
      <c r="AO29" s="282">
        <v>0</v>
      </c>
      <c r="AP29" s="282">
        <v>0</v>
      </c>
      <c r="AQ29" s="283">
        <v>0</v>
      </c>
      <c r="AS29" s="282">
        <v>0</v>
      </c>
      <c r="AT29" s="282">
        <v>0</v>
      </c>
      <c r="AU29" s="282" t="s">
        <v>15</v>
      </c>
      <c r="AV29" s="282" t="s">
        <v>15</v>
      </c>
      <c r="AW29" s="283" t="s">
        <v>15</v>
      </c>
      <c r="AX29" s="284"/>
      <c r="AY29" s="282">
        <v>0</v>
      </c>
      <c r="AZ29" s="282" t="s">
        <v>15</v>
      </c>
      <c r="BA29" s="282" t="s">
        <v>15</v>
      </c>
      <c r="BB29" s="282" t="s">
        <v>15</v>
      </c>
      <c r="BC29" s="283" t="s">
        <v>15</v>
      </c>
    </row>
    <row r="30" spans="2:55" ht="13">
      <c r="B30" s="280" t="s">
        <v>533</v>
      </c>
      <c r="C30" s="281" t="s">
        <v>534</v>
      </c>
      <c r="D30" s="529">
        <v>77</v>
      </c>
      <c r="E30" s="535">
        <v>1.1000000000000001</v>
      </c>
      <c r="F30" s="239" t="s">
        <v>4</v>
      </c>
      <c r="G30" s="315"/>
      <c r="H30" s="264"/>
      <c r="I30" s="282">
        <v>33</v>
      </c>
      <c r="J30" s="282">
        <v>0</v>
      </c>
      <c r="K30" s="282">
        <v>0</v>
      </c>
      <c r="L30" s="282">
        <v>0</v>
      </c>
      <c r="M30" s="283">
        <v>0</v>
      </c>
      <c r="N30" s="284"/>
      <c r="O30" s="282">
        <v>33</v>
      </c>
      <c r="P30" s="282">
        <v>0</v>
      </c>
      <c r="Q30" s="282">
        <v>0</v>
      </c>
      <c r="R30" s="282">
        <v>0</v>
      </c>
      <c r="S30" s="283">
        <v>0</v>
      </c>
      <c r="T30" s="109"/>
      <c r="U30" s="282">
        <v>77</v>
      </c>
      <c r="V30" s="282">
        <v>77</v>
      </c>
      <c r="W30" s="282">
        <v>0</v>
      </c>
      <c r="X30" s="282">
        <v>0</v>
      </c>
      <c r="Y30" s="283">
        <v>0</v>
      </c>
      <c r="Z30" s="284"/>
      <c r="AA30" s="282">
        <v>77</v>
      </c>
      <c r="AB30" s="282">
        <v>0</v>
      </c>
      <c r="AC30" s="282">
        <v>0</v>
      </c>
      <c r="AD30" s="282">
        <v>0</v>
      </c>
      <c r="AE30" s="283">
        <v>0</v>
      </c>
      <c r="AF30" s="109"/>
      <c r="AG30" s="282">
        <v>0</v>
      </c>
      <c r="AH30" s="282">
        <v>0</v>
      </c>
      <c r="AI30" s="282">
        <v>0</v>
      </c>
      <c r="AJ30" s="282">
        <v>0</v>
      </c>
      <c r="AK30" s="283">
        <v>0</v>
      </c>
      <c r="AL30" s="289"/>
      <c r="AM30" s="282">
        <v>0</v>
      </c>
      <c r="AN30" s="282">
        <v>0</v>
      </c>
      <c r="AO30" s="282">
        <v>0</v>
      </c>
      <c r="AP30" s="282">
        <v>0</v>
      </c>
      <c r="AQ30" s="283">
        <v>0</v>
      </c>
      <c r="AS30" s="282">
        <v>0</v>
      </c>
      <c r="AT30" s="282">
        <v>0</v>
      </c>
      <c r="AU30" s="282" t="s">
        <v>15</v>
      </c>
      <c r="AV30" s="282" t="s">
        <v>15</v>
      </c>
      <c r="AW30" s="283" t="s">
        <v>15</v>
      </c>
      <c r="AX30" s="284"/>
      <c r="AY30" s="282">
        <v>0</v>
      </c>
      <c r="AZ30" s="282" t="s">
        <v>15</v>
      </c>
      <c r="BA30" s="282" t="s">
        <v>15</v>
      </c>
      <c r="BB30" s="282" t="s">
        <v>15</v>
      </c>
      <c r="BC30" s="283" t="s">
        <v>15</v>
      </c>
    </row>
    <row r="31" spans="2:55" ht="13">
      <c r="B31" s="273" t="s">
        <v>62</v>
      </c>
      <c r="C31" s="286" t="s">
        <v>584</v>
      </c>
      <c r="D31" s="531">
        <v>137</v>
      </c>
      <c r="E31" s="532">
        <v>0</v>
      </c>
      <c r="F31" s="237" t="s">
        <v>458</v>
      </c>
      <c r="G31" s="314"/>
      <c r="H31" s="264"/>
      <c r="I31" s="267">
        <v>43</v>
      </c>
      <c r="J31" s="267">
        <v>0</v>
      </c>
      <c r="K31" s="267">
        <v>0</v>
      </c>
      <c r="L31" s="267">
        <v>0</v>
      </c>
      <c r="M31" s="268">
        <v>0</v>
      </c>
      <c r="N31" s="284"/>
      <c r="O31" s="267">
        <v>43</v>
      </c>
      <c r="P31" s="267">
        <v>0</v>
      </c>
      <c r="Q31" s="267">
        <v>0</v>
      </c>
      <c r="R31" s="267">
        <v>0</v>
      </c>
      <c r="S31" s="268">
        <v>0</v>
      </c>
      <c r="T31" s="109"/>
      <c r="U31" s="267">
        <v>39</v>
      </c>
      <c r="V31" s="267">
        <v>59</v>
      </c>
      <c r="W31" s="267">
        <v>82</v>
      </c>
      <c r="X31" s="267">
        <v>99</v>
      </c>
      <c r="Y31" s="268">
        <v>132</v>
      </c>
      <c r="Z31" s="284"/>
      <c r="AA31" s="267">
        <v>68</v>
      </c>
      <c r="AB31" s="267">
        <v>87</v>
      </c>
      <c r="AC31" s="267">
        <v>115</v>
      </c>
      <c r="AD31" s="267">
        <v>160</v>
      </c>
      <c r="AE31" s="268">
        <v>230</v>
      </c>
      <c r="AF31" s="109"/>
      <c r="AG31" s="282">
        <v>13</v>
      </c>
      <c r="AH31" s="282">
        <v>13</v>
      </c>
      <c r="AI31" s="282">
        <v>13</v>
      </c>
      <c r="AJ31" s="282">
        <v>13</v>
      </c>
      <c r="AK31" s="283">
        <v>13</v>
      </c>
      <c r="AL31" s="289"/>
      <c r="AM31" s="282">
        <v>0</v>
      </c>
      <c r="AN31" s="282">
        <v>0</v>
      </c>
      <c r="AO31" s="282">
        <v>0</v>
      </c>
      <c r="AP31" s="282">
        <v>0</v>
      </c>
      <c r="AQ31" s="283">
        <v>0</v>
      </c>
      <c r="AS31" s="282">
        <v>98</v>
      </c>
      <c r="AT31" s="282">
        <v>78</v>
      </c>
      <c r="AU31" s="282">
        <v>54.999999999999886</v>
      </c>
      <c r="AV31" s="282">
        <v>38</v>
      </c>
      <c r="AW31" s="283">
        <v>5</v>
      </c>
      <c r="AX31" s="284"/>
      <c r="AY31" s="282">
        <v>69.500000000000028</v>
      </c>
      <c r="AZ31" s="282">
        <v>50.5</v>
      </c>
      <c r="BA31" s="282">
        <v>22</v>
      </c>
      <c r="BB31" s="282">
        <v>-22.5</v>
      </c>
      <c r="BC31" s="283">
        <v>-92.5</v>
      </c>
    </row>
    <row r="32" spans="2:55" ht="13">
      <c r="B32" s="280" t="s">
        <v>62</v>
      </c>
      <c r="C32" s="281" t="s">
        <v>585</v>
      </c>
      <c r="D32" s="529">
        <v>184</v>
      </c>
      <c r="E32" s="535">
        <v>0</v>
      </c>
      <c r="F32" s="239" t="s">
        <v>458</v>
      </c>
      <c r="G32" s="315"/>
      <c r="H32" s="264"/>
      <c r="I32" s="265">
        <v>55</v>
      </c>
      <c r="J32" s="265">
        <v>0</v>
      </c>
      <c r="K32" s="265">
        <v>0</v>
      </c>
      <c r="L32" s="265">
        <v>0</v>
      </c>
      <c r="M32" s="266">
        <v>0</v>
      </c>
      <c r="N32" s="284"/>
      <c r="O32" s="265">
        <v>55</v>
      </c>
      <c r="P32" s="265">
        <v>0</v>
      </c>
      <c r="Q32" s="265">
        <v>0</v>
      </c>
      <c r="R32" s="265">
        <v>0</v>
      </c>
      <c r="S32" s="266">
        <v>0</v>
      </c>
      <c r="T32" s="109"/>
      <c r="U32" s="265">
        <v>52</v>
      </c>
      <c r="V32" s="265">
        <v>72</v>
      </c>
      <c r="W32" s="265">
        <v>95</v>
      </c>
      <c r="X32" s="265">
        <v>112</v>
      </c>
      <c r="Y32" s="266">
        <v>145</v>
      </c>
      <c r="Z32" s="284"/>
      <c r="AA32" s="265">
        <v>68</v>
      </c>
      <c r="AB32" s="265">
        <v>87</v>
      </c>
      <c r="AC32" s="265">
        <v>115</v>
      </c>
      <c r="AD32" s="265">
        <v>160</v>
      </c>
      <c r="AE32" s="266">
        <v>230</v>
      </c>
      <c r="AF32" s="109"/>
      <c r="AG32" s="282">
        <v>0</v>
      </c>
      <c r="AH32" s="282">
        <v>0</v>
      </c>
      <c r="AI32" s="282">
        <v>0</v>
      </c>
      <c r="AJ32" s="282">
        <v>0</v>
      </c>
      <c r="AK32" s="283">
        <v>0</v>
      </c>
      <c r="AL32" s="289"/>
      <c r="AM32" s="282">
        <v>0</v>
      </c>
      <c r="AN32" s="282">
        <v>0</v>
      </c>
      <c r="AO32" s="282">
        <v>0</v>
      </c>
      <c r="AP32" s="282">
        <v>0</v>
      </c>
      <c r="AQ32" s="283">
        <v>0</v>
      </c>
      <c r="AS32" s="282">
        <v>132</v>
      </c>
      <c r="AT32" s="282">
        <v>112</v>
      </c>
      <c r="AU32" s="282">
        <v>88.999999999999886</v>
      </c>
      <c r="AV32" s="282">
        <v>72</v>
      </c>
      <c r="AW32" s="283">
        <v>39</v>
      </c>
      <c r="AX32" s="284"/>
      <c r="AY32" s="282">
        <v>116.50000000000003</v>
      </c>
      <c r="AZ32" s="282">
        <v>97.5</v>
      </c>
      <c r="BA32" s="282">
        <v>69</v>
      </c>
      <c r="BB32" s="282">
        <v>24.5</v>
      </c>
      <c r="BC32" s="283">
        <v>-45.5</v>
      </c>
    </row>
    <row r="33" spans="2:55" ht="13">
      <c r="B33" s="273" t="s">
        <v>62</v>
      </c>
      <c r="C33" s="286" t="s">
        <v>420</v>
      </c>
      <c r="D33" s="531">
        <v>279</v>
      </c>
      <c r="E33" s="532">
        <v>0</v>
      </c>
      <c r="F33" s="237" t="s">
        <v>458</v>
      </c>
      <c r="G33" s="314"/>
      <c r="H33" s="264"/>
      <c r="I33" s="267">
        <v>77</v>
      </c>
      <c r="J33" s="267">
        <v>99</v>
      </c>
      <c r="K33" s="267">
        <v>99</v>
      </c>
      <c r="L33" s="267">
        <v>99</v>
      </c>
      <c r="M33" s="268">
        <v>99</v>
      </c>
      <c r="N33" s="284"/>
      <c r="O33" s="267">
        <v>83</v>
      </c>
      <c r="P33" s="267">
        <v>92</v>
      </c>
      <c r="Q33" s="267">
        <v>99</v>
      </c>
      <c r="R33" s="267">
        <v>99</v>
      </c>
      <c r="S33" s="268">
        <v>99</v>
      </c>
      <c r="T33" s="109"/>
      <c r="U33" s="267">
        <v>89</v>
      </c>
      <c r="V33" s="267">
        <v>109</v>
      </c>
      <c r="W33" s="267">
        <v>132</v>
      </c>
      <c r="X33" s="267">
        <v>149</v>
      </c>
      <c r="Y33" s="268">
        <v>182</v>
      </c>
      <c r="Z33" s="284"/>
      <c r="AA33" s="267">
        <v>104</v>
      </c>
      <c r="AB33" s="267">
        <v>123</v>
      </c>
      <c r="AC33" s="267">
        <v>152</v>
      </c>
      <c r="AD33" s="267">
        <v>196</v>
      </c>
      <c r="AE33" s="268">
        <v>266</v>
      </c>
      <c r="AF33" s="109"/>
      <c r="AG33" s="282">
        <v>0</v>
      </c>
      <c r="AH33" s="282">
        <v>0</v>
      </c>
      <c r="AI33" s="282">
        <v>0</v>
      </c>
      <c r="AJ33" s="282">
        <v>0</v>
      </c>
      <c r="AK33" s="283">
        <v>0</v>
      </c>
      <c r="AL33" s="289"/>
      <c r="AM33" s="282">
        <v>0</v>
      </c>
      <c r="AN33" s="282">
        <v>0</v>
      </c>
      <c r="AO33" s="282">
        <v>0</v>
      </c>
      <c r="AP33" s="282">
        <v>0</v>
      </c>
      <c r="AQ33" s="283">
        <v>0</v>
      </c>
      <c r="AS33" s="282">
        <v>190.46</v>
      </c>
      <c r="AT33" s="282">
        <v>170.46</v>
      </c>
      <c r="AU33" s="282">
        <v>147.45999999999989</v>
      </c>
      <c r="AV33" s="282">
        <v>130.46</v>
      </c>
      <c r="AW33" s="283">
        <v>97.460000000000008</v>
      </c>
      <c r="AX33" s="284"/>
      <c r="AY33" s="282">
        <v>174.96000000000004</v>
      </c>
      <c r="AZ33" s="282">
        <v>155.96</v>
      </c>
      <c r="BA33" s="282">
        <v>127.46000000000001</v>
      </c>
      <c r="BB33" s="282">
        <v>82.960000000000008</v>
      </c>
      <c r="BC33" s="283">
        <v>12.960000000000008</v>
      </c>
    </row>
    <row r="34" spans="2:55" ht="13">
      <c r="B34" s="280" t="s">
        <v>62</v>
      </c>
      <c r="C34" s="281" t="s">
        <v>586</v>
      </c>
      <c r="D34" s="529">
        <v>532</v>
      </c>
      <c r="E34" s="535">
        <v>2.5</v>
      </c>
      <c r="F34" s="239" t="s">
        <v>459</v>
      </c>
      <c r="G34" s="315"/>
      <c r="H34" s="264"/>
      <c r="I34" s="282">
        <v>39</v>
      </c>
      <c r="J34" s="282">
        <v>54</v>
      </c>
      <c r="K34" s="282">
        <v>78</v>
      </c>
      <c r="L34" s="282">
        <v>112</v>
      </c>
      <c r="M34" s="283">
        <v>145</v>
      </c>
      <c r="N34" s="284"/>
      <c r="O34" s="282">
        <v>58</v>
      </c>
      <c r="P34" s="282">
        <v>83</v>
      </c>
      <c r="Q34" s="282">
        <v>120</v>
      </c>
      <c r="R34" s="282">
        <v>185</v>
      </c>
      <c r="S34" s="283">
        <v>270</v>
      </c>
      <c r="T34" s="109"/>
      <c r="U34" s="282">
        <v>52</v>
      </c>
      <c r="V34" s="282">
        <v>138</v>
      </c>
      <c r="W34" s="282">
        <v>161</v>
      </c>
      <c r="X34" s="282">
        <v>178</v>
      </c>
      <c r="Y34" s="283">
        <v>211</v>
      </c>
      <c r="Z34" s="284"/>
      <c r="AA34" s="282">
        <v>68</v>
      </c>
      <c r="AB34" s="282">
        <v>153</v>
      </c>
      <c r="AC34" s="282">
        <v>181</v>
      </c>
      <c r="AD34" s="282">
        <v>226</v>
      </c>
      <c r="AE34" s="283">
        <v>296</v>
      </c>
      <c r="AF34" s="109"/>
      <c r="AG34" s="282">
        <v>0</v>
      </c>
      <c r="AH34" s="282">
        <v>0</v>
      </c>
      <c r="AI34" s="282">
        <v>0</v>
      </c>
      <c r="AJ34" s="282">
        <v>0</v>
      </c>
      <c r="AK34" s="283">
        <v>0</v>
      </c>
      <c r="AL34" s="289"/>
      <c r="AM34" s="282">
        <v>0</v>
      </c>
      <c r="AN34" s="282">
        <v>0</v>
      </c>
      <c r="AO34" s="282">
        <v>0</v>
      </c>
      <c r="AP34" s="282">
        <v>0</v>
      </c>
      <c r="AQ34" s="283">
        <v>0</v>
      </c>
      <c r="AS34" s="282">
        <v>480</v>
      </c>
      <c r="AT34" s="282">
        <v>393.81</v>
      </c>
      <c r="AU34" s="282">
        <v>370.80999999999989</v>
      </c>
      <c r="AV34" s="282">
        <v>353.81</v>
      </c>
      <c r="AW34" s="283">
        <v>320.81</v>
      </c>
      <c r="AX34" s="284"/>
      <c r="AY34" s="282">
        <v>464.5</v>
      </c>
      <c r="AZ34" s="282">
        <v>379.31</v>
      </c>
      <c r="BA34" s="282">
        <v>350.81</v>
      </c>
      <c r="BB34" s="282">
        <v>306.31</v>
      </c>
      <c r="BC34" s="283">
        <v>236.31</v>
      </c>
    </row>
    <row r="35" spans="2:55" ht="13">
      <c r="B35" s="273" t="s">
        <v>62</v>
      </c>
      <c r="C35" s="286" t="s">
        <v>587</v>
      </c>
      <c r="D35" s="531">
        <v>555</v>
      </c>
      <c r="E35" s="532">
        <v>2.5</v>
      </c>
      <c r="F35" s="237" t="s">
        <v>459</v>
      </c>
      <c r="G35" s="314"/>
      <c r="H35" s="264"/>
      <c r="I35" s="267">
        <v>39</v>
      </c>
      <c r="J35" s="267">
        <v>54</v>
      </c>
      <c r="K35" s="267">
        <v>145</v>
      </c>
      <c r="L35" s="267">
        <v>179</v>
      </c>
      <c r="M35" s="268">
        <v>212</v>
      </c>
      <c r="N35" s="284"/>
      <c r="O35" s="267">
        <v>58</v>
      </c>
      <c r="P35" s="267">
        <v>83</v>
      </c>
      <c r="Q35" s="267">
        <v>186</v>
      </c>
      <c r="R35" s="267">
        <v>252</v>
      </c>
      <c r="S35" s="268">
        <v>337</v>
      </c>
      <c r="T35" s="109"/>
      <c r="U35" s="267">
        <v>52</v>
      </c>
      <c r="V35" s="267">
        <v>139</v>
      </c>
      <c r="W35" s="267">
        <v>162</v>
      </c>
      <c r="X35" s="267">
        <v>179</v>
      </c>
      <c r="Y35" s="268">
        <v>212</v>
      </c>
      <c r="Z35" s="284"/>
      <c r="AA35" s="267">
        <v>68</v>
      </c>
      <c r="AB35" s="267">
        <v>153</v>
      </c>
      <c r="AC35" s="267">
        <v>182</v>
      </c>
      <c r="AD35" s="267">
        <v>226</v>
      </c>
      <c r="AE35" s="268">
        <v>296</v>
      </c>
      <c r="AF35" s="109"/>
      <c r="AG35" s="282">
        <v>0</v>
      </c>
      <c r="AH35" s="282">
        <v>0</v>
      </c>
      <c r="AI35" s="282">
        <v>0</v>
      </c>
      <c r="AJ35" s="282">
        <v>0</v>
      </c>
      <c r="AK35" s="283">
        <v>0</v>
      </c>
      <c r="AL35" s="289"/>
      <c r="AM35" s="282">
        <v>0</v>
      </c>
      <c r="AN35" s="282">
        <v>0</v>
      </c>
      <c r="AO35" s="282">
        <v>0</v>
      </c>
      <c r="AP35" s="282">
        <v>0</v>
      </c>
      <c r="AQ35" s="283">
        <v>0</v>
      </c>
      <c r="AS35" s="282">
        <v>503</v>
      </c>
      <c r="AT35" s="282">
        <v>416.25</v>
      </c>
      <c r="AU35" s="282">
        <v>393.24999999999989</v>
      </c>
      <c r="AV35" s="282">
        <v>376.25</v>
      </c>
      <c r="AW35" s="283">
        <v>343.25</v>
      </c>
      <c r="AX35" s="284"/>
      <c r="AY35" s="282">
        <v>487.5</v>
      </c>
      <c r="AZ35" s="282">
        <v>401.75</v>
      </c>
      <c r="BA35" s="282">
        <v>373.25</v>
      </c>
      <c r="BB35" s="282">
        <v>328.75</v>
      </c>
      <c r="BC35" s="283">
        <v>258.75</v>
      </c>
    </row>
    <row r="36" spans="2:55" ht="13">
      <c r="B36" s="280" t="s">
        <v>346</v>
      </c>
      <c r="C36" s="281" t="s">
        <v>387</v>
      </c>
      <c r="D36" s="533">
        <v>71</v>
      </c>
      <c r="E36" s="534">
        <v>0</v>
      </c>
      <c r="F36" s="239" t="s">
        <v>458</v>
      </c>
      <c r="G36" s="315"/>
      <c r="H36" s="264"/>
      <c r="I36" s="265">
        <v>39</v>
      </c>
      <c r="J36" s="265">
        <v>54</v>
      </c>
      <c r="K36" s="265">
        <v>78</v>
      </c>
      <c r="L36" s="265">
        <v>112</v>
      </c>
      <c r="M36" s="266">
        <v>145</v>
      </c>
      <c r="N36" s="284"/>
      <c r="O36" s="265">
        <v>58</v>
      </c>
      <c r="P36" s="265">
        <v>83</v>
      </c>
      <c r="Q36" s="265">
        <v>120</v>
      </c>
      <c r="R36" s="265">
        <v>185</v>
      </c>
      <c r="S36" s="266">
        <v>270</v>
      </c>
      <c r="U36" s="265">
        <v>71</v>
      </c>
      <c r="V36" s="265">
        <v>71</v>
      </c>
      <c r="W36" s="265">
        <v>71</v>
      </c>
      <c r="X36" s="265">
        <v>71</v>
      </c>
      <c r="Y36" s="266">
        <v>71</v>
      </c>
      <c r="Z36" s="284"/>
      <c r="AA36" s="265">
        <v>71</v>
      </c>
      <c r="AB36" s="265">
        <v>71</v>
      </c>
      <c r="AC36" s="265">
        <v>71</v>
      </c>
      <c r="AD36" s="265">
        <v>71</v>
      </c>
      <c r="AE36" s="266">
        <v>71</v>
      </c>
      <c r="AG36" s="282">
        <v>0</v>
      </c>
      <c r="AH36" s="282">
        <v>0</v>
      </c>
      <c r="AI36" s="282">
        <v>0</v>
      </c>
      <c r="AJ36" s="282">
        <v>0</v>
      </c>
      <c r="AK36" s="283">
        <v>0</v>
      </c>
      <c r="AL36" s="289"/>
      <c r="AM36" s="282">
        <v>0</v>
      </c>
      <c r="AN36" s="282">
        <v>0</v>
      </c>
      <c r="AO36" s="282">
        <v>0</v>
      </c>
      <c r="AP36" s="282">
        <v>0</v>
      </c>
      <c r="AQ36" s="283">
        <v>0</v>
      </c>
      <c r="AS36" s="282">
        <v>0</v>
      </c>
      <c r="AT36" s="282">
        <v>0</v>
      </c>
      <c r="AU36" s="282">
        <v>0</v>
      </c>
      <c r="AV36" s="282">
        <v>0</v>
      </c>
      <c r="AW36" s="283">
        <v>0</v>
      </c>
      <c r="AX36" s="284"/>
      <c r="AY36" s="282">
        <v>0</v>
      </c>
      <c r="AZ36" s="282">
        <v>0</v>
      </c>
      <c r="BA36" s="282">
        <v>0</v>
      </c>
      <c r="BB36" s="282">
        <v>0</v>
      </c>
      <c r="BC36" s="283">
        <v>0</v>
      </c>
    </row>
    <row r="37" spans="2:55" ht="13">
      <c r="B37" s="273" t="s">
        <v>346</v>
      </c>
      <c r="C37" s="286" t="s">
        <v>388</v>
      </c>
      <c r="D37" s="531">
        <v>49</v>
      </c>
      <c r="E37" s="532">
        <v>0</v>
      </c>
      <c r="F37" s="237" t="s">
        <v>458</v>
      </c>
      <c r="G37" s="314"/>
      <c r="H37" s="264"/>
      <c r="I37" s="267">
        <v>39</v>
      </c>
      <c r="J37" s="267">
        <v>54</v>
      </c>
      <c r="K37" s="267">
        <v>125</v>
      </c>
      <c r="L37" s="267">
        <v>159</v>
      </c>
      <c r="M37" s="268">
        <v>192</v>
      </c>
      <c r="N37" s="284"/>
      <c r="O37" s="267">
        <v>58</v>
      </c>
      <c r="P37" s="267">
        <v>83</v>
      </c>
      <c r="Q37" s="267">
        <v>167</v>
      </c>
      <c r="R37" s="267">
        <v>232</v>
      </c>
      <c r="S37" s="268">
        <v>317</v>
      </c>
      <c r="U37" s="267">
        <v>49</v>
      </c>
      <c r="V37" s="267">
        <v>49</v>
      </c>
      <c r="W37" s="267">
        <v>49</v>
      </c>
      <c r="X37" s="267">
        <v>49</v>
      </c>
      <c r="Y37" s="268">
        <v>49</v>
      </c>
      <c r="Z37" s="284"/>
      <c r="AA37" s="267">
        <v>49</v>
      </c>
      <c r="AB37" s="267">
        <v>49</v>
      </c>
      <c r="AC37" s="267">
        <v>49</v>
      </c>
      <c r="AD37" s="267">
        <v>49</v>
      </c>
      <c r="AE37" s="268">
        <v>49</v>
      </c>
      <c r="AG37" s="282">
        <v>0</v>
      </c>
      <c r="AH37" s="282">
        <v>0</v>
      </c>
      <c r="AI37" s="282">
        <v>0</v>
      </c>
      <c r="AJ37" s="282">
        <v>0</v>
      </c>
      <c r="AK37" s="283">
        <v>0</v>
      </c>
      <c r="AL37" s="289"/>
      <c r="AM37" s="282">
        <v>0</v>
      </c>
      <c r="AN37" s="282">
        <v>0</v>
      </c>
      <c r="AO37" s="282">
        <v>0</v>
      </c>
      <c r="AP37" s="282">
        <v>0</v>
      </c>
      <c r="AQ37" s="283">
        <v>0</v>
      </c>
      <c r="AS37" s="282">
        <v>0</v>
      </c>
      <c r="AT37" s="282">
        <v>0</v>
      </c>
      <c r="AU37" s="282">
        <v>0</v>
      </c>
      <c r="AV37" s="282">
        <v>0</v>
      </c>
      <c r="AW37" s="283">
        <v>0</v>
      </c>
      <c r="AX37" s="284"/>
      <c r="AY37" s="282">
        <v>0</v>
      </c>
      <c r="AZ37" s="282">
        <v>0</v>
      </c>
      <c r="BA37" s="282">
        <v>0</v>
      </c>
      <c r="BB37" s="282">
        <v>0</v>
      </c>
      <c r="BC37" s="283">
        <v>0</v>
      </c>
    </row>
    <row r="38" spans="2:55" ht="13">
      <c r="B38" s="280" t="s">
        <v>65</v>
      </c>
      <c r="C38" s="281" t="s">
        <v>564</v>
      </c>
      <c r="D38" s="529">
        <v>172</v>
      </c>
      <c r="E38" s="535">
        <v>0</v>
      </c>
      <c r="F38" s="239" t="s">
        <v>458</v>
      </c>
      <c r="G38" s="315"/>
      <c r="H38" s="264"/>
      <c r="I38" s="282">
        <v>39</v>
      </c>
      <c r="J38" s="282">
        <v>54</v>
      </c>
      <c r="K38" s="282">
        <v>145</v>
      </c>
      <c r="L38" s="282">
        <v>179</v>
      </c>
      <c r="M38" s="283">
        <v>212</v>
      </c>
      <c r="N38" s="284"/>
      <c r="O38" s="282">
        <v>58</v>
      </c>
      <c r="P38" s="282">
        <v>83</v>
      </c>
      <c r="Q38" s="282">
        <v>186</v>
      </c>
      <c r="R38" s="282">
        <v>252</v>
      </c>
      <c r="S38" s="283">
        <v>337</v>
      </c>
      <c r="U38" s="282">
        <v>82</v>
      </c>
      <c r="V38" s="282">
        <v>102</v>
      </c>
      <c r="W38" s="282">
        <v>125</v>
      </c>
      <c r="X38" s="282">
        <v>142</v>
      </c>
      <c r="Y38" s="283">
        <v>175</v>
      </c>
      <c r="Z38" s="284"/>
      <c r="AA38" s="282">
        <v>98</v>
      </c>
      <c r="AB38" s="282">
        <v>117</v>
      </c>
      <c r="AC38" s="282">
        <v>145</v>
      </c>
      <c r="AD38" s="282">
        <v>190</v>
      </c>
      <c r="AE38" s="283">
        <v>260</v>
      </c>
      <c r="AG38" s="282">
        <v>0</v>
      </c>
      <c r="AH38" s="282">
        <v>0</v>
      </c>
      <c r="AI38" s="282">
        <v>0</v>
      </c>
      <c r="AJ38" s="282">
        <v>0</v>
      </c>
      <c r="AK38" s="283">
        <v>0</v>
      </c>
      <c r="AL38" s="289"/>
      <c r="AM38" s="282">
        <v>0</v>
      </c>
      <c r="AN38" s="282">
        <v>0</v>
      </c>
      <c r="AO38" s="282">
        <v>0</v>
      </c>
      <c r="AP38" s="282">
        <v>0</v>
      </c>
      <c r="AQ38" s="283">
        <v>0</v>
      </c>
      <c r="AS38" s="282">
        <v>90</v>
      </c>
      <c r="AT38" s="282">
        <v>70</v>
      </c>
      <c r="AU38" s="282">
        <v>46.999999999999886</v>
      </c>
      <c r="AV38" s="282">
        <v>30</v>
      </c>
      <c r="AW38" s="283">
        <v>-3</v>
      </c>
      <c r="AX38" s="284"/>
      <c r="AY38" s="282">
        <v>74.500000000000028</v>
      </c>
      <c r="AZ38" s="282">
        <v>55.5</v>
      </c>
      <c r="BA38" s="282">
        <v>27</v>
      </c>
      <c r="BB38" s="282">
        <v>-17.5</v>
      </c>
      <c r="BC38" s="283">
        <v>-87.5</v>
      </c>
    </row>
    <row r="39" spans="2:55" ht="13">
      <c r="B39" s="273" t="s">
        <v>65</v>
      </c>
      <c r="C39" s="286" t="s">
        <v>565</v>
      </c>
      <c r="D39" s="531">
        <v>240</v>
      </c>
      <c r="E39" s="532">
        <v>0</v>
      </c>
      <c r="F39" s="237" t="s">
        <v>458</v>
      </c>
      <c r="G39" s="314"/>
      <c r="H39" s="264"/>
      <c r="I39" s="267">
        <v>39</v>
      </c>
      <c r="J39" s="267">
        <v>54</v>
      </c>
      <c r="K39" s="267">
        <v>124</v>
      </c>
      <c r="L39" s="267">
        <v>158</v>
      </c>
      <c r="M39" s="268">
        <v>191</v>
      </c>
      <c r="N39" s="284"/>
      <c r="O39" s="267">
        <v>58</v>
      </c>
      <c r="P39" s="267">
        <v>83</v>
      </c>
      <c r="Q39" s="267">
        <v>166</v>
      </c>
      <c r="R39" s="267">
        <v>231</v>
      </c>
      <c r="S39" s="268">
        <v>316</v>
      </c>
      <c r="U39" s="267">
        <v>103</v>
      </c>
      <c r="V39" s="267">
        <v>123</v>
      </c>
      <c r="W39" s="267">
        <v>146</v>
      </c>
      <c r="X39" s="267">
        <v>163</v>
      </c>
      <c r="Y39" s="268">
        <v>196</v>
      </c>
      <c r="Z39" s="284"/>
      <c r="AA39" s="267">
        <v>119</v>
      </c>
      <c r="AB39" s="267">
        <v>138</v>
      </c>
      <c r="AC39" s="267">
        <v>166</v>
      </c>
      <c r="AD39" s="267">
        <v>211</v>
      </c>
      <c r="AE39" s="268">
        <v>281</v>
      </c>
      <c r="AG39" s="282">
        <v>0</v>
      </c>
      <c r="AH39" s="282">
        <v>0</v>
      </c>
      <c r="AI39" s="282">
        <v>0</v>
      </c>
      <c r="AJ39" s="282">
        <v>0</v>
      </c>
      <c r="AK39" s="283">
        <v>0</v>
      </c>
      <c r="AL39" s="289"/>
      <c r="AM39" s="282">
        <v>0</v>
      </c>
      <c r="AN39" s="282">
        <v>0</v>
      </c>
      <c r="AO39" s="282">
        <v>0</v>
      </c>
      <c r="AP39" s="282">
        <v>0</v>
      </c>
      <c r="AQ39" s="283">
        <v>0</v>
      </c>
      <c r="AS39" s="282">
        <v>137</v>
      </c>
      <c r="AT39" s="282">
        <v>117</v>
      </c>
      <c r="AU39" s="282">
        <v>93.999999999999886</v>
      </c>
      <c r="AV39" s="282">
        <v>77</v>
      </c>
      <c r="AW39" s="283">
        <v>44</v>
      </c>
      <c r="AX39" s="284"/>
      <c r="AY39" s="282">
        <v>121.50000000000003</v>
      </c>
      <c r="AZ39" s="282">
        <v>102.5</v>
      </c>
      <c r="BA39" s="282">
        <v>74</v>
      </c>
      <c r="BB39" s="282">
        <v>29.5</v>
      </c>
      <c r="BC39" s="283">
        <v>-40.5</v>
      </c>
    </row>
    <row r="40" spans="2:55" ht="13">
      <c r="B40" s="280" t="s">
        <v>115</v>
      </c>
      <c r="C40" s="281" t="s">
        <v>407</v>
      </c>
      <c r="D40" s="529">
        <v>44</v>
      </c>
      <c r="E40" s="535">
        <v>0</v>
      </c>
      <c r="F40" s="239" t="s">
        <v>458</v>
      </c>
      <c r="G40" s="315"/>
      <c r="H40" s="264"/>
      <c r="I40" s="265">
        <v>39</v>
      </c>
      <c r="J40" s="265">
        <v>54</v>
      </c>
      <c r="K40" s="265">
        <v>124</v>
      </c>
      <c r="L40" s="265">
        <v>158</v>
      </c>
      <c r="M40" s="266">
        <v>191</v>
      </c>
      <c r="N40" s="284"/>
      <c r="O40" s="265">
        <v>58</v>
      </c>
      <c r="P40" s="265">
        <v>83</v>
      </c>
      <c r="Q40" s="265">
        <v>165</v>
      </c>
      <c r="R40" s="265">
        <v>231</v>
      </c>
      <c r="S40" s="266">
        <v>316</v>
      </c>
      <c r="T40" s="109"/>
      <c r="U40" s="265">
        <v>44</v>
      </c>
      <c r="V40" s="265">
        <v>44</v>
      </c>
      <c r="W40" s="265">
        <v>44</v>
      </c>
      <c r="X40" s="265">
        <v>44</v>
      </c>
      <c r="Y40" s="266">
        <v>44</v>
      </c>
      <c r="Z40" s="284"/>
      <c r="AA40" s="265">
        <v>44</v>
      </c>
      <c r="AB40" s="265">
        <v>44</v>
      </c>
      <c r="AC40" s="265">
        <v>44</v>
      </c>
      <c r="AD40" s="265">
        <v>44</v>
      </c>
      <c r="AE40" s="266">
        <v>44</v>
      </c>
      <c r="AF40" s="109"/>
      <c r="AG40" s="282">
        <v>0</v>
      </c>
      <c r="AH40" s="282">
        <v>0</v>
      </c>
      <c r="AI40" s="282">
        <v>0</v>
      </c>
      <c r="AJ40" s="282">
        <v>0</v>
      </c>
      <c r="AK40" s="283">
        <v>0</v>
      </c>
      <c r="AL40" s="289"/>
      <c r="AM40" s="282">
        <v>0</v>
      </c>
      <c r="AN40" s="282">
        <v>0</v>
      </c>
      <c r="AO40" s="282">
        <v>0</v>
      </c>
      <c r="AP40" s="282">
        <v>0</v>
      </c>
      <c r="AQ40" s="283">
        <v>0</v>
      </c>
      <c r="AS40" s="282">
        <v>0</v>
      </c>
      <c r="AT40" s="282">
        <v>0</v>
      </c>
      <c r="AU40" s="282">
        <v>0</v>
      </c>
      <c r="AV40" s="282">
        <v>0</v>
      </c>
      <c r="AW40" s="283">
        <v>0</v>
      </c>
      <c r="AX40" s="284"/>
      <c r="AY40" s="282">
        <v>0</v>
      </c>
      <c r="AZ40" s="282">
        <v>0</v>
      </c>
      <c r="BA40" s="282">
        <v>0</v>
      </c>
      <c r="BB40" s="282">
        <v>0</v>
      </c>
      <c r="BC40" s="283">
        <v>0</v>
      </c>
    </row>
    <row r="41" spans="2:55" ht="13">
      <c r="B41" s="273" t="s">
        <v>115</v>
      </c>
      <c r="C41" s="286" t="s">
        <v>408</v>
      </c>
      <c r="D41" s="531">
        <v>77</v>
      </c>
      <c r="E41" s="532">
        <v>0</v>
      </c>
      <c r="F41" s="237" t="s">
        <v>458</v>
      </c>
      <c r="G41" s="314"/>
      <c r="H41" s="264"/>
      <c r="I41" s="267">
        <v>39</v>
      </c>
      <c r="J41" s="267">
        <v>54</v>
      </c>
      <c r="K41" s="267">
        <v>78</v>
      </c>
      <c r="L41" s="267">
        <v>112</v>
      </c>
      <c r="M41" s="268">
        <v>145</v>
      </c>
      <c r="N41" s="284"/>
      <c r="O41" s="267">
        <v>58</v>
      </c>
      <c r="P41" s="267">
        <v>83</v>
      </c>
      <c r="Q41" s="267">
        <v>120</v>
      </c>
      <c r="R41" s="267">
        <v>185</v>
      </c>
      <c r="S41" s="268">
        <v>270</v>
      </c>
      <c r="U41" s="267">
        <v>77</v>
      </c>
      <c r="V41" s="267">
        <v>77</v>
      </c>
      <c r="W41" s="267">
        <v>77</v>
      </c>
      <c r="X41" s="267">
        <v>77</v>
      </c>
      <c r="Y41" s="268">
        <v>77</v>
      </c>
      <c r="Z41" s="284"/>
      <c r="AA41" s="267">
        <v>77</v>
      </c>
      <c r="AB41" s="267">
        <v>77</v>
      </c>
      <c r="AC41" s="267">
        <v>77</v>
      </c>
      <c r="AD41" s="267">
        <v>77</v>
      </c>
      <c r="AE41" s="268">
        <v>77</v>
      </c>
      <c r="AG41" s="282">
        <v>0</v>
      </c>
      <c r="AH41" s="282">
        <v>0</v>
      </c>
      <c r="AI41" s="282">
        <v>0</v>
      </c>
      <c r="AJ41" s="282">
        <v>0</v>
      </c>
      <c r="AK41" s="283">
        <v>0</v>
      </c>
      <c r="AL41" s="289"/>
      <c r="AM41" s="282">
        <v>0</v>
      </c>
      <c r="AN41" s="282">
        <v>0</v>
      </c>
      <c r="AO41" s="282">
        <v>0</v>
      </c>
      <c r="AP41" s="282">
        <v>0</v>
      </c>
      <c r="AQ41" s="283">
        <v>0</v>
      </c>
      <c r="AS41" s="282">
        <v>0</v>
      </c>
      <c r="AT41" s="282">
        <v>0</v>
      </c>
      <c r="AU41" s="282">
        <v>0</v>
      </c>
      <c r="AV41" s="282">
        <v>0</v>
      </c>
      <c r="AW41" s="283">
        <v>0</v>
      </c>
      <c r="AX41" s="284"/>
      <c r="AY41" s="282">
        <v>0</v>
      </c>
      <c r="AZ41" s="282">
        <v>0</v>
      </c>
      <c r="BA41" s="282">
        <v>0</v>
      </c>
      <c r="BB41" s="282">
        <v>0</v>
      </c>
      <c r="BC41" s="283">
        <v>0</v>
      </c>
    </row>
    <row r="42" spans="2:55" ht="13">
      <c r="B42" s="280" t="s">
        <v>181</v>
      </c>
      <c r="C42" s="281" t="s">
        <v>544</v>
      </c>
      <c r="D42" s="529">
        <v>93</v>
      </c>
      <c r="E42" s="535">
        <v>0</v>
      </c>
      <c r="F42" s="239" t="s">
        <v>458</v>
      </c>
      <c r="G42" s="315"/>
      <c r="H42" s="264"/>
      <c r="I42" s="282">
        <v>39</v>
      </c>
      <c r="J42" s="282">
        <v>54</v>
      </c>
      <c r="K42" s="282">
        <v>78</v>
      </c>
      <c r="L42" s="282">
        <v>112</v>
      </c>
      <c r="M42" s="283">
        <v>145</v>
      </c>
      <c r="N42" s="284"/>
      <c r="O42" s="282">
        <v>58</v>
      </c>
      <c r="P42" s="282">
        <v>83</v>
      </c>
      <c r="Q42" s="282">
        <v>120</v>
      </c>
      <c r="R42" s="282">
        <v>185</v>
      </c>
      <c r="S42" s="283">
        <v>270</v>
      </c>
      <c r="T42" s="109"/>
      <c r="U42" s="282">
        <v>52</v>
      </c>
      <c r="V42" s="282">
        <v>72</v>
      </c>
      <c r="W42" s="282">
        <v>95</v>
      </c>
      <c r="X42" s="282">
        <v>112</v>
      </c>
      <c r="Y42" s="283">
        <v>145</v>
      </c>
      <c r="Z42" s="284"/>
      <c r="AA42" s="282">
        <v>68</v>
      </c>
      <c r="AB42" s="282">
        <v>87</v>
      </c>
      <c r="AC42" s="282">
        <v>115</v>
      </c>
      <c r="AD42" s="282">
        <v>160</v>
      </c>
      <c r="AE42" s="283">
        <v>230</v>
      </c>
      <c r="AF42" s="109"/>
      <c r="AG42" s="282">
        <v>0</v>
      </c>
      <c r="AH42" s="282">
        <v>0</v>
      </c>
      <c r="AI42" s="282">
        <v>0</v>
      </c>
      <c r="AJ42" s="282">
        <v>0</v>
      </c>
      <c r="AK42" s="283">
        <v>0</v>
      </c>
      <c r="AL42" s="289"/>
      <c r="AM42" s="282">
        <v>0</v>
      </c>
      <c r="AN42" s="282">
        <v>0</v>
      </c>
      <c r="AO42" s="282">
        <v>0</v>
      </c>
      <c r="AP42" s="282">
        <v>0</v>
      </c>
      <c r="AQ42" s="283">
        <v>0</v>
      </c>
      <c r="AS42" s="282">
        <v>41</v>
      </c>
      <c r="AT42" s="282">
        <v>21</v>
      </c>
      <c r="AU42" s="282">
        <v>-2.0000000000001137</v>
      </c>
      <c r="AV42" s="282">
        <v>-19</v>
      </c>
      <c r="AW42" s="283">
        <v>-52</v>
      </c>
      <c r="AX42" s="284"/>
      <c r="AY42" s="282">
        <v>25.500000000000028</v>
      </c>
      <c r="AZ42" s="282">
        <v>6.5</v>
      </c>
      <c r="BA42" s="282">
        <v>-22</v>
      </c>
      <c r="BB42" s="282">
        <v>-66.5</v>
      </c>
      <c r="BC42" s="283">
        <v>-136.5</v>
      </c>
    </row>
    <row r="43" spans="2:55" ht="13">
      <c r="B43" s="273" t="s">
        <v>421</v>
      </c>
      <c r="C43" s="286" t="s">
        <v>422</v>
      </c>
      <c r="D43" s="531">
        <v>48</v>
      </c>
      <c r="E43" s="532">
        <v>0</v>
      </c>
      <c r="F43" s="237" t="s">
        <v>460</v>
      </c>
      <c r="G43" s="314"/>
      <c r="I43" s="267">
        <v>39</v>
      </c>
      <c r="J43" s="267">
        <v>54</v>
      </c>
      <c r="K43" s="267">
        <v>108</v>
      </c>
      <c r="L43" s="267">
        <v>142</v>
      </c>
      <c r="M43" s="268">
        <v>175</v>
      </c>
      <c r="O43" s="267">
        <v>58</v>
      </c>
      <c r="P43" s="267">
        <v>83</v>
      </c>
      <c r="Q43" s="267">
        <v>149</v>
      </c>
      <c r="R43" s="267">
        <v>215</v>
      </c>
      <c r="S43" s="268">
        <v>300</v>
      </c>
      <c r="U43" s="267">
        <v>48</v>
      </c>
      <c r="V43" s="267">
        <v>48</v>
      </c>
      <c r="W43" s="267">
        <v>48</v>
      </c>
      <c r="X43" s="267">
        <v>48</v>
      </c>
      <c r="Y43" s="268">
        <v>48</v>
      </c>
      <c r="AA43" s="267">
        <v>48</v>
      </c>
      <c r="AB43" s="267">
        <v>48</v>
      </c>
      <c r="AC43" s="267">
        <v>48</v>
      </c>
      <c r="AD43" s="267">
        <v>48</v>
      </c>
      <c r="AE43" s="268">
        <v>48</v>
      </c>
      <c r="AG43" s="282">
        <v>0</v>
      </c>
      <c r="AH43" s="282">
        <v>0</v>
      </c>
      <c r="AI43" s="282">
        <v>0</v>
      </c>
      <c r="AJ43" s="282">
        <v>0</v>
      </c>
      <c r="AK43" s="283">
        <v>0</v>
      </c>
      <c r="AL43" s="289"/>
      <c r="AM43" s="282">
        <v>0</v>
      </c>
      <c r="AN43" s="282">
        <v>0</v>
      </c>
      <c r="AO43" s="282">
        <v>0</v>
      </c>
      <c r="AP43" s="282">
        <v>0</v>
      </c>
      <c r="AQ43" s="283">
        <v>0</v>
      </c>
      <c r="AS43" s="282">
        <v>0</v>
      </c>
      <c r="AT43" s="282">
        <v>0</v>
      </c>
      <c r="AU43" s="282">
        <v>0</v>
      </c>
      <c r="AV43" s="282">
        <v>0</v>
      </c>
      <c r="AW43" s="283">
        <v>0</v>
      </c>
      <c r="AX43" s="284"/>
      <c r="AY43" s="282">
        <v>0</v>
      </c>
      <c r="AZ43" s="282">
        <v>0</v>
      </c>
      <c r="BA43" s="282">
        <v>0</v>
      </c>
      <c r="BB43" s="282">
        <v>0</v>
      </c>
      <c r="BC43" s="283">
        <v>0</v>
      </c>
    </row>
    <row r="44" spans="2:55" ht="13">
      <c r="B44" s="280" t="s">
        <v>423</v>
      </c>
      <c r="C44" s="281" t="s">
        <v>535</v>
      </c>
      <c r="D44" s="529">
        <v>520</v>
      </c>
      <c r="E44" s="535">
        <v>3.25</v>
      </c>
      <c r="F44" s="239" t="s">
        <v>190</v>
      </c>
      <c r="G44" s="315"/>
      <c r="I44" s="265">
        <v>39</v>
      </c>
      <c r="J44" s="265">
        <v>54</v>
      </c>
      <c r="K44" s="265">
        <v>145</v>
      </c>
      <c r="L44" s="265">
        <v>179</v>
      </c>
      <c r="M44" s="266">
        <v>212</v>
      </c>
      <c r="O44" s="265">
        <v>58</v>
      </c>
      <c r="P44" s="265">
        <v>83</v>
      </c>
      <c r="Q44" s="265">
        <v>186</v>
      </c>
      <c r="R44" s="265">
        <v>252</v>
      </c>
      <c r="S44" s="266">
        <v>337</v>
      </c>
      <c r="U44" s="265">
        <v>229</v>
      </c>
      <c r="V44" s="265">
        <v>249</v>
      </c>
      <c r="W44" s="265">
        <v>272</v>
      </c>
      <c r="X44" s="265">
        <v>289</v>
      </c>
      <c r="Y44" s="266">
        <v>322</v>
      </c>
      <c r="AA44" s="265">
        <v>245</v>
      </c>
      <c r="AB44" s="265">
        <v>264</v>
      </c>
      <c r="AC44" s="265">
        <v>292</v>
      </c>
      <c r="AD44" s="265">
        <v>337</v>
      </c>
      <c r="AE44" s="266">
        <v>407</v>
      </c>
      <c r="AG44" s="282">
        <v>0</v>
      </c>
      <c r="AH44" s="282">
        <v>0</v>
      </c>
      <c r="AI44" s="282">
        <v>0</v>
      </c>
      <c r="AJ44" s="282">
        <v>0</v>
      </c>
      <c r="AK44" s="283">
        <v>0</v>
      </c>
      <c r="AL44" s="289"/>
      <c r="AM44" s="282">
        <v>0</v>
      </c>
      <c r="AN44" s="282">
        <v>0</v>
      </c>
      <c r="AO44" s="282">
        <v>0</v>
      </c>
      <c r="AP44" s="282">
        <v>0</v>
      </c>
      <c r="AQ44" s="283">
        <v>0</v>
      </c>
      <c r="AS44" s="282">
        <v>290.88</v>
      </c>
      <c r="AT44" s="282">
        <v>270.88</v>
      </c>
      <c r="AU44" s="282">
        <v>247.87999999999988</v>
      </c>
      <c r="AV44" s="282">
        <v>230.88</v>
      </c>
      <c r="AW44" s="283">
        <v>197.88</v>
      </c>
      <c r="AX44" s="284"/>
      <c r="AY44" s="282">
        <v>275.38</v>
      </c>
      <c r="AZ44" s="282">
        <v>256.38</v>
      </c>
      <c r="BA44" s="282">
        <v>227.88</v>
      </c>
      <c r="BB44" s="282">
        <v>183.38</v>
      </c>
      <c r="BC44" s="283">
        <v>113.38</v>
      </c>
    </row>
    <row r="45" spans="2:55" ht="13">
      <c r="B45" s="273" t="s">
        <v>423</v>
      </c>
      <c r="C45" s="286" t="s">
        <v>536</v>
      </c>
      <c r="D45" s="531">
        <v>564</v>
      </c>
      <c r="E45" s="532">
        <v>3.25</v>
      </c>
      <c r="F45" s="237" t="s">
        <v>190</v>
      </c>
      <c r="G45" s="314"/>
      <c r="I45" s="267">
        <v>39</v>
      </c>
      <c r="J45" s="267">
        <v>54</v>
      </c>
      <c r="K45" s="267">
        <v>117</v>
      </c>
      <c r="L45" s="267">
        <v>151</v>
      </c>
      <c r="M45" s="268">
        <v>184</v>
      </c>
      <c r="O45" s="267">
        <v>58</v>
      </c>
      <c r="P45" s="267">
        <v>83</v>
      </c>
      <c r="Q45" s="267">
        <v>159</v>
      </c>
      <c r="R45" s="267">
        <v>224</v>
      </c>
      <c r="S45" s="268">
        <v>310</v>
      </c>
      <c r="U45" s="267">
        <v>208</v>
      </c>
      <c r="V45" s="267">
        <v>228</v>
      </c>
      <c r="W45" s="267">
        <v>251</v>
      </c>
      <c r="X45" s="267">
        <v>268</v>
      </c>
      <c r="Y45" s="268">
        <v>301</v>
      </c>
      <c r="AA45" s="267">
        <v>223</v>
      </c>
      <c r="AB45" s="267">
        <v>242</v>
      </c>
      <c r="AC45" s="267">
        <v>271</v>
      </c>
      <c r="AD45" s="267">
        <v>315</v>
      </c>
      <c r="AE45" s="268">
        <v>385</v>
      </c>
      <c r="AG45" s="282">
        <v>0</v>
      </c>
      <c r="AH45" s="282">
        <v>0</v>
      </c>
      <c r="AI45" s="282">
        <v>0</v>
      </c>
      <c r="AJ45" s="282">
        <v>0</v>
      </c>
      <c r="AK45" s="283">
        <v>0</v>
      </c>
      <c r="AL45" s="289"/>
      <c r="AM45" s="282">
        <v>0</v>
      </c>
      <c r="AN45" s="282">
        <v>0</v>
      </c>
      <c r="AO45" s="282">
        <v>0</v>
      </c>
      <c r="AP45" s="282">
        <v>0</v>
      </c>
      <c r="AQ45" s="283">
        <v>0</v>
      </c>
      <c r="AS45" s="282">
        <v>356.01</v>
      </c>
      <c r="AT45" s="282">
        <v>336.01</v>
      </c>
      <c r="AU45" s="282">
        <v>313.00999999999988</v>
      </c>
      <c r="AV45" s="282">
        <v>296.01</v>
      </c>
      <c r="AW45" s="283">
        <v>263.01</v>
      </c>
      <c r="AX45" s="284"/>
      <c r="AY45" s="282">
        <v>340.51</v>
      </c>
      <c r="AZ45" s="282">
        <v>321.51</v>
      </c>
      <c r="BA45" s="282">
        <v>293.01</v>
      </c>
      <c r="BB45" s="282">
        <v>248.51</v>
      </c>
      <c r="BC45" s="283">
        <v>178.51</v>
      </c>
    </row>
    <row r="46" spans="2:55" ht="13">
      <c r="B46" s="280" t="s">
        <v>423</v>
      </c>
      <c r="C46" s="281" t="s">
        <v>578</v>
      </c>
      <c r="D46" s="529">
        <v>823</v>
      </c>
      <c r="E46" s="535">
        <v>3.25</v>
      </c>
      <c r="F46" s="239" t="s">
        <v>190</v>
      </c>
      <c r="G46" s="315"/>
      <c r="I46" s="282">
        <v>39</v>
      </c>
      <c r="J46" s="282">
        <v>54</v>
      </c>
      <c r="K46" s="282">
        <v>121</v>
      </c>
      <c r="L46" s="282">
        <v>155</v>
      </c>
      <c r="M46" s="283">
        <v>188</v>
      </c>
      <c r="O46" s="282">
        <v>58</v>
      </c>
      <c r="P46" s="282">
        <v>83</v>
      </c>
      <c r="Q46" s="282">
        <v>163</v>
      </c>
      <c r="R46" s="282">
        <v>228</v>
      </c>
      <c r="S46" s="283">
        <v>313</v>
      </c>
      <c r="U46" s="282">
        <v>52</v>
      </c>
      <c r="V46" s="282">
        <v>304</v>
      </c>
      <c r="W46" s="282">
        <v>327</v>
      </c>
      <c r="X46" s="282">
        <v>344</v>
      </c>
      <c r="Y46" s="283">
        <v>377</v>
      </c>
      <c r="AA46" s="282">
        <v>68</v>
      </c>
      <c r="AB46" s="282">
        <v>318</v>
      </c>
      <c r="AC46" s="282">
        <v>347</v>
      </c>
      <c r="AD46" s="282">
        <v>391</v>
      </c>
      <c r="AE46" s="283">
        <v>461</v>
      </c>
      <c r="AG46" s="282">
        <v>0</v>
      </c>
      <c r="AH46" s="282">
        <v>0</v>
      </c>
      <c r="AI46" s="282">
        <v>0</v>
      </c>
      <c r="AJ46" s="282">
        <v>0</v>
      </c>
      <c r="AK46" s="283">
        <v>0</v>
      </c>
      <c r="AL46" s="289"/>
      <c r="AM46" s="282">
        <v>0</v>
      </c>
      <c r="AN46" s="282">
        <v>0</v>
      </c>
      <c r="AO46" s="282">
        <v>0</v>
      </c>
      <c r="AP46" s="282">
        <v>0</v>
      </c>
      <c r="AQ46" s="283">
        <v>0</v>
      </c>
      <c r="AS46" s="282">
        <v>771</v>
      </c>
      <c r="AT46" s="282">
        <v>519.11</v>
      </c>
      <c r="AU46" s="282">
        <v>496.1099999999999</v>
      </c>
      <c r="AV46" s="282">
        <v>479.11</v>
      </c>
      <c r="AW46" s="283">
        <v>446.11</v>
      </c>
      <c r="AX46" s="284"/>
      <c r="AY46" s="282">
        <v>755.5</v>
      </c>
      <c r="AZ46" s="282">
        <v>504.61</v>
      </c>
      <c r="BA46" s="282">
        <v>476.11</v>
      </c>
      <c r="BB46" s="282">
        <v>431.61</v>
      </c>
      <c r="BC46" s="283">
        <v>361.61</v>
      </c>
    </row>
    <row r="47" spans="2:55" ht="13">
      <c r="B47" s="273" t="s">
        <v>423</v>
      </c>
      <c r="C47" s="286" t="s">
        <v>579</v>
      </c>
      <c r="D47" s="531">
        <v>1062</v>
      </c>
      <c r="E47" s="532">
        <v>3.25</v>
      </c>
      <c r="F47" s="237" t="s">
        <v>190</v>
      </c>
      <c r="G47" s="314"/>
      <c r="I47" s="267">
        <v>39</v>
      </c>
      <c r="J47" s="267">
        <v>54</v>
      </c>
      <c r="K47" s="267">
        <v>125</v>
      </c>
      <c r="L47" s="267">
        <v>159</v>
      </c>
      <c r="M47" s="268">
        <v>192</v>
      </c>
      <c r="O47" s="267">
        <v>58</v>
      </c>
      <c r="P47" s="267">
        <v>83</v>
      </c>
      <c r="Q47" s="267">
        <v>167</v>
      </c>
      <c r="R47" s="267">
        <v>232</v>
      </c>
      <c r="S47" s="268">
        <v>317</v>
      </c>
      <c r="U47" s="267">
        <v>52</v>
      </c>
      <c r="V47" s="267">
        <v>377</v>
      </c>
      <c r="W47" s="267">
        <v>400</v>
      </c>
      <c r="X47" s="267">
        <v>417</v>
      </c>
      <c r="Y47" s="268">
        <v>450</v>
      </c>
      <c r="AA47" s="267">
        <v>68</v>
      </c>
      <c r="AB47" s="267">
        <v>392</v>
      </c>
      <c r="AC47" s="267">
        <v>420</v>
      </c>
      <c r="AD47" s="267">
        <v>465</v>
      </c>
      <c r="AE47" s="268">
        <v>535</v>
      </c>
      <c r="AG47" s="282">
        <v>0</v>
      </c>
      <c r="AH47" s="282">
        <v>0</v>
      </c>
      <c r="AI47" s="282">
        <v>0</v>
      </c>
      <c r="AJ47" s="282">
        <v>0</v>
      </c>
      <c r="AK47" s="283">
        <v>0</v>
      </c>
      <c r="AL47" s="289"/>
      <c r="AM47" s="282">
        <v>0</v>
      </c>
      <c r="AN47" s="282">
        <v>0</v>
      </c>
      <c r="AO47" s="282">
        <v>0</v>
      </c>
      <c r="AP47" s="282">
        <v>0</v>
      </c>
      <c r="AQ47" s="283">
        <v>0</v>
      </c>
      <c r="AS47" s="282">
        <v>1010</v>
      </c>
      <c r="AT47" s="282">
        <v>684.73</v>
      </c>
      <c r="AU47" s="282">
        <v>661.7299999999999</v>
      </c>
      <c r="AV47" s="282">
        <v>644.73</v>
      </c>
      <c r="AW47" s="283">
        <v>611.73</v>
      </c>
      <c r="AX47" s="284"/>
      <c r="AY47" s="282">
        <v>994.5</v>
      </c>
      <c r="AZ47" s="282">
        <v>670.23</v>
      </c>
      <c r="BA47" s="282">
        <v>641.73</v>
      </c>
      <c r="BB47" s="282">
        <v>597.23</v>
      </c>
      <c r="BC47" s="283">
        <v>527.23</v>
      </c>
    </row>
    <row r="48" spans="2:55" ht="13">
      <c r="B48" s="280" t="s">
        <v>423</v>
      </c>
      <c r="C48" s="281" t="s">
        <v>580</v>
      </c>
      <c r="D48" s="529">
        <v>1234</v>
      </c>
      <c r="E48" s="535">
        <v>3.25</v>
      </c>
      <c r="F48" s="239" t="s">
        <v>190</v>
      </c>
      <c r="G48" s="315"/>
      <c r="I48" s="282">
        <v>39</v>
      </c>
      <c r="J48" s="282">
        <v>54</v>
      </c>
      <c r="K48" s="282">
        <v>145</v>
      </c>
      <c r="L48" s="282">
        <v>179</v>
      </c>
      <c r="M48" s="283">
        <v>212</v>
      </c>
      <c r="O48" s="282">
        <v>58</v>
      </c>
      <c r="P48" s="282">
        <v>83</v>
      </c>
      <c r="Q48" s="282">
        <v>187</v>
      </c>
      <c r="R48" s="282">
        <v>252</v>
      </c>
      <c r="S48" s="283">
        <v>337</v>
      </c>
      <c r="U48" s="282">
        <v>52</v>
      </c>
      <c r="V48" s="282">
        <v>406</v>
      </c>
      <c r="W48" s="282">
        <v>429</v>
      </c>
      <c r="X48" s="282">
        <v>446</v>
      </c>
      <c r="Y48" s="283">
        <v>479</v>
      </c>
      <c r="AA48" s="282">
        <v>68</v>
      </c>
      <c r="AB48" s="282">
        <v>421</v>
      </c>
      <c r="AC48" s="282">
        <v>449</v>
      </c>
      <c r="AD48" s="282">
        <v>494</v>
      </c>
      <c r="AE48" s="283">
        <v>564</v>
      </c>
      <c r="AG48" s="282">
        <v>0</v>
      </c>
      <c r="AH48" s="282">
        <v>0</v>
      </c>
      <c r="AI48" s="282">
        <v>0</v>
      </c>
      <c r="AJ48" s="282">
        <v>0</v>
      </c>
      <c r="AK48" s="283">
        <v>0</v>
      </c>
      <c r="AL48" s="289"/>
      <c r="AM48" s="282">
        <v>0</v>
      </c>
      <c r="AN48" s="282">
        <v>0</v>
      </c>
      <c r="AO48" s="282">
        <v>0</v>
      </c>
      <c r="AP48" s="282">
        <v>0</v>
      </c>
      <c r="AQ48" s="283">
        <v>0</v>
      </c>
      <c r="AS48" s="282">
        <v>1182</v>
      </c>
      <c r="AT48" s="282">
        <v>827.7</v>
      </c>
      <c r="AU48" s="282">
        <v>804.7</v>
      </c>
      <c r="AV48" s="282">
        <v>787.7</v>
      </c>
      <c r="AW48" s="283">
        <v>754.7</v>
      </c>
      <c r="AX48" s="284"/>
      <c r="AY48" s="282">
        <v>1166.5</v>
      </c>
      <c r="AZ48" s="282">
        <v>813.2</v>
      </c>
      <c r="BA48" s="282">
        <v>784.7</v>
      </c>
      <c r="BB48" s="282">
        <v>740.2</v>
      </c>
      <c r="BC48" s="283">
        <v>670.2</v>
      </c>
    </row>
    <row r="49" spans="2:55" ht="13">
      <c r="B49" s="273" t="s">
        <v>318</v>
      </c>
      <c r="C49" s="286" t="s">
        <v>545</v>
      </c>
      <c r="D49" s="531">
        <v>539</v>
      </c>
      <c r="E49" s="532">
        <v>3.25</v>
      </c>
      <c r="F49" s="237" t="s">
        <v>190</v>
      </c>
      <c r="G49" s="314"/>
      <c r="I49" s="267">
        <v>109</v>
      </c>
      <c r="J49" s="267">
        <v>124</v>
      </c>
      <c r="K49" s="267">
        <v>148</v>
      </c>
      <c r="L49" s="267">
        <v>182</v>
      </c>
      <c r="M49" s="268">
        <v>215</v>
      </c>
      <c r="O49" s="267">
        <v>128</v>
      </c>
      <c r="P49" s="267">
        <v>153</v>
      </c>
      <c r="Q49" s="267">
        <v>189</v>
      </c>
      <c r="R49" s="267">
        <v>255</v>
      </c>
      <c r="S49" s="268">
        <v>340</v>
      </c>
      <c r="U49" s="267">
        <v>324</v>
      </c>
      <c r="V49" s="267">
        <v>344</v>
      </c>
      <c r="W49" s="267">
        <v>367</v>
      </c>
      <c r="X49" s="267">
        <v>384</v>
      </c>
      <c r="Y49" s="268">
        <v>417</v>
      </c>
      <c r="AA49" s="267">
        <v>339</v>
      </c>
      <c r="AB49" s="267">
        <v>358</v>
      </c>
      <c r="AC49" s="267">
        <v>387</v>
      </c>
      <c r="AD49" s="267">
        <v>431</v>
      </c>
      <c r="AE49" s="268">
        <v>501</v>
      </c>
      <c r="AG49" s="282">
        <v>0</v>
      </c>
      <c r="AH49" s="282">
        <v>0</v>
      </c>
      <c r="AI49" s="282">
        <v>0</v>
      </c>
      <c r="AJ49" s="282">
        <v>0</v>
      </c>
      <c r="AK49" s="283">
        <v>0</v>
      </c>
      <c r="AL49" s="289"/>
      <c r="AM49" s="282">
        <v>0</v>
      </c>
      <c r="AN49" s="282">
        <v>0</v>
      </c>
      <c r="AO49" s="282">
        <v>0</v>
      </c>
      <c r="AP49" s="282">
        <v>0</v>
      </c>
      <c r="AQ49" s="283">
        <v>0</v>
      </c>
      <c r="AS49" s="282">
        <v>215.25</v>
      </c>
      <c r="AT49" s="282">
        <v>195.25</v>
      </c>
      <c r="AU49" s="282">
        <v>172.24999999999989</v>
      </c>
      <c r="AV49" s="282">
        <v>155.25</v>
      </c>
      <c r="AW49" s="283">
        <v>122.25</v>
      </c>
      <c r="AX49" s="284"/>
      <c r="AY49" s="282">
        <v>199.75</v>
      </c>
      <c r="AZ49" s="282">
        <v>180.75</v>
      </c>
      <c r="BA49" s="282">
        <v>152.25</v>
      </c>
      <c r="BB49" s="282">
        <v>107.75</v>
      </c>
      <c r="BC49" s="283">
        <v>37.75</v>
      </c>
    </row>
    <row r="50" spans="2:55" ht="13">
      <c r="B50" s="280" t="s">
        <v>318</v>
      </c>
      <c r="C50" s="281" t="s">
        <v>546</v>
      </c>
      <c r="D50" s="529">
        <v>309</v>
      </c>
      <c r="E50" s="535">
        <v>3.25</v>
      </c>
      <c r="F50" s="239" t="s">
        <v>190</v>
      </c>
      <c r="G50" s="315"/>
      <c r="I50" s="265">
        <v>39</v>
      </c>
      <c r="J50" s="265">
        <v>54</v>
      </c>
      <c r="K50" s="265">
        <v>225</v>
      </c>
      <c r="L50" s="265">
        <v>259</v>
      </c>
      <c r="M50" s="266">
        <v>292</v>
      </c>
      <c r="O50" s="265">
        <v>58</v>
      </c>
      <c r="P50" s="265">
        <v>83</v>
      </c>
      <c r="Q50" s="265">
        <v>266</v>
      </c>
      <c r="R50" s="265">
        <v>332</v>
      </c>
      <c r="S50" s="266">
        <v>417</v>
      </c>
      <c r="U50" s="265">
        <v>171</v>
      </c>
      <c r="V50" s="265">
        <v>191</v>
      </c>
      <c r="W50" s="265">
        <v>214</v>
      </c>
      <c r="X50" s="265">
        <v>231</v>
      </c>
      <c r="Y50" s="266">
        <v>264</v>
      </c>
      <c r="AA50" s="265">
        <v>186</v>
      </c>
      <c r="AB50" s="265">
        <v>205</v>
      </c>
      <c r="AC50" s="265">
        <v>234</v>
      </c>
      <c r="AD50" s="265">
        <v>278</v>
      </c>
      <c r="AE50" s="266">
        <v>348</v>
      </c>
      <c r="AG50" s="282">
        <v>15</v>
      </c>
      <c r="AH50" s="282">
        <v>15</v>
      </c>
      <c r="AI50" s="282">
        <v>15</v>
      </c>
      <c r="AJ50" s="282">
        <v>15</v>
      </c>
      <c r="AK50" s="283">
        <v>15</v>
      </c>
      <c r="AL50" s="289"/>
      <c r="AM50" s="282">
        <v>15</v>
      </c>
      <c r="AN50" s="282">
        <v>15</v>
      </c>
      <c r="AO50" s="282">
        <v>15</v>
      </c>
      <c r="AP50" s="282">
        <v>15</v>
      </c>
      <c r="AQ50" s="283">
        <v>15</v>
      </c>
      <c r="AS50" s="282">
        <v>138.25</v>
      </c>
      <c r="AT50" s="282">
        <v>118.25</v>
      </c>
      <c r="AU50" s="282">
        <v>95.249999999999886</v>
      </c>
      <c r="AV50" s="282">
        <v>78.25</v>
      </c>
      <c r="AW50" s="283">
        <v>45.25</v>
      </c>
      <c r="AX50" s="284"/>
      <c r="AY50" s="282">
        <v>122.75000000000003</v>
      </c>
      <c r="AZ50" s="282">
        <v>103.75</v>
      </c>
      <c r="BA50" s="282">
        <v>75.25</v>
      </c>
      <c r="BB50" s="282">
        <v>30.75</v>
      </c>
      <c r="BC50" s="283">
        <v>-39.25</v>
      </c>
    </row>
    <row r="51" spans="2:55" ht="13">
      <c r="B51" s="273" t="s">
        <v>318</v>
      </c>
      <c r="C51" s="286" t="s">
        <v>547</v>
      </c>
      <c r="D51" s="531">
        <v>661</v>
      </c>
      <c r="E51" s="532">
        <v>3.25</v>
      </c>
      <c r="F51" s="237" t="s">
        <v>190</v>
      </c>
      <c r="G51" s="314"/>
      <c r="I51" s="267">
        <v>39</v>
      </c>
      <c r="J51" s="267">
        <v>54</v>
      </c>
      <c r="K51" s="267">
        <v>214</v>
      </c>
      <c r="L51" s="267">
        <v>248</v>
      </c>
      <c r="M51" s="268">
        <v>281</v>
      </c>
      <c r="O51" s="267">
        <v>58</v>
      </c>
      <c r="P51" s="267">
        <v>83</v>
      </c>
      <c r="Q51" s="267">
        <v>255</v>
      </c>
      <c r="R51" s="267">
        <v>321</v>
      </c>
      <c r="S51" s="268">
        <v>406</v>
      </c>
      <c r="U51" s="267">
        <v>331</v>
      </c>
      <c r="V51" s="267">
        <v>351</v>
      </c>
      <c r="W51" s="267">
        <v>374</v>
      </c>
      <c r="X51" s="267">
        <v>391</v>
      </c>
      <c r="Y51" s="268">
        <v>424</v>
      </c>
      <c r="AA51" s="267">
        <v>346</v>
      </c>
      <c r="AB51" s="267">
        <v>365</v>
      </c>
      <c r="AC51" s="267">
        <v>394</v>
      </c>
      <c r="AD51" s="267">
        <v>438</v>
      </c>
      <c r="AE51" s="268">
        <v>508</v>
      </c>
      <c r="AG51" s="282">
        <v>-279</v>
      </c>
      <c r="AH51" s="282">
        <v>-60</v>
      </c>
      <c r="AI51" s="282">
        <v>-60</v>
      </c>
      <c r="AJ51" s="282">
        <v>-60</v>
      </c>
      <c r="AK51" s="283">
        <v>-60</v>
      </c>
      <c r="AL51" s="289"/>
      <c r="AM51" s="282">
        <v>-278</v>
      </c>
      <c r="AN51" s="282">
        <v>-60</v>
      </c>
      <c r="AO51" s="282">
        <v>-60</v>
      </c>
      <c r="AP51" s="282">
        <v>-60</v>
      </c>
      <c r="AQ51" s="283">
        <v>-60</v>
      </c>
      <c r="AS51" s="282">
        <v>330.25</v>
      </c>
      <c r="AT51" s="282">
        <v>310.25</v>
      </c>
      <c r="AU51" s="282">
        <v>287.24999999999989</v>
      </c>
      <c r="AV51" s="282">
        <v>270.25</v>
      </c>
      <c r="AW51" s="283">
        <v>237.25</v>
      </c>
      <c r="AX51" s="284"/>
      <c r="AY51" s="282">
        <v>314.75</v>
      </c>
      <c r="AZ51" s="282">
        <v>295.75</v>
      </c>
      <c r="BA51" s="282">
        <v>267.25</v>
      </c>
      <c r="BB51" s="282">
        <v>222.75</v>
      </c>
      <c r="BC51" s="283">
        <v>152.75</v>
      </c>
    </row>
    <row r="52" spans="2:55" ht="13">
      <c r="B52" s="280" t="s">
        <v>318</v>
      </c>
      <c r="C52" s="281" t="s">
        <v>588</v>
      </c>
      <c r="D52" s="529">
        <v>181</v>
      </c>
      <c r="E52" s="535">
        <v>3.25</v>
      </c>
      <c r="F52" s="239" t="s">
        <v>190</v>
      </c>
      <c r="G52" s="315"/>
      <c r="I52" s="282">
        <v>39</v>
      </c>
      <c r="J52" s="282">
        <v>54</v>
      </c>
      <c r="K52" s="282">
        <v>185</v>
      </c>
      <c r="L52" s="282">
        <v>219</v>
      </c>
      <c r="M52" s="283">
        <v>252</v>
      </c>
      <c r="O52" s="282">
        <v>58</v>
      </c>
      <c r="P52" s="282">
        <v>83</v>
      </c>
      <c r="Q52" s="282">
        <v>226</v>
      </c>
      <c r="R52" s="282">
        <v>292</v>
      </c>
      <c r="S52" s="283">
        <v>377</v>
      </c>
      <c r="U52" s="282">
        <v>101</v>
      </c>
      <c r="V52" s="282">
        <v>121</v>
      </c>
      <c r="W52" s="282">
        <v>144</v>
      </c>
      <c r="X52" s="282">
        <v>161</v>
      </c>
      <c r="Y52" s="283">
        <v>194</v>
      </c>
      <c r="AA52" s="282">
        <v>116</v>
      </c>
      <c r="AB52" s="282">
        <v>135</v>
      </c>
      <c r="AC52" s="282">
        <v>164</v>
      </c>
      <c r="AD52" s="282">
        <v>208</v>
      </c>
      <c r="AE52" s="283">
        <v>278</v>
      </c>
      <c r="AG52" s="282">
        <v>12</v>
      </c>
      <c r="AH52" s="282">
        <v>12</v>
      </c>
      <c r="AI52" s="282">
        <v>12</v>
      </c>
      <c r="AJ52" s="282">
        <v>12</v>
      </c>
      <c r="AK52" s="283">
        <v>12</v>
      </c>
      <c r="AL52" s="289"/>
      <c r="AM52" s="282">
        <v>12</v>
      </c>
      <c r="AN52" s="282">
        <v>12</v>
      </c>
      <c r="AO52" s="282">
        <v>12</v>
      </c>
      <c r="AP52" s="282">
        <v>12</v>
      </c>
      <c r="AQ52" s="283">
        <v>12</v>
      </c>
      <c r="AS52" s="282">
        <v>80.25</v>
      </c>
      <c r="AT52" s="282">
        <v>60.25</v>
      </c>
      <c r="AU52" s="282">
        <v>37.249999999999886</v>
      </c>
      <c r="AV52" s="282">
        <v>20.25</v>
      </c>
      <c r="AW52" s="283">
        <v>-12.75</v>
      </c>
      <c r="AX52" s="284"/>
      <c r="AY52" s="282">
        <v>64.750000000000028</v>
      </c>
      <c r="AZ52" s="282">
        <v>45.75</v>
      </c>
      <c r="BA52" s="282">
        <v>17.25</v>
      </c>
      <c r="BB52" s="282">
        <v>-27.25</v>
      </c>
      <c r="BC52" s="283">
        <v>-97.25</v>
      </c>
    </row>
    <row r="53" spans="2:55" ht="13">
      <c r="B53" s="273" t="s">
        <v>318</v>
      </c>
      <c r="C53" s="286" t="s">
        <v>581</v>
      </c>
      <c r="D53" s="531">
        <v>1653</v>
      </c>
      <c r="E53" s="532">
        <v>3.25</v>
      </c>
      <c r="F53" s="237" t="s">
        <v>190</v>
      </c>
      <c r="G53" s="314"/>
      <c r="I53" s="267">
        <v>39</v>
      </c>
      <c r="J53" s="267">
        <v>54</v>
      </c>
      <c r="K53" s="267">
        <v>144</v>
      </c>
      <c r="L53" s="267">
        <v>178</v>
      </c>
      <c r="M53" s="268">
        <v>211</v>
      </c>
      <c r="O53" s="267">
        <v>58</v>
      </c>
      <c r="P53" s="267">
        <v>83</v>
      </c>
      <c r="Q53" s="267">
        <v>186</v>
      </c>
      <c r="R53" s="267">
        <v>251</v>
      </c>
      <c r="S53" s="268">
        <v>337</v>
      </c>
      <c r="U53" s="267">
        <v>52</v>
      </c>
      <c r="V53" s="267">
        <v>562</v>
      </c>
      <c r="W53" s="267">
        <v>585</v>
      </c>
      <c r="X53" s="267">
        <v>602</v>
      </c>
      <c r="Y53" s="268">
        <v>635</v>
      </c>
      <c r="AA53" s="267">
        <v>68</v>
      </c>
      <c r="AB53" s="267">
        <v>576</v>
      </c>
      <c r="AC53" s="267">
        <v>605</v>
      </c>
      <c r="AD53" s="267">
        <v>649</v>
      </c>
      <c r="AE53" s="268">
        <v>719</v>
      </c>
      <c r="AG53" s="282">
        <v>0</v>
      </c>
      <c r="AH53" s="282">
        <v>100</v>
      </c>
      <c r="AI53" s="282">
        <v>100</v>
      </c>
      <c r="AJ53" s="282">
        <v>100</v>
      </c>
      <c r="AK53" s="283">
        <v>100</v>
      </c>
      <c r="AL53" s="289"/>
      <c r="AM53" s="282">
        <v>0</v>
      </c>
      <c r="AN53" s="282">
        <v>100</v>
      </c>
      <c r="AO53" s="282">
        <v>100</v>
      </c>
      <c r="AP53" s="282">
        <v>100</v>
      </c>
      <c r="AQ53" s="283">
        <v>100</v>
      </c>
      <c r="AS53" s="282">
        <v>1601</v>
      </c>
      <c r="AT53" s="282">
        <v>1091.25</v>
      </c>
      <c r="AU53" s="282">
        <v>1068.25</v>
      </c>
      <c r="AV53" s="282">
        <v>1051.25</v>
      </c>
      <c r="AW53" s="283">
        <v>1018.25</v>
      </c>
      <c r="AX53" s="284"/>
      <c r="AY53" s="282">
        <v>1585.5</v>
      </c>
      <c r="AZ53" s="282">
        <v>1076.75</v>
      </c>
      <c r="BA53" s="282">
        <v>1048.25</v>
      </c>
      <c r="BB53" s="282">
        <v>1003.75</v>
      </c>
      <c r="BC53" s="283">
        <v>933.75</v>
      </c>
    </row>
    <row r="54" spans="2:55" ht="13">
      <c r="B54" s="280" t="s">
        <v>318</v>
      </c>
      <c r="C54" s="281" t="s">
        <v>461</v>
      </c>
      <c r="D54" s="529">
        <v>358</v>
      </c>
      <c r="E54" s="535">
        <v>3.25</v>
      </c>
      <c r="F54" s="239" t="s">
        <v>190</v>
      </c>
      <c r="G54" s="315"/>
      <c r="I54" s="282">
        <v>39</v>
      </c>
      <c r="J54" s="282">
        <v>54</v>
      </c>
      <c r="K54" s="282">
        <v>145</v>
      </c>
      <c r="L54" s="282">
        <v>179</v>
      </c>
      <c r="M54" s="283">
        <v>212</v>
      </c>
      <c r="O54" s="282">
        <v>58</v>
      </c>
      <c r="P54" s="282">
        <v>83</v>
      </c>
      <c r="Q54" s="282">
        <v>186</v>
      </c>
      <c r="R54" s="282">
        <v>252</v>
      </c>
      <c r="S54" s="283">
        <v>337</v>
      </c>
      <c r="U54" s="282">
        <v>148</v>
      </c>
      <c r="V54" s="282">
        <v>168</v>
      </c>
      <c r="W54" s="282">
        <v>191</v>
      </c>
      <c r="X54" s="282">
        <v>208</v>
      </c>
      <c r="Y54" s="283">
        <v>241</v>
      </c>
      <c r="AA54" s="282">
        <v>163</v>
      </c>
      <c r="AB54" s="282">
        <v>182</v>
      </c>
      <c r="AC54" s="282">
        <v>211</v>
      </c>
      <c r="AD54" s="282">
        <v>255</v>
      </c>
      <c r="AE54" s="283">
        <v>325</v>
      </c>
      <c r="AG54" s="282">
        <v>0</v>
      </c>
      <c r="AH54" s="282">
        <v>0</v>
      </c>
      <c r="AI54" s="282">
        <v>0</v>
      </c>
      <c r="AJ54" s="282">
        <v>0</v>
      </c>
      <c r="AK54" s="283">
        <v>0</v>
      </c>
      <c r="AL54" s="289"/>
      <c r="AM54" s="282">
        <v>0</v>
      </c>
      <c r="AN54" s="282">
        <v>0</v>
      </c>
      <c r="AO54" s="282">
        <v>0</v>
      </c>
      <c r="AP54" s="282">
        <v>0</v>
      </c>
      <c r="AQ54" s="283">
        <v>0</v>
      </c>
      <c r="AS54" s="282">
        <v>210.25</v>
      </c>
      <c r="AT54" s="282">
        <v>190.25</v>
      </c>
      <c r="AU54" s="282">
        <v>167.24999999999989</v>
      </c>
      <c r="AV54" s="282">
        <v>150.25</v>
      </c>
      <c r="AW54" s="283">
        <v>117.25</v>
      </c>
      <c r="AX54" s="284"/>
      <c r="AY54" s="282">
        <v>194.75</v>
      </c>
      <c r="AZ54" s="282">
        <v>175.75</v>
      </c>
      <c r="BA54" s="282">
        <v>147.25</v>
      </c>
      <c r="BB54" s="282">
        <v>102.75</v>
      </c>
      <c r="BC54" s="283">
        <v>32.75</v>
      </c>
    </row>
    <row r="55" spans="2:55" ht="13">
      <c r="B55" s="273" t="s">
        <v>318</v>
      </c>
      <c r="C55" s="286" t="s">
        <v>508</v>
      </c>
      <c r="D55" s="531">
        <v>1074</v>
      </c>
      <c r="E55" s="532">
        <v>3.25</v>
      </c>
      <c r="F55" s="237" t="s">
        <v>190</v>
      </c>
      <c r="G55" s="314"/>
      <c r="I55" s="267">
        <v>39</v>
      </c>
      <c r="J55" s="267">
        <v>54</v>
      </c>
      <c r="K55" s="267">
        <v>114</v>
      </c>
      <c r="L55" s="267">
        <v>148</v>
      </c>
      <c r="M55" s="268">
        <v>181</v>
      </c>
      <c r="O55" s="267">
        <v>94</v>
      </c>
      <c r="P55" s="267">
        <v>119</v>
      </c>
      <c r="Q55" s="267">
        <v>156</v>
      </c>
      <c r="R55" s="267">
        <v>221</v>
      </c>
      <c r="S55" s="268">
        <v>306</v>
      </c>
      <c r="U55" s="267">
        <v>52</v>
      </c>
      <c r="V55" s="267">
        <v>444</v>
      </c>
      <c r="W55" s="267">
        <v>467</v>
      </c>
      <c r="X55" s="267">
        <v>484</v>
      </c>
      <c r="Y55" s="268">
        <v>517</v>
      </c>
      <c r="AA55" s="267">
        <v>68</v>
      </c>
      <c r="AB55" s="267">
        <v>458</v>
      </c>
      <c r="AC55" s="267">
        <v>487</v>
      </c>
      <c r="AD55" s="267">
        <v>531</v>
      </c>
      <c r="AE55" s="268">
        <v>601</v>
      </c>
      <c r="AG55" s="282">
        <v>0</v>
      </c>
      <c r="AH55" s="282">
        <v>0</v>
      </c>
      <c r="AI55" s="282">
        <v>0</v>
      </c>
      <c r="AJ55" s="282">
        <v>0</v>
      </c>
      <c r="AK55" s="283">
        <v>0</v>
      </c>
      <c r="AL55" s="289"/>
      <c r="AM55" s="282">
        <v>0</v>
      </c>
      <c r="AN55" s="282">
        <v>0</v>
      </c>
      <c r="AO55" s="282">
        <v>0</v>
      </c>
      <c r="AP55" s="282">
        <v>0</v>
      </c>
      <c r="AQ55" s="283">
        <v>0</v>
      </c>
      <c r="AS55" s="282">
        <v>1022</v>
      </c>
      <c r="AT55" s="282">
        <v>630.25</v>
      </c>
      <c r="AU55" s="282">
        <v>607.24999999999989</v>
      </c>
      <c r="AV55" s="282">
        <v>590.25</v>
      </c>
      <c r="AW55" s="283">
        <v>557.25</v>
      </c>
      <c r="AX55" s="284"/>
      <c r="AY55" s="282">
        <v>1006.5</v>
      </c>
      <c r="AZ55" s="282">
        <v>615.75</v>
      </c>
      <c r="BA55" s="282">
        <v>587.25</v>
      </c>
      <c r="BB55" s="282">
        <v>542.75</v>
      </c>
      <c r="BC55" s="283">
        <v>472.75</v>
      </c>
    </row>
    <row r="56" spans="2:55" ht="13">
      <c r="B56" s="280" t="s">
        <v>318</v>
      </c>
      <c r="C56" s="118" t="s">
        <v>630</v>
      </c>
      <c r="D56" s="529">
        <v>137</v>
      </c>
      <c r="E56" s="535">
        <v>3.75</v>
      </c>
      <c r="F56" s="239" t="s">
        <v>210</v>
      </c>
      <c r="G56" s="315"/>
      <c r="I56" s="282">
        <v>39</v>
      </c>
      <c r="J56" s="282">
        <v>54</v>
      </c>
      <c r="K56" s="282">
        <v>96</v>
      </c>
      <c r="L56" s="282">
        <v>130</v>
      </c>
      <c r="M56" s="283">
        <v>163</v>
      </c>
      <c r="O56" s="282">
        <v>58</v>
      </c>
      <c r="P56" s="282">
        <v>83</v>
      </c>
      <c r="Q56" s="282">
        <v>138</v>
      </c>
      <c r="R56" s="282">
        <v>203</v>
      </c>
      <c r="S56" s="283">
        <v>288</v>
      </c>
      <c r="U56" s="282">
        <v>52</v>
      </c>
      <c r="V56" s="282">
        <v>72</v>
      </c>
      <c r="W56" s="282">
        <v>95</v>
      </c>
      <c r="X56" s="282">
        <v>112</v>
      </c>
      <c r="Y56" s="283">
        <v>145</v>
      </c>
      <c r="AA56" s="282">
        <v>68</v>
      </c>
      <c r="AB56" s="282">
        <v>87</v>
      </c>
      <c r="AC56" s="282">
        <v>115</v>
      </c>
      <c r="AD56" s="282">
        <v>160</v>
      </c>
      <c r="AE56" s="283">
        <v>230</v>
      </c>
      <c r="AG56" s="282" t="e">
        <v>#N/A</v>
      </c>
      <c r="AH56" s="282" t="e">
        <v>#N/A</v>
      </c>
      <c r="AI56" s="282" t="e">
        <v>#N/A</v>
      </c>
      <c r="AJ56" s="282" t="e">
        <v>#N/A</v>
      </c>
      <c r="AK56" s="283" t="e">
        <v>#N/A</v>
      </c>
      <c r="AL56" s="289"/>
      <c r="AM56" s="282" t="e">
        <v>#N/A</v>
      </c>
      <c r="AN56" s="282" t="e">
        <v>#N/A</v>
      </c>
      <c r="AO56" s="282" t="e">
        <v>#N/A</v>
      </c>
      <c r="AP56" s="282" t="e">
        <v>#N/A</v>
      </c>
      <c r="AQ56" s="283" t="e">
        <v>#N/A</v>
      </c>
      <c r="AS56" s="282">
        <v>85</v>
      </c>
      <c r="AT56" s="282">
        <v>65</v>
      </c>
      <c r="AU56" s="282">
        <v>41.999999999999886</v>
      </c>
      <c r="AV56" s="282">
        <v>25</v>
      </c>
      <c r="AW56" s="283">
        <v>-8</v>
      </c>
      <c r="AX56" s="284"/>
      <c r="AY56" s="282">
        <v>69.500000000000028</v>
      </c>
      <c r="AZ56" s="282">
        <v>50.5</v>
      </c>
      <c r="BA56" s="282">
        <v>22</v>
      </c>
      <c r="BB56" s="282">
        <v>-22.5</v>
      </c>
      <c r="BC56" s="283">
        <v>-92.5</v>
      </c>
    </row>
    <row r="57" spans="2:55" ht="13">
      <c r="B57" s="273" t="s">
        <v>318</v>
      </c>
      <c r="C57" s="286" t="s">
        <v>537</v>
      </c>
      <c r="D57" s="531">
        <v>204</v>
      </c>
      <c r="E57" s="532">
        <v>3.75</v>
      </c>
      <c r="F57" s="237" t="s">
        <v>191</v>
      </c>
      <c r="G57" s="314"/>
      <c r="I57" s="267">
        <v>39</v>
      </c>
      <c r="J57" s="267">
        <v>54</v>
      </c>
      <c r="K57" s="267">
        <v>198</v>
      </c>
      <c r="L57" s="267">
        <v>232</v>
      </c>
      <c r="M57" s="268">
        <v>265</v>
      </c>
      <c r="O57" s="267">
        <v>58</v>
      </c>
      <c r="P57" s="267">
        <v>83</v>
      </c>
      <c r="Q57" s="267">
        <v>239</v>
      </c>
      <c r="R57" s="267">
        <v>305</v>
      </c>
      <c r="S57" s="268">
        <v>390</v>
      </c>
      <c r="U57" s="267">
        <v>81</v>
      </c>
      <c r="V57" s="267">
        <v>101</v>
      </c>
      <c r="W57" s="267">
        <v>124</v>
      </c>
      <c r="X57" s="267">
        <v>141</v>
      </c>
      <c r="Y57" s="268">
        <v>174</v>
      </c>
      <c r="AA57" s="267">
        <v>97</v>
      </c>
      <c r="AB57" s="267">
        <v>116</v>
      </c>
      <c r="AC57" s="267">
        <v>144</v>
      </c>
      <c r="AD57" s="267">
        <v>189</v>
      </c>
      <c r="AE57" s="268">
        <v>259</v>
      </c>
      <c r="AG57" s="282">
        <v>0</v>
      </c>
      <c r="AH57" s="282">
        <v>0</v>
      </c>
      <c r="AI57" s="282">
        <v>0</v>
      </c>
      <c r="AJ57" s="282">
        <v>0</v>
      </c>
      <c r="AK57" s="283">
        <v>0</v>
      </c>
      <c r="AL57" s="289"/>
      <c r="AM57" s="282">
        <v>0</v>
      </c>
      <c r="AN57" s="282">
        <v>0</v>
      </c>
      <c r="AO57" s="282">
        <v>0</v>
      </c>
      <c r="AP57" s="282">
        <v>0</v>
      </c>
      <c r="AQ57" s="283">
        <v>0</v>
      </c>
      <c r="AS57" s="282">
        <v>122.75</v>
      </c>
      <c r="AT57" s="282">
        <v>102.75</v>
      </c>
      <c r="AU57" s="282">
        <v>79.749999999999886</v>
      </c>
      <c r="AV57" s="282">
        <v>62.75</v>
      </c>
      <c r="AW57" s="283">
        <v>29.75</v>
      </c>
      <c r="AX57" s="284"/>
      <c r="AY57" s="282">
        <v>107.25000000000003</v>
      </c>
      <c r="AZ57" s="282">
        <v>88.25</v>
      </c>
      <c r="BA57" s="282">
        <v>59.75</v>
      </c>
      <c r="BB57" s="282">
        <v>15.25</v>
      </c>
      <c r="BC57" s="283">
        <v>-54.75</v>
      </c>
    </row>
    <row r="58" spans="2:55" ht="13">
      <c r="B58" s="280" t="s">
        <v>61</v>
      </c>
      <c r="C58" s="281" t="s">
        <v>482</v>
      </c>
      <c r="D58" s="529">
        <v>751</v>
      </c>
      <c r="E58" s="535">
        <v>5.33</v>
      </c>
      <c r="F58" s="239" t="s">
        <v>193</v>
      </c>
      <c r="G58" s="315"/>
      <c r="I58" s="282">
        <v>39</v>
      </c>
      <c r="J58" s="282">
        <v>54</v>
      </c>
      <c r="K58" s="282">
        <v>271</v>
      </c>
      <c r="L58" s="282">
        <v>305</v>
      </c>
      <c r="M58" s="283">
        <v>338</v>
      </c>
      <c r="O58" s="282">
        <v>58</v>
      </c>
      <c r="P58" s="282">
        <v>83</v>
      </c>
      <c r="Q58" s="282">
        <v>307</v>
      </c>
      <c r="R58" s="282">
        <v>368</v>
      </c>
      <c r="S58" s="283">
        <v>448</v>
      </c>
      <c r="U58" s="282">
        <v>52</v>
      </c>
      <c r="V58" s="282">
        <v>268</v>
      </c>
      <c r="W58" s="282">
        <v>291</v>
      </c>
      <c r="X58" s="282">
        <v>308</v>
      </c>
      <c r="Y58" s="283">
        <v>341</v>
      </c>
      <c r="AA58" s="282">
        <v>68</v>
      </c>
      <c r="AB58" s="282">
        <v>282</v>
      </c>
      <c r="AC58" s="282">
        <v>311</v>
      </c>
      <c r="AD58" s="282">
        <v>355</v>
      </c>
      <c r="AE58" s="283">
        <v>425</v>
      </c>
      <c r="AG58" s="282">
        <v>0</v>
      </c>
      <c r="AH58" s="282">
        <v>0</v>
      </c>
      <c r="AI58" s="282">
        <v>0</v>
      </c>
      <c r="AJ58" s="282">
        <v>0</v>
      </c>
      <c r="AK58" s="283">
        <v>0</v>
      </c>
      <c r="AL58" s="289"/>
      <c r="AM58" s="282">
        <v>0</v>
      </c>
      <c r="AN58" s="282">
        <v>0</v>
      </c>
      <c r="AO58" s="282">
        <v>0</v>
      </c>
      <c r="AP58" s="282">
        <v>0</v>
      </c>
      <c r="AQ58" s="283">
        <v>0</v>
      </c>
      <c r="AS58" s="282">
        <v>699</v>
      </c>
      <c r="AT58" s="282">
        <v>483.33000000000004</v>
      </c>
      <c r="AU58" s="282">
        <v>460.32999999999993</v>
      </c>
      <c r="AV58" s="282">
        <v>443.33000000000004</v>
      </c>
      <c r="AW58" s="283">
        <v>410.33000000000004</v>
      </c>
      <c r="AX58" s="284"/>
      <c r="AY58" s="282">
        <v>683.5</v>
      </c>
      <c r="AZ58" s="282">
        <v>468.83000000000004</v>
      </c>
      <c r="BA58" s="282">
        <v>440.33000000000004</v>
      </c>
      <c r="BB58" s="282">
        <v>395.83000000000004</v>
      </c>
      <c r="BC58" s="283">
        <v>325.83000000000004</v>
      </c>
    </row>
    <row r="59" spans="2:55" ht="13">
      <c r="B59" s="273" t="s">
        <v>61</v>
      </c>
      <c r="C59" s="286" t="s">
        <v>509</v>
      </c>
      <c r="D59" s="531">
        <v>915</v>
      </c>
      <c r="E59" s="532">
        <v>5.33</v>
      </c>
      <c r="F59" s="237" t="s">
        <v>193</v>
      </c>
      <c r="G59" s="314"/>
      <c r="I59" s="267">
        <v>39</v>
      </c>
      <c r="J59" s="267">
        <v>54</v>
      </c>
      <c r="K59" s="267">
        <v>268</v>
      </c>
      <c r="L59" s="267">
        <v>302</v>
      </c>
      <c r="M59" s="268">
        <v>335</v>
      </c>
      <c r="O59" s="267">
        <v>58</v>
      </c>
      <c r="P59" s="267">
        <v>83</v>
      </c>
      <c r="Q59" s="267">
        <v>304</v>
      </c>
      <c r="R59" s="267">
        <v>365</v>
      </c>
      <c r="S59" s="268">
        <v>445</v>
      </c>
      <c r="U59" s="267">
        <v>52</v>
      </c>
      <c r="V59" s="267">
        <v>372</v>
      </c>
      <c r="W59" s="267">
        <v>395</v>
      </c>
      <c r="X59" s="267">
        <v>412</v>
      </c>
      <c r="Y59" s="268">
        <v>445</v>
      </c>
      <c r="AA59" s="267">
        <v>68</v>
      </c>
      <c r="AB59" s="267">
        <v>386</v>
      </c>
      <c r="AC59" s="267">
        <v>415</v>
      </c>
      <c r="AD59" s="267">
        <v>459</v>
      </c>
      <c r="AE59" s="268">
        <v>529</v>
      </c>
      <c r="AG59" s="282">
        <v>0</v>
      </c>
      <c r="AH59" s="282">
        <v>0</v>
      </c>
      <c r="AI59" s="282">
        <v>0</v>
      </c>
      <c r="AJ59" s="282">
        <v>0</v>
      </c>
      <c r="AK59" s="283">
        <v>0</v>
      </c>
      <c r="AL59" s="289"/>
      <c r="AM59" s="282">
        <v>0</v>
      </c>
      <c r="AN59" s="282">
        <v>0</v>
      </c>
      <c r="AO59" s="282">
        <v>0</v>
      </c>
      <c r="AP59" s="282">
        <v>0</v>
      </c>
      <c r="AQ59" s="283">
        <v>0</v>
      </c>
      <c r="AS59" s="282">
        <v>863</v>
      </c>
      <c r="AT59" s="282">
        <v>543.33000000000004</v>
      </c>
      <c r="AU59" s="282">
        <v>520.32999999999993</v>
      </c>
      <c r="AV59" s="282">
        <v>503.33000000000004</v>
      </c>
      <c r="AW59" s="283">
        <v>470.33000000000004</v>
      </c>
      <c r="AX59" s="284"/>
      <c r="AY59" s="282">
        <v>847.5</v>
      </c>
      <c r="AZ59" s="282">
        <v>528.83000000000004</v>
      </c>
      <c r="BA59" s="282">
        <v>500.33000000000004</v>
      </c>
      <c r="BB59" s="282">
        <v>455.83000000000004</v>
      </c>
      <c r="BC59" s="283">
        <v>385.83000000000004</v>
      </c>
    </row>
    <row r="60" spans="2:55" ht="13">
      <c r="B60" s="280" t="s">
        <v>62</v>
      </c>
      <c r="C60" s="118" t="s">
        <v>631</v>
      </c>
      <c r="D60" s="533">
        <v>367</v>
      </c>
      <c r="E60" s="534">
        <v>3.75</v>
      </c>
      <c r="F60" s="239" t="s">
        <v>210</v>
      </c>
      <c r="G60" s="315"/>
      <c r="I60" s="265">
        <v>39</v>
      </c>
      <c r="J60" s="265">
        <v>54</v>
      </c>
      <c r="K60" s="265">
        <v>226</v>
      </c>
      <c r="L60" s="265">
        <v>260</v>
      </c>
      <c r="M60" s="266">
        <v>293</v>
      </c>
      <c r="O60" s="265">
        <v>58</v>
      </c>
      <c r="P60" s="265">
        <v>83</v>
      </c>
      <c r="Q60" s="265">
        <v>262</v>
      </c>
      <c r="R60" s="265">
        <v>323</v>
      </c>
      <c r="S60" s="266">
        <v>403</v>
      </c>
      <c r="U60" s="265">
        <v>88</v>
      </c>
      <c r="V60" s="265">
        <v>108</v>
      </c>
      <c r="W60" s="265">
        <v>131</v>
      </c>
      <c r="X60" s="265">
        <v>148</v>
      </c>
      <c r="Y60" s="266">
        <v>181</v>
      </c>
      <c r="AA60" s="265">
        <v>104</v>
      </c>
      <c r="AB60" s="265">
        <v>123</v>
      </c>
      <c r="AC60" s="265">
        <v>151</v>
      </c>
      <c r="AD60" s="265">
        <v>196</v>
      </c>
      <c r="AE60" s="266">
        <v>266</v>
      </c>
      <c r="AG60" s="282" t="e">
        <v>#N/A</v>
      </c>
      <c r="AH60" s="282" t="e">
        <v>#N/A</v>
      </c>
      <c r="AI60" s="282" t="e">
        <v>#N/A</v>
      </c>
      <c r="AJ60" s="282" t="e">
        <v>#N/A</v>
      </c>
      <c r="AK60" s="283" t="e">
        <v>#N/A</v>
      </c>
      <c r="AL60" s="289"/>
      <c r="AM60" s="282" t="e">
        <v>#N/A</v>
      </c>
      <c r="AN60" s="282" t="e">
        <v>#N/A</v>
      </c>
      <c r="AO60" s="282" t="e">
        <v>#N/A</v>
      </c>
      <c r="AP60" s="282" t="e">
        <v>#N/A</v>
      </c>
      <c r="AQ60" s="283" t="e">
        <v>#N/A</v>
      </c>
      <c r="AS60" s="282">
        <v>278.95</v>
      </c>
      <c r="AT60" s="282">
        <v>258.95</v>
      </c>
      <c r="AU60" s="282">
        <v>235.94999999999987</v>
      </c>
      <c r="AV60" s="282">
        <v>218.95</v>
      </c>
      <c r="AW60" s="283">
        <v>185.95</v>
      </c>
      <c r="AX60" s="284"/>
      <c r="AY60" s="282">
        <v>263.45</v>
      </c>
      <c r="AZ60" s="282">
        <v>244.45</v>
      </c>
      <c r="BA60" s="282">
        <v>215.95</v>
      </c>
      <c r="BB60" s="282">
        <v>171.45</v>
      </c>
      <c r="BC60" s="283">
        <v>101.44999999999999</v>
      </c>
    </row>
    <row r="61" spans="2:55" ht="13">
      <c r="B61" s="273" t="s">
        <v>62</v>
      </c>
      <c r="C61" s="286" t="s">
        <v>538</v>
      </c>
      <c r="D61" s="531">
        <v>623</v>
      </c>
      <c r="E61" s="532">
        <v>3.75</v>
      </c>
      <c r="F61" s="237" t="s">
        <v>191</v>
      </c>
      <c r="G61" s="314"/>
      <c r="I61" s="267">
        <v>39</v>
      </c>
      <c r="J61" s="267">
        <v>54</v>
      </c>
      <c r="K61" s="267">
        <v>183</v>
      </c>
      <c r="L61" s="267">
        <v>217</v>
      </c>
      <c r="M61" s="268">
        <v>250</v>
      </c>
      <c r="O61" s="267">
        <v>58</v>
      </c>
      <c r="P61" s="267">
        <v>83</v>
      </c>
      <c r="Q61" s="267">
        <v>219</v>
      </c>
      <c r="R61" s="267">
        <v>280</v>
      </c>
      <c r="S61" s="268">
        <v>360</v>
      </c>
      <c r="U61" s="267">
        <v>52</v>
      </c>
      <c r="V61" s="267">
        <v>139</v>
      </c>
      <c r="W61" s="267">
        <v>162</v>
      </c>
      <c r="X61" s="267">
        <v>179</v>
      </c>
      <c r="Y61" s="268">
        <v>212</v>
      </c>
      <c r="AA61" s="267">
        <v>68</v>
      </c>
      <c r="AB61" s="267">
        <v>154</v>
      </c>
      <c r="AC61" s="267">
        <v>182</v>
      </c>
      <c r="AD61" s="267">
        <v>227</v>
      </c>
      <c r="AE61" s="268">
        <v>297</v>
      </c>
      <c r="AG61" s="282">
        <v>0</v>
      </c>
      <c r="AH61" s="282">
        <v>0</v>
      </c>
      <c r="AI61" s="282">
        <v>0</v>
      </c>
      <c r="AJ61" s="282">
        <v>0</v>
      </c>
      <c r="AK61" s="283">
        <v>0</v>
      </c>
      <c r="AL61" s="289"/>
      <c r="AM61" s="282">
        <v>0</v>
      </c>
      <c r="AN61" s="282">
        <v>0</v>
      </c>
      <c r="AO61" s="282">
        <v>0</v>
      </c>
      <c r="AP61" s="282">
        <v>0</v>
      </c>
      <c r="AQ61" s="283">
        <v>0</v>
      </c>
      <c r="AS61" s="282">
        <v>571</v>
      </c>
      <c r="AT61" s="282">
        <v>483.99</v>
      </c>
      <c r="AU61" s="282">
        <v>460.9899999999999</v>
      </c>
      <c r="AV61" s="282">
        <v>443.99</v>
      </c>
      <c r="AW61" s="283">
        <v>410.99</v>
      </c>
      <c r="AX61" s="284"/>
      <c r="AY61" s="282">
        <v>555.5</v>
      </c>
      <c r="AZ61" s="282">
        <v>469.49</v>
      </c>
      <c r="BA61" s="282">
        <v>440.99</v>
      </c>
      <c r="BB61" s="282">
        <v>396.49</v>
      </c>
      <c r="BC61" s="283">
        <v>326.49</v>
      </c>
    </row>
    <row r="62" spans="2:55" ht="13">
      <c r="B62" s="280" t="s">
        <v>62</v>
      </c>
      <c r="C62" s="281" t="s">
        <v>539</v>
      </c>
      <c r="D62" s="529">
        <v>847</v>
      </c>
      <c r="E62" s="535">
        <v>3.75</v>
      </c>
      <c r="F62" s="239" t="s">
        <v>191</v>
      </c>
      <c r="G62" s="315"/>
      <c r="I62" s="282">
        <v>39</v>
      </c>
      <c r="J62" s="282">
        <v>54</v>
      </c>
      <c r="K62" s="282">
        <v>195</v>
      </c>
      <c r="L62" s="282">
        <v>229</v>
      </c>
      <c r="M62" s="283">
        <v>262</v>
      </c>
      <c r="O62" s="282">
        <v>58</v>
      </c>
      <c r="P62" s="282">
        <v>83</v>
      </c>
      <c r="Q62" s="282">
        <v>231</v>
      </c>
      <c r="R62" s="282">
        <v>292</v>
      </c>
      <c r="S62" s="283">
        <v>372</v>
      </c>
      <c r="U62" s="282">
        <v>52</v>
      </c>
      <c r="V62" s="282">
        <v>179</v>
      </c>
      <c r="W62" s="282">
        <v>202</v>
      </c>
      <c r="X62" s="282">
        <v>219</v>
      </c>
      <c r="Y62" s="283">
        <v>252</v>
      </c>
      <c r="AA62" s="282">
        <v>68</v>
      </c>
      <c r="AB62" s="282">
        <v>193</v>
      </c>
      <c r="AC62" s="282">
        <v>222</v>
      </c>
      <c r="AD62" s="282">
        <v>266</v>
      </c>
      <c r="AE62" s="283">
        <v>336</v>
      </c>
      <c r="AG62" s="282">
        <v>0</v>
      </c>
      <c r="AH62" s="282">
        <v>0</v>
      </c>
      <c r="AI62" s="282">
        <v>0</v>
      </c>
      <c r="AJ62" s="282">
        <v>0</v>
      </c>
      <c r="AK62" s="283">
        <v>0</v>
      </c>
      <c r="AL62" s="289"/>
      <c r="AM62" s="282">
        <v>0</v>
      </c>
      <c r="AN62" s="282">
        <v>0</v>
      </c>
      <c r="AO62" s="282">
        <v>0</v>
      </c>
      <c r="AP62" s="282">
        <v>0</v>
      </c>
      <c r="AQ62" s="283">
        <v>0</v>
      </c>
      <c r="AS62" s="282">
        <v>795</v>
      </c>
      <c r="AT62" s="282">
        <v>668.39</v>
      </c>
      <c r="AU62" s="282">
        <v>645.38999999999987</v>
      </c>
      <c r="AV62" s="282">
        <v>628.39</v>
      </c>
      <c r="AW62" s="283">
        <v>595.39</v>
      </c>
      <c r="AX62" s="284"/>
      <c r="AY62" s="282">
        <v>779.5</v>
      </c>
      <c r="AZ62" s="282">
        <v>653.89</v>
      </c>
      <c r="BA62" s="282">
        <v>625.39</v>
      </c>
      <c r="BB62" s="282">
        <v>580.89</v>
      </c>
      <c r="BC62" s="283">
        <v>510.89</v>
      </c>
    </row>
    <row r="63" spans="2:55" ht="13">
      <c r="B63" s="273" t="s">
        <v>62</v>
      </c>
      <c r="C63" s="286" t="s">
        <v>540</v>
      </c>
      <c r="D63" s="531">
        <v>1044</v>
      </c>
      <c r="E63" s="532">
        <v>3.75</v>
      </c>
      <c r="F63" s="237" t="s">
        <v>191</v>
      </c>
      <c r="G63" s="314"/>
      <c r="I63" s="267">
        <v>39</v>
      </c>
      <c r="J63" s="267">
        <v>54</v>
      </c>
      <c r="K63" s="267">
        <v>224</v>
      </c>
      <c r="L63" s="267">
        <v>258</v>
      </c>
      <c r="M63" s="268">
        <v>291</v>
      </c>
      <c r="O63" s="267">
        <v>58</v>
      </c>
      <c r="P63" s="267">
        <v>83</v>
      </c>
      <c r="Q63" s="267">
        <v>260</v>
      </c>
      <c r="R63" s="267">
        <v>321</v>
      </c>
      <c r="S63" s="268">
        <v>401</v>
      </c>
      <c r="U63" s="267">
        <v>52</v>
      </c>
      <c r="V63" s="267">
        <v>191</v>
      </c>
      <c r="W63" s="267">
        <v>214</v>
      </c>
      <c r="X63" s="267">
        <v>231</v>
      </c>
      <c r="Y63" s="268">
        <v>264</v>
      </c>
      <c r="AA63" s="267">
        <v>68</v>
      </c>
      <c r="AB63" s="267">
        <v>206</v>
      </c>
      <c r="AC63" s="267">
        <v>234</v>
      </c>
      <c r="AD63" s="267">
        <v>279</v>
      </c>
      <c r="AE63" s="268">
        <v>349</v>
      </c>
      <c r="AG63" s="282">
        <v>0</v>
      </c>
      <c r="AH63" s="282">
        <v>0</v>
      </c>
      <c r="AI63" s="282">
        <v>0</v>
      </c>
      <c r="AJ63" s="282">
        <v>0</v>
      </c>
      <c r="AK63" s="283">
        <v>0</v>
      </c>
      <c r="AL63" s="289"/>
      <c r="AM63" s="282">
        <v>0</v>
      </c>
      <c r="AN63" s="282">
        <v>0</v>
      </c>
      <c r="AO63" s="282">
        <v>0</v>
      </c>
      <c r="AP63" s="282">
        <v>0</v>
      </c>
      <c r="AQ63" s="283">
        <v>0</v>
      </c>
      <c r="AS63" s="282">
        <v>992</v>
      </c>
      <c r="AT63" s="282">
        <v>852.79</v>
      </c>
      <c r="AU63" s="282">
        <v>829.78999999999985</v>
      </c>
      <c r="AV63" s="282">
        <v>812.79</v>
      </c>
      <c r="AW63" s="283">
        <v>779.79</v>
      </c>
      <c r="AX63" s="284"/>
      <c r="AY63" s="282">
        <v>976.5</v>
      </c>
      <c r="AZ63" s="282">
        <v>838.29</v>
      </c>
      <c r="BA63" s="282">
        <v>809.79</v>
      </c>
      <c r="BB63" s="282">
        <v>765.29</v>
      </c>
      <c r="BC63" s="283">
        <v>695.29</v>
      </c>
    </row>
    <row r="64" spans="2:55" ht="13">
      <c r="B64" s="280" t="s">
        <v>62</v>
      </c>
      <c r="C64" s="281" t="s">
        <v>330</v>
      </c>
      <c r="D64" s="529">
        <v>920</v>
      </c>
      <c r="E64" s="535">
        <v>3.25</v>
      </c>
      <c r="F64" s="239" t="s">
        <v>190</v>
      </c>
      <c r="G64" s="315"/>
      <c r="I64" s="265">
        <v>39</v>
      </c>
      <c r="J64" s="265">
        <v>54</v>
      </c>
      <c r="K64" s="265">
        <v>238</v>
      </c>
      <c r="L64" s="265">
        <v>272</v>
      </c>
      <c r="M64" s="266">
        <v>305</v>
      </c>
      <c r="O64" s="265">
        <v>58</v>
      </c>
      <c r="P64" s="265">
        <v>83</v>
      </c>
      <c r="Q64" s="265">
        <v>274</v>
      </c>
      <c r="R64" s="265">
        <v>335</v>
      </c>
      <c r="S64" s="266">
        <v>415</v>
      </c>
      <c r="U64" s="265">
        <v>52</v>
      </c>
      <c r="V64" s="265">
        <v>397</v>
      </c>
      <c r="W64" s="265">
        <v>420</v>
      </c>
      <c r="X64" s="265">
        <v>437</v>
      </c>
      <c r="Y64" s="266">
        <v>470</v>
      </c>
      <c r="AA64" s="265">
        <v>68</v>
      </c>
      <c r="AB64" s="265">
        <v>411</v>
      </c>
      <c r="AC64" s="265">
        <v>435</v>
      </c>
      <c r="AD64" s="265">
        <v>474</v>
      </c>
      <c r="AE64" s="266">
        <v>539</v>
      </c>
      <c r="AG64" s="282">
        <v>0</v>
      </c>
      <c r="AH64" s="282">
        <v>0</v>
      </c>
      <c r="AI64" s="282">
        <v>0</v>
      </c>
      <c r="AJ64" s="282">
        <v>0</v>
      </c>
      <c r="AK64" s="283">
        <v>0</v>
      </c>
      <c r="AL64" s="289"/>
      <c r="AM64" s="282">
        <v>0</v>
      </c>
      <c r="AN64" s="282">
        <v>0</v>
      </c>
      <c r="AO64" s="282">
        <v>0</v>
      </c>
      <c r="AP64" s="282">
        <v>0</v>
      </c>
      <c r="AQ64" s="283">
        <v>0</v>
      </c>
      <c r="AS64" s="282">
        <v>868</v>
      </c>
      <c r="AT64" s="282">
        <v>523.25</v>
      </c>
      <c r="AU64" s="282">
        <v>500.24999999999989</v>
      </c>
      <c r="AV64" s="282">
        <v>483.25</v>
      </c>
      <c r="AW64" s="283">
        <v>450.25</v>
      </c>
      <c r="AX64" s="284"/>
      <c r="AY64" s="282">
        <v>852.5</v>
      </c>
      <c r="AZ64" s="282">
        <v>508.75</v>
      </c>
      <c r="BA64" s="282">
        <v>485.25</v>
      </c>
      <c r="BB64" s="282">
        <v>445.75</v>
      </c>
      <c r="BC64" s="283">
        <v>380.75</v>
      </c>
    </row>
    <row r="65" spans="2:55" ht="13">
      <c r="B65" s="273" t="s">
        <v>62</v>
      </c>
      <c r="C65" s="286" t="s">
        <v>424</v>
      </c>
      <c r="D65" s="531">
        <v>883</v>
      </c>
      <c r="E65" s="532">
        <v>3.25</v>
      </c>
      <c r="F65" s="237" t="s">
        <v>190</v>
      </c>
      <c r="G65" s="314"/>
      <c r="I65" s="267">
        <v>39</v>
      </c>
      <c r="J65" s="267">
        <v>54</v>
      </c>
      <c r="K65" s="267">
        <v>224</v>
      </c>
      <c r="L65" s="267">
        <v>258</v>
      </c>
      <c r="M65" s="268">
        <v>291</v>
      </c>
      <c r="O65" s="267">
        <v>58</v>
      </c>
      <c r="P65" s="267">
        <v>83</v>
      </c>
      <c r="Q65" s="267">
        <v>260</v>
      </c>
      <c r="R65" s="267">
        <v>321</v>
      </c>
      <c r="S65" s="268">
        <v>401</v>
      </c>
      <c r="U65" s="267">
        <v>52</v>
      </c>
      <c r="V65" s="267">
        <v>306</v>
      </c>
      <c r="W65" s="267">
        <v>329</v>
      </c>
      <c r="X65" s="267">
        <v>346</v>
      </c>
      <c r="Y65" s="268">
        <v>379</v>
      </c>
      <c r="AA65" s="267">
        <v>68</v>
      </c>
      <c r="AB65" s="267">
        <v>320</v>
      </c>
      <c r="AC65" s="267">
        <v>344</v>
      </c>
      <c r="AD65" s="267">
        <v>383</v>
      </c>
      <c r="AE65" s="268">
        <v>448</v>
      </c>
      <c r="AG65" s="282">
        <v>0</v>
      </c>
      <c r="AH65" s="282">
        <v>-38</v>
      </c>
      <c r="AI65" s="282">
        <v>-38</v>
      </c>
      <c r="AJ65" s="282">
        <v>-38</v>
      </c>
      <c r="AK65" s="283">
        <v>-38</v>
      </c>
      <c r="AL65" s="289"/>
      <c r="AM65" s="282">
        <v>0</v>
      </c>
      <c r="AN65" s="282">
        <v>-38</v>
      </c>
      <c r="AO65" s="282">
        <v>-38</v>
      </c>
      <c r="AP65" s="282">
        <v>-38</v>
      </c>
      <c r="AQ65" s="283">
        <v>-38</v>
      </c>
      <c r="AS65" s="282">
        <v>831</v>
      </c>
      <c r="AT65" s="282">
        <v>577.25</v>
      </c>
      <c r="AU65" s="282">
        <v>554.24999999999989</v>
      </c>
      <c r="AV65" s="282">
        <v>537.25</v>
      </c>
      <c r="AW65" s="283">
        <v>504.25</v>
      </c>
      <c r="AX65" s="284"/>
      <c r="AY65" s="282">
        <v>815.5</v>
      </c>
      <c r="AZ65" s="282">
        <v>562.75</v>
      </c>
      <c r="BA65" s="282">
        <v>539.25</v>
      </c>
      <c r="BB65" s="282">
        <v>499.75</v>
      </c>
      <c r="BC65" s="283">
        <v>434.75</v>
      </c>
    </row>
    <row r="66" spans="2:55" ht="13">
      <c r="B66" s="280" t="s">
        <v>62</v>
      </c>
      <c r="C66" s="281" t="s">
        <v>589</v>
      </c>
      <c r="D66" s="529">
        <v>883</v>
      </c>
      <c r="E66" s="535">
        <v>3.25</v>
      </c>
      <c r="F66" s="239" t="s">
        <v>190</v>
      </c>
      <c r="G66" s="315"/>
      <c r="I66" s="282">
        <v>39</v>
      </c>
      <c r="J66" s="282">
        <v>54</v>
      </c>
      <c r="K66" s="282">
        <v>224</v>
      </c>
      <c r="L66" s="282">
        <v>258</v>
      </c>
      <c r="M66" s="283">
        <v>291</v>
      </c>
      <c r="O66" s="282">
        <v>58</v>
      </c>
      <c r="P66" s="282">
        <v>83</v>
      </c>
      <c r="Q66" s="282">
        <v>260</v>
      </c>
      <c r="R66" s="282">
        <v>321</v>
      </c>
      <c r="S66" s="283">
        <v>401</v>
      </c>
      <c r="U66" s="282">
        <v>52</v>
      </c>
      <c r="V66" s="282">
        <v>230</v>
      </c>
      <c r="W66" s="282">
        <v>253</v>
      </c>
      <c r="X66" s="282">
        <v>270</v>
      </c>
      <c r="Y66" s="283">
        <v>303</v>
      </c>
      <c r="AA66" s="282">
        <v>68</v>
      </c>
      <c r="AB66" s="282">
        <v>244</v>
      </c>
      <c r="AC66" s="282">
        <v>268</v>
      </c>
      <c r="AD66" s="282">
        <v>307</v>
      </c>
      <c r="AE66" s="283">
        <v>372</v>
      </c>
      <c r="AG66" s="282">
        <v>0</v>
      </c>
      <c r="AH66" s="282">
        <v>-38</v>
      </c>
      <c r="AI66" s="282">
        <v>-38</v>
      </c>
      <c r="AJ66" s="282">
        <v>-38</v>
      </c>
      <c r="AK66" s="283">
        <v>-38</v>
      </c>
      <c r="AL66" s="289"/>
      <c r="AM66" s="282">
        <v>0</v>
      </c>
      <c r="AN66" s="282">
        <v>-38</v>
      </c>
      <c r="AO66" s="282">
        <v>-38</v>
      </c>
      <c r="AP66" s="282">
        <v>-38</v>
      </c>
      <c r="AQ66" s="283">
        <v>-38</v>
      </c>
      <c r="AS66" s="282">
        <v>831</v>
      </c>
      <c r="AT66" s="282">
        <v>653.25</v>
      </c>
      <c r="AU66" s="282">
        <v>630.24999999999989</v>
      </c>
      <c r="AV66" s="282">
        <v>613.25</v>
      </c>
      <c r="AW66" s="283">
        <v>580.25</v>
      </c>
      <c r="AX66" s="284"/>
      <c r="AY66" s="282">
        <v>815.5</v>
      </c>
      <c r="AZ66" s="282">
        <v>638.75</v>
      </c>
      <c r="BA66" s="282">
        <v>615.25</v>
      </c>
      <c r="BB66" s="282">
        <v>575.75</v>
      </c>
      <c r="BC66" s="283">
        <v>510.75</v>
      </c>
    </row>
    <row r="67" spans="2:55" ht="13">
      <c r="B67" s="273" t="s">
        <v>62</v>
      </c>
      <c r="C67" s="286" t="s">
        <v>590</v>
      </c>
      <c r="D67" s="531">
        <v>983</v>
      </c>
      <c r="E67" s="532">
        <v>3.25</v>
      </c>
      <c r="F67" s="237" t="s">
        <v>190</v>
      </c>
      <c r="G67" s="314"/>
      <c r="I67" s="267">
        <v>39</v>
      </c>
      <c r="J67" s="267">
        <v>54</v>
      </c>
      <c r="K67" s="267">
        <v>198</v>
      </c>
      <c r="L67" s="267">
        <v>232</v>
      </c>
      <c r="M67" s="268">
        <v>265</v>
      </c>
      <c r="O67" s="267">
        <v>58</v>
      </c>
      <c r="P67" s="267">
        <v>83</v>
      </c>
      <c r="Q67" s="267">
        <v>234</v>
      </c>
      <c r="R67" s="267">
        <v>295</v>
      </c>
      <c r="S67" s="268">
        <v>375</v>
      </c>
      <c r="U67" s="267">
        <v>52</v>
      </c>
      <c r="V67" s="267">
        <v>230</v>
      </c>
      <c r="W67" s="267">
        <v>253</v>
      </c>
      <c r="X67" s="267">
        <v>270</v>
      </c>
      <c r="Y67" s="268">
        <v>303</v>
      </c>
      <c r="AA67" s="267">
        <v>68</v>
      </c>
      <c r="AB67" s="267">
        <v>244</v>
      </c>
      <c r="AC67" s="267">
        <v>268</v>
      </c>
      <c r="AD67" s="267">
        <v>307</v>
      </c>
      <c r="AE67" s="268">
        <v>372</v>
      </c>
      <c r="AG67" s="282">
        <v>0</v>
      </c>
      <c r="AH67" s="282">
        <v>-38</v>
      </c>
      <c r="AI67" s="282">
        <v>-38</v>
      </c>
      <c r="AJ67" s="282">
        <v>-38</v>
      </c>
      <c r="AK67" s="283">
        <v>-38</v>
      </c>
      <c r="AL67" s="289"/>
      <c r="AM67" s="282">
        <v>0</v>
      </c>
      <c r="AN67" s="282">
        <v>-38</v>
      </c>
      <c r="AO67" s="282">
        <v>-38</v>
      </c>
      <c r="AP67" s="282">
        <v>-38</v>
      </c>
      <c r="AQ67" s="283">
        <v>-38</v>
      </c>
      <c r="AS67" s="282">
        <v>931</v>
      </c>
      <c r="AT67" s="282">
        <v>753.25</v>
      </c>
      <c r="AU67" s="282">
        <v>730.24999999999989</v>
      </c>
      <c r="AV67" s="282">
        <v>713.25</v>
      </c>
      <c r="AW67" s="283">
        <v>680.25</v>
      </c>
      <c r="AX67" s="284"/>
      <c r="AY67" s="282">
        <v>915.5</v>
      </c>
      <c r="AZ67" s="282">
        <v>738.75</v>
      </c>
      <c r="BA67" s="282">
        <v>715.25</v>
      </c>
      <c r="BB67" s="282">
        <v>675.75</v>
      </c>
      <c r="BC67" s="283">
        <v>610.75</v>
      </c>
    </row>
    <row r="68" spans="2:55" ht="13">
      <c r="B68" s="280" t="s">
        <v>62</v>
      </c>
      <c r="C68" s="281" t="s">
        <v>591</v>
      </c>
      <c r="D68" s="529">
        <v>998</v>
      </c>
      <c r="E68" s="535">
        <v>3.25</v>
      </c>
      <c r="F68" s="239" t="s">
        <v>190</v>
      </c>
      <c r="G68" s="315"/>
      <c r="I68" s="265">
        <v>39</v>
      </c>
      <c r="J68" s="265">
        <v>54</v>
      </c>
      <c r="K68" s="265">
        <v>198</v>
      </c>
      <c r="L68" s="265">
        <v>232</v>
      </c>
      <c r="M68" s="266">
        <v>265</v>
      </c>
      <c r="O68" s="265">
        <v>58</v>
      </c>
      <c r="P68" s="265">
        <v>83</v>
      </c>
      <c r="Q68" s="265">
        <v>234</v>
      </c>
      <c r="R68" s="265">
        <v>295</v>
      </c>
      <c r="S68" s="266">
        <v>375</v>
      </c>
      <c r="U68" s="265">
        <v>52</v>
      </c>
      <c r="V68" s="265">
        <v>230</v>
      </c>
      <c r="W68" s="265">
        <v>253</v>
      </c>
      <c r="X68" s="265">
        <v>270</v>
      </c>
      <c r="Y68" s="266">
        <v>303</v>
      </c>
      <c r="AA68" s="265">
        <v>68</v>
      </c>
      <c r="AB68" s="265">
        <v>244</v>
      </c>
      <c r="AC68" s="265">
        <v>268</v>
      </c>
      <c r="AD68" s="265">
        <v>307</v>
      </c>
      <c r="AE68" s="266">
        <v>372</v>
      </c>
      <c r="AG68" s="282">
        <v>0</v>
      </c>
      <c r="AH68" s="282">
        <v>-38</v>
      </c>
      <c r="AI68" s="282">
        <v>-38</v>
      </c>
      <c r="AJ68" s="282">
        <v>-38</v>
      </c>
      <c r="AK68" s="283">
        <v>-38</v>
      </c>
      <c r="AL68" s="289"/>
      <c r="AM68" s="282">
        <v>0</v>
      </c>
      <c r="AN68" s="282">
        <v>-38</v>
      </c>
      <c r="AO68" s="282">
        <v>-38</v>
      </c>
      <c r="AP68" s="282">
        <v>-38</v>
      </c>
      <c r="AQ68" s="283">
        <v>-38</v>
      </c>
      <c r="AS68" s="282">
        <v>946</v>
      </c>
      <c r="AT68" s="282">
        <v>768.25</v>
      </c>
      <c r="AU68" s="282">
        <v>745.24999999999989</v>
      </c>
      <c r="AV68" s="282">
        <v>728.25</v>
      </c>
      <c r="AW68" s="283">
        <v>695.25</v>
      </c>
      <c r="AX68" s="284"/>
      <c r="AY68" s="282">
        <v>930.5</v>
      </c>
      <c r="AZ68" s="282">
        <v>753.75</v>
      </c>
      <c r="BA68" s="282">
        <v>730.25</v>
      </c>
      <c r="BB68" s="282">
        <v>690.75</v>
      </c>
      <c r="BC68" s="283">
        <v>625.75</v>
      </c>
    </row>
    <row r="69" spans="2:55" ht="13">
      <c r="B69" s="273" t="s">
        <v>62</v>
      </c>
      <c r="C69" s="286" t="s">
        <v>592</v>
      </c>
      <c r="D69" s="531">
        <v>1097</v>
      </c>
      <c r="E69" s="532">
        <v>3.25</v>
      </c>
      <c r="F69" s="237" t="s">
        <v>190</v>
      </c>
      <c r="G69" s="314"/>
      <c r="I69" s="267">
        <v>39</v>
      </c>
      <c r="J69" s="267">
        <v>54</v>
      </c>
      <c r="K69" s="267">
        <v>198</v>
      </c>
      <c r="L69" s="267">
        <v>232</v>
      </c>
      <c r="M69" s="268">
        <v>265</v>
      </c>
      <c r="O69" s="267">
        <v>58</v>
      </c>
      <c r="P69" s="267">
        <v>83</v>
      </c>
      <c r="Q69" s="267">
        <v>234</v>
      </c>
      <c r="R69" s="267">
        <v>295</v>
      </c>
      <c r="S69" s="268">
        <v>375</v>
      </c>
      <c r="U69" s="267">
        <v>52</v>
      </c>
      <c r="V69" s="267">
        <v>230</v>
      </c>
      <c r="W69" s="267">
        <v>253</v>
      </c>
      <c r="X69" s="267">
        <v>270</v>
      </c>
      <c r="Y69" s="268">
        <v>303</v>
      </c>
      <c r="AA69" s="267">
        <v>68</v>
      </c>
      <c r="AB69" s="267">
        <v>244</v>
      </c>
      <c r="AC69" s="267">
        <v>268</v>
      </c>
      <c r="AD69" s="267">
        <v>307</v>
      </c>
      <c r="AE69" s="268">
        <v>372</v>
      </c>
      <c r="AG69" s="282">
        <v>0</v>
      </c>
      <c r="AH69" s="282">
        <v>-38</v>
      </c>
      <c r="AI69" s="282">
        <v>-38</v>
      </c>
      <c r="AJ69" s="282">
        <v>-38</v>
      </c>
      <c r="AK69" s="283">
        <v>-38</v>
      </c>
      <c r="AL69" s="289"/>
      <c r="AM69" s="282">
        <v>0</v>
      </c>
      <c r="AN69" s="282">
        <v>-38</v>
      </c>
      <c r="AO69" s="282">
        <v>-38</v>
      </c>
      <c r="AP69" s="282">
        <v>-38</v>
      </c>
      <c r="AQ69" s="283">
        <v>-38</v>
      </c>
      <c r="AS69" s="282">
        <v>1045</v>
      </c>
      <c r="AT69" s="282">
        <v>867.25</v>
      </c>
      <c r="AU69" s="282">
        <v>844.24999999999989</v>
      </c>
      <c r="AV69" s="282">
        <v>827.25</v>
      </c>
      <c r="AW69" s="283">
        <v>794.25</v>
      </c>
      <c r="AX69" s="284"/>
      <c r="AY69" s="282">
        <v>1029.5</v>
      </c>
      <c r="AZ69" s="282">
        <v>852.75</v>
      </c>
      <c r="BA69" s="282">
        <v>829.25</v>
      </c>
      <c r="BB69" s="282">
        <v>789.75</v>
      </c>
      <c r="BC69" s="283">
        <v>724.75</v>
      </c>
    </row>
    <row r="70" spans="2:55" ht="13">
      <c r="B70" s="280" t="s">
        <v>62</v>
      </c>
      <c r="C70" s="281" t="s">
        <v>593</v>
      </c>
      <c r="D70" s="529">
        <v>1074</v>
      </c>
      <c r="E70" s="535">
        <v>3.25</v>
      </c>
      <c r="F70" s="239" t="s">
        <v>190</v>
      </c>
      <c r="G70" s="315"/>
      <c r="I70" s="282">
        <v>39</v>
      </c>
      <c r="J70" s="282">
        <v>54</v>
      </c>
      <c r="K70" s="282">
        <v>198</v>
      </c>
      <c r="L70" s="282">
        <v>232</v>
      </c>
      <c r="M70" s="283">
        <v>265</v>
      </c>
      <c r="O70" s="282">
        <v>58</v>
      </c>
      <c r="P70" s="282">
        <v>83</v>
      </c>
      <c r="Q70" s="282">
        <v>234</v>
      </c>
      <c r="R70" s="282">
        <v>295</v>
      </c>
      <c r="S70" s="283">
        <v>375</v>
      </c>
      <c r="U70" s="282">
        <v>52</v>
      </c>
      <c r="V70" s="282">
        <v>232</v>
      </c>
      <c r="W70" s="282">
        <v>255</v>
      </c>
      <c r="X70" s="282">
        <v>272</v>
      </c>
      <c r="Y70" s="283">
        <v>305</v>
      </c>
      <c r="AA70" s="282">
        <v>68</v>
      </c>
      <c r="AB70" s="282">
        <v>246</v>
      </c>
      <c r="AC70" s="282">
        <v>270</v>
      </c>
      <c r="AD70" s="282">
        <v>309</v>
      </c>
      <c r="AE70" s="283">
        <v>374</v>
      </c>
      <c r="AG70" s="282">
        <v>0</v>
      </c>
      <c r="AH70" s="282">
        <v>-40</v>
      </c>
      <c r="AI70" s="282">
        <v>-40</v>
      </c>
      <c r="AJ70" s="282">
        <v>-40</v>
      </c>
      <c r="AK70" s="283">
        <v>-40</v>
      </c>
      <c r="AL70" s="289"/>
      <c r="AM70" s="282">
        <v>0</v>
      </c>
      <c r="AN70" s="282">
        <v>-40</v>
      </c>
      <c r="AO70" s="282">
        <v>-40</v>
      </c>
      <c r="AP70" s="282">
        <v>-40</v>
      </c>
      <c r="AQ70" s="283">
        <v>-40</v>
      </c>
      <c r="AS70" s="282">
        <v>1022</v>
      </c>
      <c r="AT70" s="282">
        <v>842.25</v>
      </c>
      <c r="AU70" s="282">
        <v>819.24999999999989</v>
      </c>
      <c r="AV70" s="282">
        <v>802.25</v>
      </c>
      <c r="AW70" s="283">
        <v>769.25</v>
      </c>
      <c r="AX70" s="284"/>
      <c r="AY70" s="282">
        <v>1006.5</v>
      </c>
      <c r="AZ70" s="282">
        <v>827.75</v>
      </c>
      <c r="BA70" s="282">
        <v>804.25</v>
      </c>
      <c r="BB70" s="282">
        <v>764.75</v>
      </c>
      <c r="BC70" s="283">
        <v>699.75</v>
      </c>
    </row>
    <row r="71" spans="2:55" ht="13">
      <c r="B71" s="273" t="s">
        <v>62</v>
      </c>
      <c r="C71" s="286" t="s">
        <v>594</v>
      </c>
      <c r="D71" s="531">
        <v>1174</v>
      </c>
      <c r="E71" s="532">
        <v>3.25</v>
      </c>
      <c r="F71" s="237" t="s">
        <v>190</v>
      </c>
      <c r="G71" s="314"/>
      <c r="I71" s="267">
        <v>39</v>
      </c>
      <c r="J71" s="267">
        <v>54</v>
      </c>
      <c r="K71" s="267">
        <v>78</v>
      </c>
      <c r="L71" s="267">
        <v>112</v>
      </c>
      <c r="M71" s="268">
        <v>145</v>
      </c>
      <c r="O71" s="267">
        <v>58</v>
      </c>
      <c r="P71" s="267">
        <v>83</v>
      </c>
      <c r="Q71" s="267">
        <v>115</v>
      </c>
      <c r="R71" s="267">
        <v>175</v>
      </c>
      <c r="S71" s="268">
        <v>255</v>
      </c>
      <c r="U71" s="267">
        <v>52</v>
      </c>
      <c r="V71" s="267">
        <v>232</v>
      </c>
      <c r="W71" s="267">
        <v>255</v>
      </c>
      <c r="X71" s="267">
        <v>272</v>
      </c>
      <c r="Y71" s="268">
        <v>305</v>
      </c>
      <c r="AA71" s="267">
        <v>68</v>
      </c>
      <c r="AB71" s="267">
        <v>246</v>
      </c>
      <c r="AC71" s="267">
        <v>270</v>
      </c>
      <c r="AD71" s="267">
        <v>309</v>
      </c>
      <c r="AE71" s="268">
        <v>374</v>
      </c>
      <c r="AG71" s="282">
        <v>0</v>
      </c>
      <c r="AH71" s="282">
        <v>-40</v>
      </c>
      <c r="AI71" s="282">
        <v>-40</v>
      </c>
      <c r="AJ71" s="282">
        <v>-40</v>
      </c>
      <c r="AK71" s="283">
        <v>-40</v>
      </c>
      <c r="AL71" s="289"/>
      <c r="AM71" s="282">
        <v>0</v>
      </c>
      <c r="AN71" s="282">
        <v>-40</v>
      </c>
      <c r="AO71" s="282">
        <v>-40</v>
      </c>
      <c r="AP71" s="282">
        <v>-40</v>
      </c>
      <c r="AQ71" s="283">
        <v>-40</v>
      </c>
      <c r="AS71" s="282">
        <v>1122</v>
      </c>
      <c r="AT71" s="282">
        <v>942.25</v>
      </c>
      <c r="AU71" s="282">
        <v>919.25</v>
      </c>
      <c r="AV71" s="282">
        <v>902.25</v>
      </c>
      <c r="AW71" s="283">
        <v>869.25</v>
      </c>
      <c r="AX71" s="284"/>
      <c r="AY71" s="282">
        <v>1106.5</v>
      </c>
      <c r="AZ71" s="282">
        <v>927.75</v>
      </c>
      <c r="BA71" s="282">
        <v>904.25</v>
      </c>
      <c r="BB71" s="282">
        <v>864.75</v>
      </c>
      <c r="BC71" s="283">
        <v>799.75</v>
      </c>
    </row>
    <row r="72" spans="2:55" ht="13">
      <c r="B72" s="280" t="s">
        <v>62</v>
      </c>
      <c r="C72" s="281" t="s">
        <v>595</v>
      </c>
      <c r="D72" s="529">
        <v>1265</v>
      </c>
      <c r="E72" s="535">
        <v>3.25</v>
      </c>
      <c r="F72" s="239" t="s">
        <v>190</v>
      </c>
      <c r="G72" s="315"/>
      <c r="I72" s="265">
        <v>39</v>
      </c>
      <c r="J72" s="265">
        <v>54</v>
      </c>
      <c r="K72" s="265">
        <v>145</v>
      </c>
      <c r="L72" s="265">
        <v>179</v>
      </c>
      <c r="M72" s="266">
        <v>212</v>
      </c>
      <c r="O72" s="265">
        <v>58</v>
      </c>
      <c r="P72" s="265">
        <v>83</v>
      </c>
      <c r="Q72" s="265">
        <v>181</v>
      </c>
      <c r="R72" s="265">
        <v>242</v>
      </c>
      <c r="S72" s="266">
        <v>322</v>
      </c>
      <c r="U72" s="265">
        <v>52</v>
      </c>
      <c r="V72" s="265">
        <v>232</v>
      </c>
      <c r="W72" s="265">
        <v>255</v>
      </c>
      <c r="X72" s="265">
        <v>272</v>
      </c>
      <c r="Y72" s="266">
        <v>305</v>
      </c>
      <c r="AA72" s="265">
        <v>68</v>
      </c>
      <c r="AB72" s="265">
        <v>246</v>
      </c>
      <c r="AC72" s="265">
        <v>270</v>
      </c>
      <c r="AD72" s="265">
        <v>309</v>
      </c>
      <c r="AE72" s="266">
        <v>374</v>
      </c>
      <c r="AG72" s="282">
        <v>0</v>
      </c>
      <c r="AH72" s="282">
        <v>-40</v>
      </c>
      <c r="AI72" s="282">
        <v>-40</v>
      </c>
      <c r="AJ72" s="282">
        <v>-40</v>
      </c>
      <c r="AK72" s="283">
        <v>-40</v>
      </c>
      <c r="AL72" s="289"/>
      <c r="AM72" s="282">
        <v>0</v>
      </c>
      <c r="AN72" s="282">
        <v>-40</v>
      </c>
      <c r="AO72" s="282">
        <v>-40</v>
      </c>
      <c r="AP72" s="282">
        <v>-40</v>
      </c>
      <c r="AQ72" s="283">
        <v>-40</v>
      </c>
      <c r="AS72" s="282">
        <v>1213</v>
      </c>
      <c r="AT72" s="282">
        <v>1033.25</v>
      </c>
      <c r="AU72" s="282">
        <v>1010.25</v>
      </c>
      <c r="AV72" s="282">
        <v>993.25</v>
      </c>
      <c r="AW72" s="283">
        <v>960.25</v>
      </c>
      <c r="AX72" s="284"/>
      <c r="AY72" s="282">
        <v>1197.5</v>
      </c>
      <c r="AZ72" s="282">
        <v>1018.75</v>
      </c>
      <c r="BA72" s="282">
        <v>995.25</v>
      </c>
      <c r="BB72" s="282">
        <v>955.75</v>
      </c>
      <c r="BC72" s="283">
        <v>890.75</v>
      </c>
    </row>
    <row r="73" spans="2:55" ht="13">
      <c r="B73" s="273" t="s">
        <v>62</v>
      </c>
      <c r="C73" s="286" t="s">
        <v>596</v>
      </c>
      <c r="D73" s="531">
        <v>1456</v>
      </c>
      <c r="E73" s="532">
        <v>3.25</v>
      </c>
      <c r="F73" s="237" t="s">
        <v>190</v>
      </c>
      <c r="G73" s="314"/>
      <c r="I73" s="267">
        <v>39</v>
      </c>
      <c r="J73" s="267">
        <v>54</v>
      </c>
      <c r="K73" s="267">
        <v>78</v>
      </c>
      <c r="L73" s="267">
        <v>112</v>
      </c>
      <c r="M73" s="268">
        <v>145</v>
      </c>
      <c r="O73" s="267">
        <v>58</v>
      </c>
      <c r="P73" s="267">
        <v>83</v>
      </c>
      <c r="Q73" s="267">
        <v>115</v>
      </c>
      <c r="R73" s="267">
        <v>175</v>
      </c>
      <c r="S73" s="268">
        <v>255</v>
      </c>
      <c r="U73" s="267">
        <v>52</v>
      </c>
      <c r="V73" s="267">
        <v>232</v>
      </c>
      <c r="W73" s="267">
        <v>255</v>
      </c>
      <c r="X73" s="267">
        <v>272</v>
      </c>
      <c r="Y73" s="268">
        <v>305</v>
      </c>
      <c r="AA73" s="267">
        <v>68</v>
      </c>
      <c r="AB73" s="267">
        <v>246</v>
      </c>
      <c r="AC73" s="267">
        <v>270</v>
      </c>
      <c r="AD73" s="267">
        <v>309</v>
      </c>
      <c r="AE73" s="268">
        <v>374</v>
      </c>
      <c r="AG73" s="282">
        <v>0</v>
      </c>
      <c r="AH73" s="282">
        <v>-40</v>
      </c>
      <c r="AI73" s="282">
        <v>-40</v>
      </c>
      <c r="AJ73" s="282">
        <v>-40</v>
      </c>
      <c r="AK73" s="283">
        <v>-40</v>
      </c>
      <c r="AL73" s="289"/>
      <c r="AM73" s="282">
        <v>0</v>
      </c>
      <c r="AN73" s="282">
        <v>-40</v>
      </c>
      <c r="AO73" s="282">
        <v>-40</v>
      </c>
      <c r="AP73" s="282">
        <v>-40</v>
      </c>
      <c r="AQ73" s="283">
        <v>-40</v>
      </c>
      <c r="AS73" s="282">
        <v>1404</v>
      </c>
      <c r="AT73" s="282">
        <v>1224.25</v>
      </c>
      <c r="AU73" s="282">
        <v>1201.25</v>
      </c>
      <c r="AV73" s="282">
        <v>1184.25</v>
      </c>
      <c r="AW73" s="283">
        <v>1151.25</v>
      </c>
      <c r="AX73" s="284"/>
      <c r="AY73" s="282">
        <v>1388.5</v>
      </c>
      <c r="AZ73" s="282">
        <v>1209.75</v>
      </c>
      <c r="BA73" s="282">
        <v>1186.25</v>
      </c>
      <c r="BB73" s="282">
        <v>1146.75</v>
      </c>
      <c r="BC73" s="283">
        <v>1081.75</v>
      </c>
    </row>
    <row r="74" spans="2:55" ht="13">
      <c r="B74" s="280" t="s">
        <v>167</v>
      </c>
      <c r="C74" s="281" t="s">
        <v>425</v>
      </c>
      <c r="D74" s="529">
        <v>462</v>
      </c>
      <c r="E74" s="535">
        <v>5.33</v>
      </c>
      <c r="F74" s="239" t="s">
        <v>193</v>
      </c>
      <c r="G74" s="315"/>
      <c r="I74" s="282">
        <v>39</v>
      </c>
      <c r="J74" s="282">
        <v>54</v>
      </c>
      <c r="K74" s="282">
        <v>125</v>
      </c>
      <c r="L74" s="282">
        <v>159</v>
      </c>
      <c r="M74" s="283">
        <v>192</v>
      </c>
      <c r="O74" s="282">
        <v>58</v>
      </c>
      <c r="P74" s="282">
        <v>83</v>
      </c>
      <c r="Q74" s="282">
        <v>161</v>
      </c>
      <c r="R74" s="282">
        <v>222</v>
      </c>
      <c r="S74" s="283">
        <v>302</v>
      </c>
      <c r="U74" s="282">
        <v>129</v>
      </c>
      <c r="V74" s="282">
        <v>149</v>
      </c>
      <c r="W74" s="282">
        <v>172</v>
      </c>
      <c r="X74" s="282">
        <v>189</v>
      </c>
      <c r="Y74" s="283">
        <v>222</v>
      </c>
      <c r="AA74" s="282">
        <v>144</v>
      </c>
      <c r="AB74" s="282">
        <v>163</v>
      </c>
      <c r="AC74" s="282">
        <v>192</v>
      </c>
      <c r="AD74" s="282">
        <v>236</v>
      </c>
      <c r="AE74" s="283">
        <v>306</v>
      </c>
      <c r="AG74" s="282">
        <v>40</v>
      </c>
      <c r="AH74" s="282">
        <v>40</v>
      </c>
      <c r="AI74" s="282">
        <v>40</v>
      </c>
      <c r="AJ74" s="282">
        <v>40</v>
      </c>
      <c r="AK74" s="283">
        <v>40</v>
      </c>
      <c r="AL74" s="289"/>
      <c r="AM74" s="282">
        <v>40</v>
      </c>
      <c r="AN74" s="282">
        <v>40</v>
      </c>
      <c r="AO74" s="282">
        <v>40</v>
      </c>
      <c r="AP74" s="282">
        <v>40</v>
      </c>
      <c r="AQ74" s="283">
        <v>40</v>
      </c>
      <c r="AS74" s="282">
        <v>333.33</v>
      </c>
      <c r="AT74" s="282">
        <v>313.33</v>
      </c>
      <c r="AU74" s="282">
        <v>290.32999999999987</v>
      </c>
      <c r="AV74" s="282">
        <v>273.33</v>
      </c>
      <c r="AW74" s="283">
        <v>240.32999999999998</v>
      </c>
      <c r="AX74" s="284"/>
      <c r="AY74" s="282">
        <v>317.83</v>
      </c>
      <c r="AZ74" s="282">
        <v>298.83</v>
      </c>
      <c r="BA74" s="282">
        <v>270.33</v>
      </c>
      <c r="BB74" s="282">
        <v>225.82999999999998</v>
      </c>
      <c r="BC74" s="283">
        <v>155.82999999999998</v>
      </c>
    </row>
    <row r="75" spans="2:55" ht="13">
      <c r="B75" s="273" t="s">
        <v>167</v>
      </c>
      <c r="C75" s="286" t="s">
        <v>620</v>
      </c>
      <c r="D75" s="531">
        <v>620</v>
      </c>
      <c r="E75" s="532">
        <v>5.33</v>
      </c>
      <c r="F75" s="237" t="s">
        <v>193</v>
      </c>
      <c r="G75" s="314"/>
      <c r="I75" s="267">
        <v>39</v>
      </c>
      <c r="J75" s="267">
        <v>54</v>
      </c>
      <c r="K75" s="267">
        <v>125</v>
      </c>
      <c r="L75" s="267">
        <v>159</v>
      </c>
      <c r="M75" s="268">
        <v>192</v>
      </c>
      <c r="O75" s="267">
        <v>58</v>
      </c>
      <c r="P75" s="267">
        <v>83</v>
      </c>
      <c r="Q75" s="267">
        <v>166</v>
      </c>
      <c r="R75" s="267">
        <v>232</v>
      </c>
      <c r="S75" s="268">
        <v>317</v>
      </c>
      <c r="U75" s="267">
        <v>52</v>
      </c>
      <c r="V75" s="267">
        <v>188</v>
      </c>
      <c r="W75" s="267">
        <v>211</v>
      </c>
      <c r="X75" s="267">
        <v>228</v>
      </c>
      <c r="Y75" s="268">
        <v>261</v>
      </c>
      <c r="AA75" s="267">
        <v>68</v>
      </c>
      <c r="AB75" s="267">
        <v>203</v>
      </c>
      <c r="AC75" s="267">
        <v>231</v>
      </c>
      <c r="AD75" s="267">
        <v>276</v>
      </c>
      <c r="AE75" s="268">
        <v>346</v>
      </c>
      <c r="AG75" s="282">
        <v>0</v>
      </c>
      <c r="AH75" s="282">
        <v>-50</v>
      </c>
      <c r="AI75" s="282">
        <v>-50</v>
      </c>
      <c r="AJ75" s="282">
        <v>-50</v>
      </c>
      <c r="AK75" s="283">
        <v>-50</v>
      </c>
      <c r="AL75" s="289"/>
      <c r="AM75" s="282">
        <v>0</v>
      </c>
      <c r="AN75" s="282">
        <v>-50</v>
      </c>
      <c r="AO75" s="282">
        <v>-50</v>
      </c>
      <c r="AP75" s="282">
        <v>-50</v>
      </c>
      <c r="AQ75" s="283">
        <v>-50</v>
      </c>
      <c r="AS75" s="282">
        <v>568</v>
      </c>
      <c r="AT75" s="282">
        <v>431.59000000000003</v>
      </c>
      <c r="AU75" s="282">
        <v>408.58999999999992</v>
      </c>
      <c r="AV75" s="282">
        <v>391.59000000000003</v>
      </c>
      <c r="AW75" s="283">
        <v>358.59000000000003</v>
      </c>
      <c r="AX75" s="284"/>
      <c r="AY75" s="282">
        <v>552.5</v>
      </c>
      <c r="AZ75" s="282">
        <v>417.09000000000003</v>
      </c>
      <c r="BA75" s="282">
        <v>388.59000000000003</v>
      </c>
      <c r="BB75" s="282">
        <v>344.09000000000003</v>
      </c>
      <c r="BC75" s="283">
        <v>274.09000000000003</v>
      </c>
    </row>
    <row r="76" spans="2:55" ht="13">
      <c r="B76" s="280" t="s">
        <v>167</v>
      </c>
      <c r="C76" s="281" t="s">
        <v>410</v>
      </c>
      <c r="D76" s="529">
        <v>638</v>
      </c>
      <c r="E76" s="535">
        <v>5.33</v>
      </c>
      <c r="F76" s="239" t="s">
        <v>193</v>
      </c>
      <c r="G76" s="315"/>
      <c r="I76" s="265">
        <v>39</v>
      </c>
      <c r="J76" s="265">
        <v>54</v>
      </c>
      <c r="K76" s="265">
        <v>78</v>
      </c>
      <c r="L76" s="265">
        <v>112</v>
      </c>
      <c r="M76" s="266">
        <v>145</v>
      </c>
      <c r="O76" s="265">
        <v>58</v>
      </c>
      <c r="P76" s="265">
        <v>83</v>
      </c>
      <c r="Q76" s="265">
        <v>120</v>
      </c>
      <c r="R76" s="265">
        <v>185</v>
      </c>
      <c r="S76" s="266">
        <v>270</v>
      </c>
      <c r="U76" s="265">
        <v>52</v>
      </c>
      <c r="V76" s="265">
        <v>156</v>
      </c>
      <c r="W76" s="265">
        <v>179</v>
      </c>
      <c r="X76" s="265">
        <v>196</v>
      </c>
      <c r="Y76" s="266">
        <v>229</v>
      </c>
      <c r="AA76" s="265">
        <v>68</v>
      </c>
      <c r="AB76" s="265">
        <v>171</v>
      </c>
      <c r="AC76" s="265">
        <v>199</v>
      </c>
      <c r="AD76" s="265">
        <v>244</v>
      </c>
      <c r="AE76" s="266">
        <v>314</v>
      </c>
      <c r="AG76" s="282">
        <v>0</v>
      </c>
      <c r="AH76" s="282">
        <v>0</v>
      </c>
      <c r="AI76" s="282">
        <v>0</v>
      </c>
      <c r="AJ76" s="282">
        <v>0</v>
      </c>
      <c r="AK76" s="283">
        <v>0</v>
      </c>
      <c r="AL76" s="289"/>
      <c r="AM76" s="282">
        <v>0</v>
      </c>
      <c r="AN76" s="282">
        <v>0</v>
      </c>
      <c r="AO76" s="282">
        <v>0</v>
      </c>
      <c r="AP76" s="282">
        <v>0</v>
      </c>
      <c r="AQ76" s="283">
        <v>0</v>
      </c>
      <c r="AS76" s="282">
        <v>586</v>
      </c>
      <c r="AT76" s="282">
        <v>481.59000000000003</v>
      </c>
      <c r="AU76" s="282">
        <v>458.58999999999992</v>
      </c>
      <c r="AV76" s="282">
        <v>441.59000000000003</v>
      </c>
      <c r="AW76" s="283">
        <v>408.59000000000003</v>
      </c>
      <c r="AX76" s="284"/>
      <c r="AY76" s="282">
        <v>570.5</v>
      </c>
      <c r="AZ76" s="282">
        <v>467.09000000000003</v>
      </c>
      <c r="BA76" s="282">
        <v>438.59000000000003</v>
      </c>
      <c r="BB76" s="282">
        <v>394.09000000000003</v>
      </c>
      <c r="BC76" s="283">
        <v>324.09000000000003</v>
      </c>
    </row>
    <row r="77" spans="2:55" ht="13">
      <c r="B77" s="273" t="s">
        <v>167</v>
      </c>
      <c r="C77" s="286" t="s">
        <v>597</v>
      </c>
      <c r="D77" s="531">
        <v>915</v>
      </c>
      <c r="E77" s="532">
        <v>5.33</v>
      </c>
      <c r="F77" s="237" t="s">
        <v>193</v>
      </c>
      <c r="G77" s="314"/>
      <c r="I77" s="267">
        <v>39</v>
      </c>
      <c r="J77" s="267">
        <v>54</v>
      </c>
      <c r="K77" s="267">
        <v>198</v>
      </c>
      <c r="L77" s="267">
        <v>232</v>
      </c>
      <c r="M77" s="268">
        <v>265</v>
      </c>
      <c r="O77" s="267">
        <v>58</v>
      </c>
      <c r="P77" s="267">
        <v>83</v>
      </c>
      <c r="Q77" s="267">
        <v>240</v>
      </c>
      <c r="R77" s="267">
        <v>305</v>
      </c>
      <c r="S77" s="268">
        <v>391</v>
      </c>
      <c r="U77" s="267">
        <v>52</v>
      </c>
      <c r="V77" s="267">
        <v>243</v>
      </c>
      <c r="W77" s="267">
        <v>266</v>
      </c>
      <c r="X77" s="267">
        <v>283</v>
      </c>
      <c r="Y77" s="268">
        <v>316</v>
      </c>
      <c r="AA77" s="267">
        <v>68</v>
      </c>
      <c r="AB77" s="267">
        <v>257</v>
      </c>
      <c r="AC77" s="267">
        <v>286</v>
      </c>
      <c r="AD77" s="267">
        <v>330</v>
      </c>
      <c r="AE77" s="268">
        <v>400</v>
      </c>
      <c r="AG77" s="282">
        <v>0</v>
      </c>
      <c r="AH77" s="282">
        <v>0</v>
      </c>
      <c r="AI77" s="282">
        <v>0</v>
      </c>
      <c r="AJ77" s="282">
        <v>0</v>
      </c>
      <c r="AK77" s="283">
        <v>0</v>
      </c>
      <c r="AL77" s="289"/>
      <c r="AM77" s="282">
        <v>0</v>
      </c>
      <c r="AN77" s="282">
        <v>0</v>
      </c>
      <c r="AO77" s="282">
        <v>0</v>
      </c>
      <c r="AP77" s="282">
        <v>0</v>
      </c>
      <c r="AQ77" s="283">
        <v>0</v>
      </c>
      <c r="AS77" s="282">
        <v>863</v>
      </c>
      <c r="AT77" s="282">
        <v>672.33</v>
      </c>
      <c r="AU77" s="282">
        <v>649.32999999999993</v>
      </c>
      <c r="AV77" s="282">
        <v>632.33000000000004</v>
      </c>
      <c r="AW77" s="283">
        <v>599.33000000000004</v>
      </c>
      <c r="AX77" s="284"/>
      <c r="AY77" s="282">
        <v>847.5</v>
      </c>
      <c r="AZ77" s="282">
        <v>657.83</v>
      </c>
      <c r="BA77" s="282">
        <v>629.33000000000004</v>
      </c>
      <c r="BB77" s="282">
        <v>584.83000000000004</v>
      </c>
      <c r="BC77" s="283">
        <v>514.83000000000004</v>
      </c>
    </row>
    <row r="78" spans="2:55" ht="13">
      <c r="B78" s="280" t="s">
        <v>167</v>
      </c>
      <c r="C78" s="281" t="s">
        <v>450</v>
      </c>
      <c r="D78" s="529">
        <v>948</v>
      </c>
      <c r="E78" s="535">
        <v>5.33</v>
      </c>
      <c r="F78" s="239" t="s">
        <v>193</v>
      </c>
      <c r="G78" s="315"/>
      <c r="I78" s="282">
        <v>39</v>
      </c>
      <c r="J78" s="282">
        <v>54</v>
      </c>
      <c r="K78" s="282">
        <v>78</v>
      </c>
      <c r="L78" s="282">
        <v>112</v>
      </c>
      <c r="M78" s="283">
        <v>145</v>
      </c>
      <c r="O78" s="282">
        <v>52</v>
      </c>
      <c r="P78" s="282">
        <v>77</v>
      </c>
      <c r="Q78" s="282">
        <v>113</v>
      </c>
      <c r="R78" s="282">
        <v>179</v>
      </c>
      <c r="S78" s="283">
        <v>270</v>
      </c>
      <c r="U78" s="282">
        <v>52</v>
      </c>
      <c r="V78" s="282">
        <v>190</v>
      </c>
      <c r="W78" s="282">
        <v>213</v>
      </c>
      <c r="X78" s="282">
        <v>230</v>
      </c>
      <c r="Y78" s="283">
        <v>263</v>
      </c>
      <c r="AA78" s="282">
        <v>68</v>
      </c>
      <c r="AB78" s="282">
        <v>204</v>
      </c>
      <c r="AC78" s="282">
        <v>233</v>
      </c>
      <c r="AD78" s="282">
        <v>277</v>
      </c>
      <c r="AE78" s="283">
        <v>347</v>
      </c>
      <c r="AG78" s="282">
        <v>0</v>
      </c>
      <c r="AH78" s="282">
        <v>30</v>
      </c>
      <c r="AI78" s="282">
        <v>30</v>
      </c>
      <c r="AJ78" s="282">
        <v>30</v>
      </c>
      <c r="AK78" s="283">
        <v>30</v>
      </c>
      <c r="AL78" s="289"/>
      <c r="AM78" s="282">
        <v>0</v>
      </c>
      <c r="AN78" s="282">
        <v>30</v>
      </c>
      <c r="AO78" s="282">
        <v>30</v>
      </c>
      <c r="AP78" s="282">
        <v>30</v>
      </c>
      <c r="AQ78" s="283">
        <v>30</v>
      </c>
      <c r="AS78" s="282">
        <v>896</v>
      </c>
      <c r="AT78" s="282">
        <v>758.33</v>
      </c>
      <c r="AU78" s="282">
        <v>735.32999999999993</v>
      </c>
      <c r="AV78" s="282">
        <v>718.33</v>
      </c>
      <c r="AW78" s="283">
        <v>685.33</v>
      </c>
      <c r="AX78" s="284"/>
      <c r="AY78" s="282">
        <v>880.5</v>
      </c>
      <c r="AZ78" s="282">
        <v>743.83</v>
      </c>
      <c r="BA78" s="282">
        <v>715.33</v>
      </c>
      <c r="BB78" s="282">
        <v>670.83</v>
      </c>
      <c r="BC78" s="283">
        <v>600.83000000000004</v>
      </c>
    </row>
    <row r="79" spans="2:55" ht="13">
      <c r="B79" s="273" t="s">
        <v>63</v>
      </c>
      <c r="C79" s="286" t="s">
        <v>351</v>
      </c>
      <c r="D79" s="531">
        <v>215</v>
      </c>
      <c r="E79" s="532">
        <v>0</v>
      </c>
      <c r="F79" s="237" t="s">
        <v>195</v>
      </c>
      <c r="G79" s="314"/>
      <c r="I79" s="267">
        <v>39</v>
      </c>
      <c r="J79" s="267">
        <v>54</v>
      </c>
      <c r="K79" s="267">
        <v>113</v>
      </c>
      <c r="L79" s="267">
        <v>147</v>
      </c>
      <c r="M79" s="268">
        <v>180</v>
      </c>
      <c r="O79" s="267">
        <v>58</v>
      </c>
      <c r="P79" s="267">
        <v>83</v>
      </c>
      <c r="Q79" s="267">
        <v>155</v>
      </c>
      <c r="R79" s="267">
        <v>220</v>
      </c>
      <c r="S79" s="268">
        <v>306</v>
      </c>
      <c r="U79" s="267">
        <v>84</v>
      </c>
      <c r="V79" s="267">
        <v>104</v>
      </c>
      <c r="W79" s="267">
        <v>127</v>
      </c>
      <c r="X79" s="267">
        <v>144</v>
      </c>
      <c r="Y79" s="268">
        <v>177</v>
      </c>
      <c r="AA79" s="267">
        <v>100</v>
      </c>
      <c r="AB79" s="267">
        <v>119</v>
      </c>
      <c r="AC79" s="267">
        <v>147</v>
      </c>
      <c r="AD79" s="267">
        <v>192</v>
      </c>
      <c r="AE79" s="268">
        <v>156</v>
      </c>
      <c r="AG79" s="282">
        <v>0</v>
      </c>
      <c r="AH79" s="282">
        <v>0</v>
      </c>
      <c r="AI79" s="282">
        <v>0</v>
      </c>
      <c r="AJ79" s="282">
        <v>0</v>
      </c>
      <c r="AK79" s="283">
        <v>0</v>
      </c>
      <c r="AL79" s="289"/>
      <c r="AM79" s="282">
        <v>0</v>
      </c>
      <c r="AN79" s="282">
        <v>0</v>
      </c>
      <c r="AO79" s="282">
        <v>0</v>
      </c>
      <c r="AP79" s="282">
        <v>0</v>
      </c>
      <c r="AQ79" s="283">
        <v>0</v>
      </c>
      <c r="AS79" s="282">
        <v>131</v>
      </c>
      <c r="AT79" s="282">
        <v>111</v>
      </c>
      <c r="AU79" s="282">
        <v>87.999999999999886</v>
      </c>
      <c r="AV79" s="282">
        <v>71</v>
      </c>
      <c r="AW79" s="283">
        <v>38</v>
      </c>
      <c r="AX79" s="284"/>
      <c r="AY79" s="282">
        <v>115.50000000000003</v>
      </c>
      <c r="AZ79" s="282">
        <v>96.5</v>
      </c>
      <c r="BA79" s="282">
        <v>68</v>
      </c>
      <c r="BB79" s="282">
        <v>23.5</v>
      </c>
      <c r="BC79" s="283">
        <v>59</v>
      </c>
    </row>
    <row r="80" spans="2:55" ht="13">
      <c r="B80" s="280" t="s">
        <v>63</v>
      </c>
      <c r="C80" s="281" t="s">
        <v>409</v>
      </c>
      <c r="D80" s="529">
        <v>396</v>
      </c>
      <c r="E80" s="535">
        <v>0</v>
      </c>
      <c r="F80" s="239" t="s">
        <v>195</v>
      </c>
      <c r="G80" s="315"/>
      <c r="I80" s="282">
        <v>39</v>
      </c>
      <c r="J80" s="282">
        <v>54</v>
      </c>
      <c r="K80" s="282">
        <v>452</v>
      </c>
      <c r="L80" s="282">
        <v>486</v>
      </c>
      <c r="M80" s="283">
        <v>519</v>
      </c>
      <c r="O80" s="282">
        <v>58</v>
      </c>
      <c r="P80" s="282">
        <v>83</v>
      </c>
      <c r="Q80" s="282">
        <v>494</v>
      </c>
      <c r="R80" s="282">
        <v>559</v>
      </c>
      <c r="S80" s="283">
        <v>644</v>
      </c>
      <c r="U80" s="282">
        <v>161</v>
      </c>
      <c r="V80" s="282">
        <v>181</v>
      </c>
      <c r="W80" s="282">
        <v>204</v>
      </c>
      <c r="X80" s="282">
        <v>221</v>
      </c>
      <c r="Y80" s="283">
        <v>254</v>
      </c>
      <c r="AA80" s="282">
        <v>177</v>
      </c>
      <c r="AB80" s="282">
        <v>196</v>
      </c>
      <c r="AC80" s="282">
        <v>224</v>
      </c>
      <c r="AD80" s="282">
        <v>269</v>
      </c>
      <c r="AE80" s="283">
        <v>339</v>
      </c>
      <c r="AG80" s="282">
        <v>0</v>
      </c>
      <c r="AH80" s="282">
        <v>0</v>
      </c>
      <c r="AI80" s="282">
        <v>0</v>
      </c>
      <c r="AJ80" s="282">
        <v>0</v>
      </c>
      <c r="AK80" s="283">
        <v>0</v>
      </c>
      <c r="AL80" s="289"/>
      <c r="AM80" s="282">
        <v>0</v>
      </c>
      <c r="AN80" s="282">
        <v>0</v>
      </c>
      <c r="AO80" s="282">
        <v>0</v>
      </c>
      <c r="AP80" s="282">
        <v>0</v>
      </c>
      <c r="AQ80" s="283">
        <v>0</v>
      </c>
      <c r="AS80" s="282">
        <v>235</v>
      </c>
      <c r="AT80" s="282">
        <v>215</v>
      </c>
      <c r="AU80" s="282">
        <v>191.99999999999989</v>
      </c>
      <c r="AV80" s="282">
        <v>175</v>
      </c>
      <c r="AW80" s="283">
        <v>142</v>
      </c>
      <c r="AX80" s="284"/>
      <c r="AY80" s="282">
        <v>219.5</v>
      </c>
      <c r="AZ80" s="282">
        <v>200.5</v>
      </c>
      <c r="BA80" s="282">
        <v>172</v>
      </c>
      <c r="BB80" s="282">
        <v>127.5</v>
      </c>
      <c r="BC80" s="283">
        <v>57.5</v>
      </c>
    </row>
    <row r="81" spans="2:55" ht="13">
      <c r="B81" s="273" t="s">
        <v>63</v>
      </c>
      <c r="C81" s="286" t="s">
        <v>411</v>
      </c>
      <c r="D81" s="531">
        <v>479</v>
      </c>
      <c r="E81" s="532">
        <v>0</v>
      </c>
      <c r="F81" s="237" t="s">
        <v>195</v>
      </c>
      <c r="G81" s="314"/>
      <c r="I81" s="267">
        <v>39</v>
      </c>
      <c r="J81" s="267">
        <v>54</v>
      </c>
      <c r="K81" s="267">
        <v>412</v>
      </c>
      <c r="L81" s="267">
        <v>446</v>
      </c>
      <c r="M81" s="268">
        <v>479</v>
      </c>
      <c r="O81" s="267">
        <v>58</v>
      </c>
      <c r="P81" s="267">
        <v>83</v>
      </c>
      <c r="Q81" s="267">
        <v>454</v>
      </c>
      <c r="R81" s="267">
        <v>519</v>
      </c>
      <c r="S81" s="268">
        <v>604</v>
      </c>
      <c r="U81" s="267">
        <v>171</v>
      </c>
      <c r="V81" s="267">
        <v>191</v>
      </c>
      <c r="W81" s="267">
        <v>214</v>
      </c>
      <c r="X81" s="267">
        <v>231</v>
      </c>
      <c r="Y81" s="268">
        <v>264</v>
      </c>
      <c r="AA81" s="267">
        <v>187</v>
      </c>
      <c r="AB81" s="267">
        <v>206</v>
      </c>
      <c r="AC81" s="267">
        <v>234</v>
      </c>
      <c r="AD81" s="267">
        <v>279</v>
      </c>
      <c r="AE81" s="268">
        <v>349</v>
      </c>
      <c r="AG81" s="282">
        <v>20</v>
      </c>
      <c r="AH81" s="282">
        <v>20</v>
      </c>
      <c r="AI81" s="282">
        <v>20</v>
      </c>
      <c r="AJ81" s="282">
        <v>20</v>
      </c>
      <c r="AK81" s="283">
        <v>20</v>
      </c>
      <c r="AL81" s="289"/>
      <c r="AM81" s="282">
        <v>20</v>
      </c>
      <c r="AN81" s="282">
        <v>20</v>
      </c>
      <c r="AO81" s="282">
        <v>20</v>
      </c>
      <c r="AP81" s="282">
        <v>20</v>
      </c>
      <c r="AQ81" s="283">
        <v>20</v>
      </c>
      <c r="AS81" s="282">
        <v>308</v>
      </c>
      <c r="AT81" s="282">
        <v>288</v>
      </c>
      <c r="AU81" s="282">
        <v>264.99999999999989</v>
      </c>
      <c r="AV81" s="282">
        <v>248</v>
      </c>
      <c r="AW81" s="283">
        <v>215</v>
      </c>
      <c r="AX81" s="284"/>
      <c r="AY81" s="282">
        <v>292.5</v>
      </c>
      <c r="AZ81" s="282">
        <v>273.5</v>
      </c>
      <c r="BA81" s="282">
        <v>245</v>
      </c>
      <c r="BB81" s="282">
        <v>200.5</v>
      </c>
      <c r="BC81" s="283">
        <v>130.5</v>
      </c>
    </row>
    <row r="82" spans="2:55" ht="13">
      <c r="B82" s="280" t="s">
        <v>63</v>
      </c>
      <c r="C82" s="281" t="s">
        <v>510</v>
      </c>
      <c r="D82" s="529">
        <v>1735</v>
      </c>
      <c r="E82" s="535">
        <v>0</v>
      </c>
      <c r="F82" s="239" t="s">
        <v>195</v>
      </c>
      <c r="G82" s="315"/>
      <c r="I82" s="282">
        <v>39</v>
      </c>
      <c r="J82" s="282">
        <v>54</v>
      </c>
      <c r="K82" s="282">
        <v>78</v>
      </c>
      <c r="L82" s="282">
        <v>112</v>
      </c>
      <c r="M82" s="283">
        <v>145</v>
      </c>
      <c r="O82" s="282">
        <v>58</v>
      </c>
      <c r="P82" s="282">
        <v>83</v>
      </c>
      <c r="Q82" s="282">
        <v>120</v>
      </c>
      <c r="R82" s="282">
        <v>185</v>
      </c>
      <c r="S82" s="283">
        <v>270</v>
      </c>
      <c r="U82" s="282">
        <v>52</v>
      </c>
      <c r="V82" s="282">
        <v>72</v>
      </c>
      <c r="W82" s="282">
        <v>875</v>
      </c>
      <c r="X82" s="282">
        <v>892</v>
      </c>
      <c r="Y82" s="283">
        <v>925</v>
      </c>
      <c r="AA82" s="282">
        <v>68</v>
      </c>
      <c r="AB82" s="282">
        <v>87</v>
      </c>
      <c r="AC82" s="282">
        <v>895</v>
      </c>
      <c r="AD82" s="282">
        <v>940</v>
      </c>
      <c r="AE82" s="283">
        <v>1010</v>
      </c>
      <c r="AG82" s="282">
        <v>0</v>
      </c>
      <c r="AH82" s="282">
        <v>0</v>
      </c>
      <c r="AI82" s="282">
        <v>0</v>
      </c>
      <c r="AJ82" s="282">
        <v>0</v>
      </c>
      <c r="AK82" s="283">
        <v>0</v>
      </c>
      <c r="AL82" s="289"/>
      <c r="AM82" s="282">
        <v>0</v>
      </c>
      <c r="AN82" s="282">
        <v>0</v>
      </c>
      <c r="AO82" s="282">
        <v>0</v>
      </c>
      <c r="AP82" s="282">
        <v>0</v>
      </c>
      <c r="AQ82" s="283">
        <v>0</v>
      </c>
      <c r="AS82" s="282">
        <v>1683</v>
      </c>
      <c r="AT82" s="282">
        <v>1663</v>
      </c>
      <c r="AU82" s="282">
        <v>859.8</v>
      </c>
      <c r="AV82" s="282">
        <v>842.8</v>
      </c>
      <c r="AW82" s="283">
        <v>809.8</v>
      </c>
      <c r="AX82" s="284"/>
      <c r="AY82" s="282">
        <v>1667.5</v>
      </c>
      <c r="AZ82" s="282">
        <v>1648.5</v>
      </c>
      <c r="BA82" s="282">
        <v>839.8</v>
      </c>
      <c r="BB82" s="282">
        <v>795.3</v>
      </c>
      <c r="BC82" s="283">
        <v>725.3</v>
      </c>
    </row>
    <row r="83" spans="2:55" ht="13">
      <c r="B83" s="273" t="s">
        <v>63</v>
      </c>
      <c r="C83" s="286" t="s">
        <v>412</v>
      </c>
      <c r="D83" s="531">
        <v>537</v>
      </c>
      <c r="E83" s="532">
        <v>0</v>
      </c>
      <c r="F83" s="237" t="s">
        <v>195</v>
      </c>
      <c r="G83" s="314"/>
      <c r="I83" s="267">
        <v>39</v>
      </c>
      <c r="J83" s="267">
        <v>54</v>
      </c>
      <c r="K83" s="267">
        <v>133</v>
      </c>
      <c r="L83" s="267">
        <v>167</v>
      </c>
      <c r="M83" s="268">
        <v>200</v>
      </c>
      <c r="O83" s="267">
        <v>58</v>
      </c>
      <c r="P83" s="267">
        <v>83</v>
      </c>
      <c r="Q83" s="267">
        <v>175</v>
      </c>
      <c r="R83" s="267">
        <v>240</v>
      </c>
      <c r="S83" s="268">
        <v>325</v>
      </c>
      <c r="U83" s="267">
        <v>184</v>
      </c>
      <c r="V83" s="267">
        <v>204</v>
      </c>
      <c r="W83" s="267">
        <v>227</v>
      </c>
      <c r="X83" s="267">
        <v>244</v>
      </c>
      <c r="Y83" s="268">
        <v>277</v>
      </c>
      <c r="AA83" s="267">
        <v>200</v>
      </c>
      <c r="AB83" s="267">
        <v>219</v>
      </c>
      <c r="AC83" s="267">
        <v>247</v>
      </c>
      <c r="AD83" s="267">
        <v>292</v>
      </c>
      <c r="AE83" s="268">
        <v>362</v>
      </c>
      <c r="AG83" s="282">
        <v>20</v>
      </c>
      <c r="AH83" s="282">
        <v>20</v>
      </c>
      <c r="AI83" s="282">
        <v>20</v>
      </c>
      <c r="AJ83" s="282">
        <v>20</v>
      </c>
      <c r="AK83" s="283">
        <v>20</v>
      </c>
      <c r="AL83" s="289"/>
      <c r="AM83" s="282">
        <v>20</v>
      </c>
      <c r="AN83" s="282">
        <v>20</v>
      </c>
      <c r="AO83" s="282">
        <v>20</v>
      </c>
      <c r="AP83" s="282">
        <v>20</v>
      </c>
      <c r="AQ83" s="283">
        <v>20</v>
      </c>
      <c r="AS83" s="282">
        <v>352.8</v>
      </c>
      <c r="AT83" s="282">
        <v>332.8</v>
      </c>
      <c r="AU83" s="282">
        <v>309.7999999999999</v>
      </c>
      <c r="AV83" s="282">
        <v>292.8</v>
      </c>
      <c r="AW83" s="283">
        <v>259.8</v>
      </c>
      <c r="AX83" s="284"/>
      <c r="AY83" s="282">
        <v>337.3</v>
      </c>
      <c r="AZ83" s="282">
        <v>318.3</v>
      </c>
      <c r="BA83" s="282">
        <v>289.8</v>
      </c>
      <c r="BB83" s="282">
        <v>245.3</v>
      </c>
      <c r="BC83" s="283">
        <v>175.3</v>
      </c>
    </row>
    <row r="84" spans="2:55" ht="13">
      <c r="B84" s="280" t="s">
        <v>63</v>
      </c>
      <c r="C84" s="281" t="s">
        <v>511</v>
      </c>
      <c r="D84" s="529">
        <v>2396</v>
      </c>
      <c r="E84" s="535">
        <v>0</v>
      </c>
      <c r="F84" s="239" t="s">
        <v>195</v>
      </c>
      <c r="G84" s="315"/>
      <c r="I84" s="265">
        <v>39</v>
      </c>
      <c r="J84" s="265">
        <v>54</v>
      </c>
      <c r="K84" s="265">
        <v>184</v>
      </c>
      <c r="L84" s="265">
        <v>218</v>
      </c>
      <c r="M84" s="266">
        <v>251</v>
      </c>
      <c r="O84" s="265">
        <v>58</v>
      </c>
      <c r="P84" s="265">
        <v>83</v>
      </c>
      <c r="Q84" s="265">
        <v>226</v>
      </c>
      <c r="R84" s="265">
        <v>291</v>
      </c>
      <c r="S84" s="266">
        <v>376</v>
      </c>
      <c r="U84" s="265">
        <v>52</v>
      </c>
      <c r="V84" s="265">
        <v>72</v>
      </c>
      <c r="W84" s="265">
        <v>1211</v>
      </c>
      <c r="X84" s="265">
        <v>1228</v>
      </c>
      <c r="Y84" s="266">
        <v>1261</v>
      </c>
      <c r="AA84" s="265">
        <v>68</v>
      </c>
      <c r="AB84" s="265">
        <v>87</v>
      </c>
      <c r="AC84" s="265">
        <v>1231</v>
      </c>
      <c r="AD84" s="265">
        <v>1276</v>
      </c>
      <c r="AE84" s="266">
        <v>1346</v>
      </c>
      <c r="AG84" s="282">
        <v>0</v>
      </c>
      <c r="AH84" s="282">
        <v>0</v>
      </c>
      <c r="AI84" s="282">
        <v>0</v>
      </c>
      <c r="AJ84" s="282">
        <v>0</v>
      </c>
      <c r="AK84" s="283">
        <v>0</v>
      </c>
      <c r="AL84" s="289"/>
      <c r="AM84" s="282">
        <v>0</v>
      </c>
      <c r="AN84" s="282">
        <v>0</v>
      </c>
      <c r="AO84" s="282">
        <v>0</v>
      </c>
      <c r="AP84" s="282">
        <v>0</v>
      </c>
      <c r="AQ84" s="283">
        <v>0</v>
      </c>
      <c r="AS84" s="282">
        <v>2344</v>
      </c>
      <c r="AT84" s="282">
        <v>2324</v>
      </c>
      <c r="AU84" s="282">
        <v>1184.8</v>
      </c>
      <c r="AV84" s="282">
        <v>1167.8</v>
      </c>
      <c r="AW84" s="283">
        <v>1134.8</v>
      </c>
      <c r="AX84" s="284"/>
      <c r="AY84" s="282">
        <v>2328.5</v>
      </c>
      <c r="AZ84" s="282">
        <v>2309.5</v>
      </c>
      <c r="BA84" s="282">
        <v>1164.8</v>
      </c>
      <c r="BB84" s="282">
        <v>1120.3</v>
      </c>
      <c r="BC84" s="283">
        <v>1050.3</v>
      </c>
    </row>
    <row r="85" spans="2:55" ht="13">
      <c r="B85" s="273" t="s">
        <v>63</v>
      </c>
      <c r="C85" s="286" t="s">
        <v>413</v>
      </c>
      <c r="D85" s="531">
        <v>686</v>
      </c>
      <c r="E85" s="532">
        <v>0</v>
      </c>
      <c r="F85" s="237" t="s">
        <v>195</v>
      </c>
      <c r="G85" s="314"/>
      <c r="I85" s="267">
        <v>39</v>
      </c>
      <c r="J85" s="267">
        <v>54</v>
      </c>
      <c r="K85" s="267">
        <v>185</v>
      </c>
      <c r="L85" s="267">
        <v>219</v>
      </c>
      <c r="M85" s="268">
        <v>252</v>
      </c>
      <c r="O85" s="267">
        <v>58</v>
      </c>
      <c r="P85" s="267">
        <v>83</v>
      </c>
      <c r="Q85" s="267">
        <v>227</v>
      </c>
      <c r="R85" s="267">
        <v>292</v>
      </c>
      <c r="S85" s="268">
        <v>377</v>
      </c>
      <c r="U85" s="267">
        <v>52</v>
      </c>
      <c r="V85" s="267">
        <v>72</v>
      </c>
      <c r="W85" s="267">
        <v>301</v>
      </c>
      <c r="X85" s="267">
        <v>318</v>
      </c>
      <c r="Y85" s="268">
        <v>351</v>
      </c>
      <c r="AA85" s="267">
        <v>68</v>
      </c>
      <c r="AB85" s="267">
        <v>87</v>
      </c>
      <c r="AC85" s="267">
        <v>321</v>
      </c>
      <c r="AD85" s="267">
        <v>366</v>
      </c>
      <c r="AE85" s="268">
        <v>436</v>
      </c>
      <c r="AG85" s="282">
        <v>0</v>
      </c>
      <c r="AH85" s="282">
        <v>0</v>
      </c>
      <c r="AI85" s="282">
        <v>15</v>
      </c>
      <c r="AJ85" s="282">
        <v>15</v>
      </c>
      <c r="AK85" s="283">
        <v>15</v>
      </c>
      <c r="AL85" s="289"/>
      <c r="AM85" s="282">
        <v>0</v>
      </c>
      <c r="AN85" s="282">
        <v>0</v>
      </c>
      <c r="AO85" s="282">
        <v>15</v>
      </c>
      <c r="AP85" s="282">
        <v>15</v>
      </c>
      <c r="AQ85" s="283">
        <v>15</v>
      </c>
      <c r="AS85" s="282">
        <v>634</v>
      </c>
      <c r="AT85" s="282">
        <v>614</v>
      </c>
      <c r="AU85" s="282">
        <v>384.7999999999999</v>
      </c>
      <c r="AV85" s="282">
        <v>367.8</v>
      </c>
      <c r="AW85" s="283">
        <v>334.8</v>
      </c>
      <c r="AX85" s="284"/>
      <c r="AY85" s="282">
        <v>618.5</v>
      </c>
      <c r="AZ85" s="282">
        <v>599.5</v>
      </c>
      <c r="BA85" s="282">
        <v>364.8</v>
      </c>
      <c r="BB85" s="282">
        <v>320.3</v>
      </c>
      <c r="BC85" s="283">
        <v>250.3</v>
      </c>
    </row>
    <row r="86" spans="2:55" ht="13">
      <c r="B86" s="280" t="s">
        <v>63</v>
      </c>
      <c r="C86" s="281" t="s">
        <v>512</v>
      </c>
      <c r="D86" s="529">
        <v>1157</v>
      </c>
      <c r="E86" s="535">
        <v>0</v>
      </c>
      <c r="F86" s="239" t="s">
        <v>195</v>
      </c>
      <c r="G86" s="315"/>
      <c r="I86" s="282">
        <v>39</v>
      </c>
      <c r="J86" s="282">
        <v>54</v>
      </c>
      <c r="K86" s="282">
        <v>742</v>
      </c>
      <c r="L86" s="282">
        <v>776</v>
      </c>
      <c r="M86" s="283">
        <v>809</v>
      </c>
      <c r="O86" s="282">
        <v>58</v>
      </c>
      <c r="P86" s="282">
        <v>83</v>
      </c>
      <c r="Q86" s="282">
        <v>784</v>
      </c>
      <c r="R86" s="282">
        <v>849</v>
      </c>
      <c r="S86" s="283">
        <v>934</v>
      </c>
      <c r="U86" s="282">
        <v>52</v>
      </c>
      <c r="V86" s="282">
        <v>72</v>
      </c>
      <c r="W86" s="282">
        <v>498</v>
      </c>
      <c r="X86" s="282">
        <v>515</v>
      </c>
      <c r="Y86" s="283">
        <v>548</v>
      </c>
      <c r="AA86" s="282">
        <v>68</v>
      </c>
      <c r="AB86" s="282">
        <v>87</v>
      </c>
      <c r="AC86" s="282">
        <v>518</v>
      </c>
      <c r="AD86" s="282">
        <v>563</v>
      </c>
      <c r="AE86" s="283">
        <v>633</v>
      </c>
      <c r="AG86" s="282">
        <v>0</v>
      </c>
      <c r="AH86" s="282">
        <v>0</v>
      </c>
      <c r="AI86" s="282">
        <v>0</v>
      </c>
      <c r="AJ86" s="282">
        <v>0</v>
      </c>
      <c r="AK86" s="283">
        <v>0</v>
      </c>
      <c r="AL86" s="289"/>
      <c r="AM86" s="282">
        <v>0</v>
      </c>
      <c r="AN86" s="282">
        <v>0</v>
      </c>
      <c r="AO86" s="282">
        <v>0</v>
      </c>
      <c r="AP86" s="282">
        <v>0</v>
      </c>
      <c r="AQ86" s="283">
        <v>0</v>
      </c>
      <c r="AS86" s="282">
        <v>1105</v>
      </c>
      <c r="AT86" s="282">
        <v>1085</v>
      </c>
      <c r="AU86" s="282">
        <v>658.85</v>
      </c>
      <c r="AV86" s="282">
        <v>641.85</v>
      </c>
      <c r="AW86" s="283">
        <v>608.85</v>
      </c>
      <c r="AX86" s="284"/>
      <c r="AY86" s="282">
        <v>1089.5</v>
      </c>
      <c r="AZ86" s="282">
        <v>1070.5</v>
      </c>
      <c r="BA86" s="282">
        <v>638.85</v>
      </c>
      <c r="BB86" s="282">
        <v>594.35</v>
      </c>
      <c r="BC86" s="283">
        <v>524.35</v>
      </c>
    </row>
    <row r="87" spans="2:55" ht="13">
      <c r="B87" s="273" t="s">
        <v>63</v>
      </c>
      <c r="C87" s="286" t="s">
        <v>548</v>
      </c>
      <c r="D87" s="531">
        <v>867</v>
      </c>
      <c r="E87" s="532">
        <v>5.33</v>
      </c>
      <c r="F87" s="237" t="s">
        <v>193</v>
      </c>
      <c r="G87" s="314"/>
      <c r="I87" s="267">
        <v>39</v>
      </c>
      <c r="J87" s="267">
        <v>54</v>
      </c>
      <c r="K87" s="267">
        <v>600</v>
      </c>
      <c r="L87" s="267">
        <v>634</v>
      </c>
      <c r="M87" s="268">
        <v>667</v>
      </c>
      <c r="O87" s="267">
        <v>58</v>
      </c>
      <c r="P87" s="267">
        <v>83</v>
      </c>
      <c r="Q87" s="267">
        <v>642</v>
      </c>
      <c r="R87" s="267">
        <v>707</v>
      </c>
      <c r="S87" s="268">
        <v>792</v>
      </c>
      <c r="U87" s="267">
        <v>52</v>
      </c>
      <c r="V87" s="267">
        <v>309</v>
      </c>
      <c r="W87" s="267">
        <v>332</v>
      </c>
      <c r="X87" s="267">
        <v>349</v>
      </c>
      <c r="Y87" s="268">
        <v>382</v>
      </c>
      <c r="AA87" s="267">
        <v>68</v>
      </c>
      <c r="AB87" s="267">
        <v>324</v>
      </c>
      <c r="AC87" s="267">
        <v>352</v>
      </c>
      <c r="AD87" s="267">
        <v>397</v>
      </c>
      <c r="AE87" s="268">
        <v>467</v>
      </c>
      <c r="AG87" s="282">
        <v>0</v>
      </c>
      <c r="AH87" s="282">
        <v>0</v>
      </c>
      <c r="AI87" s="282">
        <v>0</v>
      </c>
      <c r="AJ87" s="282">
        <v>0</v>
      </c>
      <c r="AK87" s="283">
        <v>0</v>
      </c>
      <c r="AL87" s="289"/>
      <c r="AM87" s="282">
        <v>0</v>
      </c>
      <c r="AN87" s="282">
        <v>0</v>
      </c>
      <c r="AO87" s="282">
        <v>0</v>
      </c>
      <c r="AP87" s="282">
        <v>0</v>
      </c>
      <c r="AQ87" s="283">
        <v>0</v>
      </c>
      <c r="AS87" s="282">
        <v>815</v>
      </c>
      <c r="AT87" s="282">
        <v>557.64</v>
      </c>
      <c r="AU87" s="282">
        <v>534.63999999999987</v>
      </c>
      <c r="AV87" s="282">
        <v>517.64</v>
      </c>
      <c r="AW87" s="283">
        <v>484.64</v>
      </c>
      <c r="AX87" s="284"/>
      <c r="AY87" s="282">
        <v>799.5</v>
      </c>
      <c r="AZ87" s="282">
        <v>543.14</v>
      </c>
      <c r="BA87" s="282">
        <v>514.64</v>
      </c>
      <c r="BB87" s="282">
        <v>470.14</v>
      </c>
      <c r="BC87" s="283">
        <v>400.14</v>
      </c>
    </row>
    <row r="88" spans="2:55" ht="13">
      <c r="B88" s="280" t="s">
        <v>167</v>
      </c>
      <c r="C88" s="281" t="s">
        <v>598</v>
      </c>
      <c r="D88" s="533">
        <v>140</v>
      </c>
      <c r="E88" s="534">
        <v>0</v>
      </c>
      <c r="F88" s="239" t="s">
        <v>599</v>
      </c>
      <c r="G88" s="315"/>
      <c r="I88" s="265">
        <v>39</v>
      </c>
      <c r="J88" s="265">
        <v>54</v>
      </c>
      <c r="K88" s="265">
        <v>1017</v>
      </c>
      <c r="L88" s="265">
        <v>1051</v>
      </c>
      <c r="M88" s="266">
        <v>1084</v>
      </c>
      <c r="O88" s="265">
        <v>58</v>
      </c>
      <c r="P88" s="265">
        <v>83</v>
      </c>
      <c r="Q88" s="265">
        <v>1059</v>
      </c>
      <c r="R88" s="265">
        <v>1124</v>
      </c>
      <c r="S88" s="266">
        <v>1209</v>
      </c>
      <c r="U88" s="265">
        <v>52</v>
      </c>
      <c r="V88" s="265">
        <v>72</v>
      </c>
      <c r="W88" s="265">
        <v>95</v>
      </c>
      <c r="X88" s="265">
        <v>112</v>
      </c>
      <c r="Y88" s="266">
        <v>145</v>
      </c>
      <c r="AA88" s="265">
        <v>68</v>
      </c>
      <c r="AB88" s="265">
        <v>87</v>
      </c>
      <c r="AC88" s="265">
        <v>115</v>
      </c>
      <c r="AD88" s="265">
        <v>160</v>
      </c>
      <c r="AE88" s="266">
        <v>230</v>
      </c>
      <c r="AG88" s="282">
        <v>0</v>
      </c>
      <c r="AH88" s="282">
        <v>0</v>
      </c>
      <c r="AI88" s="282">
        <v>0</v>
      </c>
      <c r="AJ88" s="282">
        <v>0</v>
      </c>
      <c r="AK88" s="283">
        <v>0</v>
      </c>
      <c r="AL88" s="289"/>
      <c r="AM88" s="282">
        <v>0</v>
      </c>
      <c r="AN88" s="282">
        <v>0</v>
      </c>
      <c r="AO88" s="282">
        <v>0</v>
      </c>
      <c r="AP88" s="282">
        <v>0</v>
      </c>
      <c r="AQ88" s="283">
        <v>0</v>
      </c>
      <c r="AS88" s="282">
        <v>88</v>
      </c>
      <c r="AT88" s="282">
        <v>68</v>
      </c>
      <c r="AU88" s="282">
        <v>44.999999999999886</v>
      </c>
      <c r="AV88" s="282">
        <v>28</v>
      </c>
      <c r="AW88" s="283">
        <v>-5</v>
      </c>
      <c r="AX88" s="284"/>
      <c r="AY88" s="282">
        <v>72.500000000000028</v>
      </c>
      <c r="AZ88" s="282">
        <v>53.5</v>
      </c>
      <c r="BA88" s="282">
        <v>25</v>
      </c>
      <c r="BB88" s="282">
        <v>-19.5</v>
      </c>
      <c r="BC88" s="283">
        <v>-89.5</v>
      </c>
    </row>
    <row r="89" spans="2:55" ht="13">
      <c r="B89" s="273" t="s">
        <v>426</v>
      </c>
      <c r="C89" s="286" t="s">
        <v>582</v>
      </c>
      <c r="D89" s="531">
        <v>481</v>
      </c>
      <c r="E89" s="532">
        <v>3.25</v>
      </c>
      <c r="F89" s="237" t="s">
        <v>190</v>
      </c>
      <c r="G89" s="314"/>
      <c r="I89" s="267">
        <v>39</v>
      </c>
      <c r="J89" s="267">
        <v>54</v>
      </c>
      <c r="K89" s="267">
        <v>157</v>
      </c>
      <c r="L89" s="267">
        <v>191</v>
      </c>
      <c r="M89" s="268">
        <v>224</v>
      </c>
      <c r="O89" s="267">
        <v>58</v>
      </c>
      <c r="P89" s="267">
        <v>83</v>
      </c>
      <c r="Q89" s="267">
        <v>199</v>
      </c>
      <c r="R89" s="267">
        <v>264</v>
      </c>
      <c r="S89" s="268">
        <v>349</v>
      </c>
      <c r="U89" s="267">
        <v>208</v>
      </c>
      <c r="V89" s="267">
        <v>228</v>
      </c>
      <c r="W89" s="267">
        <v>251</v>
      </c>
      <c r="X89" s="267">
        <v>268</v>
      </c>
      <c r="Y89" s="268">
        <v>301</v>
      </c>
      <c r="AA89" s="267">
        <v>223</v>
      </c>
      <c r="AB89" s="267">
        <v>242</v>
      </c>
      <c r="AC89" s="267">
        <v>271</v>
      </c>
      <c r="AD89" s="267">
        <v>315</v>
      </c>
      <c r="AE89" s="268">
        <v>385</v>
      </c>
      <c r="AG89" s="282">
        <v>0</v>
      </c>
      <c r="AH89" s="282">
        <v>0</v>
      </c>
      <c r="AI89" s="282">
        <v>0</v>
      </c>
      <c r="AJ89" s="282">
        <v>0</v>
      </c>
      <c r="AK89" s="283">
        <v>0</v>
      </c>
      <c r="AL89" s="289"/>
      <c r="AM89" s="282">
        <v>0</v>
      </c>
      <c r="AN89" s="282">
        <v>0</v>
      </c>
      <c r="AO89" s="282">
        <v>0</v>
      </c>
      <c r="AP89" s="282">
        <v>0</v>
      </c>
      <c r="AQ89" s="283">
        <v>0</v>
      </c>
      <c r="AS89" s="282">
        <v>273.02999999999997</v>
      </c>
      <c r="AT89" s="282">
        <v>253.02999999999997</v>
      </c>
      <c r="AU89" s="282">
        <v>230.02999999999986</v>
      </c>
      <c r="AV89" s="282">
        <v>213.02999999999997</v>
      </c>
      <c r="AW89" s="283">
        <v>180.02999999999997</v>
      </c>
      <c r="AX89" s="284"/>
      <c r="AY89" s="282">
        <v>257.52999999999997</v>
      </c>
      <c r="AZ89" s="282">
        <v>238.52999999999997</v>
      </c>
      <c r="BA89" s="282">
        <v>210.02999999999997</v>
      </c>
      <c r="BB89" s="282">
        <v>165.52999999999997</v>
      </c>
      <c r="BC89" s="283">
        <v>95.529999999999973</v>
      </c>
    </row>
    <row r="90" spans="2:55" ht="13">
      <c r="B90" s="280" t="s">
        <v>426</v>
      </c>
      <c r="C90" s="281" t="s">
        <v>529</v>
      </c>
      <c r="D90" s="529">
        <v>658</v>
      </c>
      <c r="E90" s="535">
        <v>3.25</v>
      </c>
      <c r="F90" s="239" t="s">
        <v>190</v>
      </c>
      <c r="G90" s="315"/>
      <c r="I90" s="282">
        <v>39</v>
      </c>
      <c r="J90" s="282">
        <v>54</v>
      </c>
      <c r="K90" s="282">
        <v>183</v>
      </c>
      <c r="L90" s="282">
        <v>217</v>
      </c>
      <c r="M90" s="283">
        <v>250</v>
      </c>
      <c r="O90" s="282">
        <v>58</v>
      </c>
      <c r="P90" s="282">
        <v>83</v>
      </c>
      <c r="Q90" s="282">
        <v>225</v>
      </c>
      <c r="R90" s="282">
        <v>290</v>
      </c>
      <c r="S90" s="283">
        <v>375</v>
      </c>
      <c r="U90" s="282">
        <v>326</v>
      </c>
      <c r="V90" s="282">
        <v>346</v>
      </c>
      <c r="W90" s="282">
        <v>369</v>
      </c>
      <c r="X90" s="282">
        <v>386</v>
      </c>
      <c r="Y90" s="283">
        <v>419</v>
      </c>
      <c r="AA90" s="282">
        <v>341</v>
      </c>
      <c r="AB90" s="282">
        <v>360</v>
      </c>
      <c r="AC90" s="282">
        <v>389</v>
      </c>
      <c r="AD90" s="282">
        <v>433</v>
      </c>
      <c r="AE90" s="283">
        <v>503</v>
      </c>
      <c r="AG90" s="282">
        <v>-20</v>
      </c>
      <c r="AH90" s="282">
        <v>-20</v>
      </c>
      <c r="AI90" s="282">
        <v>-20</v>
      </c>
      <c r="AJ90" s="282">
        <v>-20</v>
      </c>
      <c r="AK90" s="283">
        <v>-20</v>
      </c>
      <c r="AL90" s="289"/>
      <c r="AM90" s="282">
        <v>-20</v>
      </c>
      <c r="AN90" s="282">
        <v>-20</v>
      </c>
      <c r="AO90" s="282">
        <v>-20</v>
      </c>
      <c r="AP90" s="282">
        <v>-20</v>
      </c>
      <c r="AQ90" s="283">
        <v>-20</v>
      </c>
      <c r="AS90" s="282">
        <v>332.04999999999995</v>
      </c>
      <c r="AT90" s="282">
        <v>312.04999999999995</v>
      </c>
      <c r="AU90" s="282">
        <v>289.04999999999984</v>
      </c>
      <c r="AV90" s="282">
        <v>272.04999999999995</v>
      </c>
      <c r="AW90" s="283">
        <v>239.04999999999995</v>
      </c>
      <c r="AX90" s="284"/>
      <c r="AY90" s="282">
        <v>316.54999999999995</v>
      </c>
      <c r="AZ90" s="282">
        <v>297.54999999999995</v>
      </c>
      <c r="BA90" s="282">
        <v>269.04999999999995</v>
      </c>
      <c r="BB90" s="282">
        <v>224.54999999999995</v>
      </c>
      <c r="BC90" s="283">
        <v>154.54999999999995</v>
      </c>
    </row>
    <row r="91" spans="2:55" ht="13">
      <c r="B91" s="273" t="s">
        <v>426</v>
      </c>
      <c r="C91" s="286" t="s">
        <v>462</v>
      </c>
      <c r="D91" s="531">
        <v>177</v>
      </c>
      <c r="E91" s="532">
        <v>3.25</v>
      </c>
      <c r="F91" s="237" t="s">
        <v>190</v>
      </c>
      <c r="G91" s="314"/>
      <c r="I91" s="267">
        <v>39</v>
      </c>
      <c r="J91" s="267">
        <v>54</v>
      </c>
      <c r="K91" s="267">
        <v>255</v>
      </c>
      <c r="L91" s="267">
        <v>289</v>
      </c>
      <c r="M91" s="268">
        <v>322</v>
      </c>
      <c r="O91" s="267">
        <v>58</v>
      </c>
      <c r="P91" s="267">
        <v>83</v>
      </c>
      <c r="Q91" s="267">
        <v>297</v>
      </c>
      <c r="R91" s="267">
        <v>362</v>
      </c>
      <c r="S91" s="268">
        <v>447</v>
      </c>
      <c r="U91" s="267">
        <v>109</v>
      </c>
      <c r="V91" s="267">
        <v>129</v>
      </c>
      <c r="W91" s="267">
        <v>152</v>
      </c>
      <c r="X91" s="267">
        <v>169</v>
      </c>
      <c r="Y91" s="268">
        <v>202</v>
      </c>
      <c r="AA91" s="267">
        <v>125</v>
      </c>
      <c r="AB91" s="267">
        <v>144</v>
      </c>
      <c r="AC91" s="267">
        <v>172</v>
      </c>
      <c r="AD91" s="267">
        <v>217</v>
      </c>
      <c r="AE91" s="268">
        <v>287</v>
      </c>
      <c r="AG91" s="282">
        <v>10</v>
      </c>
      <c r="AH91" s="282">
        <v>10</v>
      </c>
      <c r="AI91" s="282">
        <v>10</v>
      </c>
      <c r="AJ91" s="282">
        <v>10</v>
      </c>
      <c r="AK91" s="283">
        <v>10</v>
      </c>
      <c r="AL91" s="289"/>
      <c r="AM91" s="282">
        <v>10</v>
      </c>
      <c r="AN91" s="282">
        <v>10</v>
      </c>
      <c r="AO91" s="282">
        <v>10</v>
      </c>
      <c r="AP91" s="282">
        <v>10</v>
      </c>
      <c r="AQ91" s="283">
        <v>10</v>
      </c>
      <c r="AS91" s="282">
        <v>67.710000000000008</v>
      </c>
      <c r="AT91" s="282">
        <v>47.710000000000008</v>
      </c>
      <c r="AU91" s="282">
        <v>24.709999999999894</v>
      </c>
      <c r="AV91" s="282">
        <v>7.710000000000008</v>
      </c>
      <c r="AW91" s="283">
        <v>-25.289999999999992</v>
      </c>
      <c r="AX91" s="284"/>
      <c r="AY91" s="282">
        <v>52.210000000000036</v>
      </c>
      <c r="AZ91" s="282">
        <v>33.210000000000008</v>
      </c>
      <c r="BA91" s="282">
        <v>4.710000000000008</v>
      </c>
      <c r="BB91" s="282">
        <v>-39.789999999999992</v>
      </c>
      <c r="BC91" s="283">
        <v>-109.78999999999999</v>
      </c>
    </row>
    <row r="92" spans="2:55" ht="13">
      <c r="B92" s="280" t="s">
        <v>426</v>
      </c>
      <c r="C92" s="118" t="s">
        <v>632</v>
      </c>
      <c r="D92" s="529">
        <v>183</v>
      </c>
      <c r="E92" s="535">
        <v>3.25</v>
      </c>
      <c r="F92" s="239" t="s">
        <v>190</v>
      </c>
      <c r="G92" s="315"/>
      <c r="I92" s="282">
        <v>39</v>
      </c>
      <c r="J92" s="282">
        <v>54</v>
      </c>
      <c r="K92" s="282">
        <v>238</v>
      </c>
      <c r="L92" s="282">
        <v>272</v>
      </c>
      <c r="M92" s="283">
        <v>305</v>
      </c>
      <c r="O92" s="282">
        <v>58</v>
      </c>
      <c r="P92" s="282">
        <v>83</v>
      </c>
      <c r="Q92" s="282">
        <v>280</v>
      </c>
      <c r="R92" s="282">
        <v>345</v>
      </c>
      <c r="S92" s="283">
        <v>430</v>
      </c>
      <c r="U92" s="282">
        <v>99</v>
      </c>
      <c r="V92" s="282">
        <v>119</v>
      </c>
      <c r="W92" s="282">
        <v>142</v>
      </c>
      <c r="X92" s="282">
        <v>159</v>
      </c>
      <c r="Y92" s="283">
        <v>192</v>
      </c>
      <c r="AA92" s="282">
        <v>115</v>
      </c>
      <c r="AB92" s="282">
        <v>134</v>
      </c>
      <c r="AC92" s="282">
        <v>162</v>
      </c>
      <c r="AD92" s="282">
        <v>207</v>
      </c>
      <c r="AE92" s="283">
        <v>277</v>
      </c>
      <c r="AG92" s="282" t="e">
        <v>#N/A</v>
      </c>
      <c r="AH92" s="282" t="e">
        <v>#N/A</v>
      </c>
      <c r="AI92" s="282" t="e">
        <v>#N/A</v>
      </c>
      <c r="AJ92" s="282" t="e">
        <v>#N/A</v>
      </c>
      <c r="AK92" s="283" t="e">
        <v>#N/A</v>
      </c>
      <c r="AL92" s="289"/>
      <c r="AM92" s="282" t="e">
        <v>#N/A</v>
      </c>
      <c r="AN92" s="282" t="e">
        <v>#N/A</v>
      </c>
      <c r="AO92" s="282" t="e">
        <v>#N/A</v>
      </c>
      <c r="AP92" s="282" t="e">
        <v>#N/A</v>
      </c>
      <c r="AQ92" s="283" t="e">
        <v>#N/A</v>
      </c>
      <c r="AS92" s="282">
        <v>83.789999999999992</v>
      </c>
      <c r="AT92" s="282">
        <v>63.789999999999992</v>
      </c>
      <c r="AU92" s="282">
        <v>40.789999999999878</v>
      </c>
      <c r="AV92" s="282">
        <v>23.789999999999992</v>
      </c>
      <c r="AW92" s="283">
        <v>-9.210000000000008</v>
      </c>
      <c r="AX92" s="284"/>
      <c r="AY92" s="282">
        <v>68.29000000000002</v>
      </c>
      <c r="AZ92" s="282">
        <v>49.289999999999992</v>
      </c>
      <c r="BA92" s="282">
        <v>20.789999999999992</v>
      </c>
      <c r="BB92" s="282">
        <v>-23.710000000000008</v>
      </c>
      <c r="BC92" s="283">
        <v>-93.710000000000008</v>
      </c>
    </row>
    <row r="93" spans="2:55" ht="13">
      <c r="B93" s="273" t="s">
        <v>426</v>
      </c>
      <c r="C93" s="286" t="s">
        <v>463</v>
      </c>
      <c r="D93" s="531">
        <v>199</v>
      </c>
      <c r="E93" s="532">
        <v>3.25</v>
      </c>
      <c r="F93" s="237" t="s">
        <v>190</v>
      </c>
      <c r="G93" s="314"/>
      <c r="I93" s="267">
        <v>77</v>
      </c>
      <c r="J93" s="267">
        <v>121</v>
      </c>
      <c r="K93" s="267">
        <v>165</v>
      </c>
      <c r="L93" s="267">
        <v>165</v>
      </c>
      <c r="M93" s="268">
        <v>165</v>
      </c>
      <c r="O93" s="267">
        <v>58</v>
      </c>
      <c r="P93" s="267">
        <v>83</v>
      </c>
      <c r="Q93" s="267">
        <v>165</v>
      </c>
      <c r="R93" s="267">
        <v>165</v>
      </c>
      <c r="S93" s="268">
        <v>165</v>
      </c>
      <c r="U93" s="267">
        <v>91</v>
      </c>
      <c r="V93" s="267">
        <v>111</v>
      </c>
      <c r="W93" s="267">
        <v>134</v>
      </c>
      <c r="X93" s="267">
        <v>151</v>
      </c>
      <c r="Y93" s="268">
        <v>184</v>
      </c>
      <c r="AA93" s="267">
        <v>106</v>
      </c>
      <c r="AB93" s="267">
        <v>125</v>
      </c>
      <c r="AC93" s="267">
        <v>154</v>
      </c>
      <c r="AD93" s="267">
        <v>198</v>
      </c>
      <c r="AE93" s="268">
        <v>268</v>
      </c>
      <c r="AG93" s="282">
        <v>15</v>
      </c>
      <c r="AH93" s="282">
        <v>15</v>
      </c>
      <c r="AI93" s="282">
        <v>15</v>
      </c>
      <c r="AJ93" s="282">
        <v>15</v>
      </c>
      <c r="AK93" s="283">
        <v>15</v>
      </c>
      <c r="AL93" s="289"/>
      <c r="AM93" s="282">
        <v>15</v>
      </c>
      <c r="AN93" s="282">
        <v>15</v>
      </c>
      <c r="AO93" s="282">
        <v>15</v>
      </c>
      <c r="AP93" s="282">
        <v>15</v>
      </c>
      <c r="AQ93" s="283">
        <v>15</v>
      </c>
      <c r="AS93" s="282">
        <v>108.49000000000001</v>
      </c>
      <c r="AT93" s="282">
        <v>88.490000000000009</v>
      </c>
      <c r="AU93" s="282">
        <v>65.489999999999895</v>
      </c>
      <c r="AV93" s="282">
        <v>48.490000000000009</v>
      </c>
      <c r="AW93" s="283">
        <v>15.490000000000009</v>
      </c>
      <c r="AX93" s="284"/>
      <c r="AY93" s="282">
        <v>92.990000000000038</v>
      </c>
      <c r="AZ93" s="282">
        <v>73.990000000000009</v>
      </c>
      <c r="BA93" s="282">
        <v>45.490000000000009</v>
      </c>
      <c r="BB93" s="282">
        <v>0.99000000000000909</v>
      </c>
      <c r="BC93" s="283">
        <v>-69.009999999999991</v>
      </c>
    </row>
    <row r="94" spans="2:55" ht="13">
      <c r="B94" s="280" t="s">
        <v>426</v>
      </c>
      <c r="C94" s="281" t="s">
        <v>621</v>
      </c>
      <c r="D94" s="529">
        <v>255</v>
      </c>
      <c r="E94" s="535">
        <v>3.25</v>
      </c>
      <c r="F94" s="239" t="s">
        <v>190</v>
      </c>
      <c r="G94" s="315"/>
      <c r="I94" s="282">
        <v>97</v>
      </c>
      <c r="J94" s="282">
        <v>97</v>
      </c>
      <c r="K94" s="282">
        <v>97</v>
      </c>
      <c r="L94" s="282">
        <v>97</v>
      </c>
      <c r="M94" s="283">
        <v>97</v>
      </c>
      <c r="O94" s="282">
        <v>97</v>
      </c>
      <c r="P94" s="282">
        <v>97</v>
      </c>
      <c r="Q94" s="282">
        <v>97</v>
      </c>
      <c r="R94" s="282">
        <v>97</v>
      </c>
      <c r="S94" s="283">
        <v>97</v>
      </c>
      <c r="U94" s="282">
        <v>128</v>
      </c>
      <c r="V94" s="282">
        <v>148</v>
      </c>
      <c r="W94" s="282">
        <v>171</v>
      </c>
      <c r="X94" s="282">
        <v>188</v>
      </c>
      <c r="Y94" s="283">
        <v>221</v>
      </c>
      <c r="AA94" s="282">
        <v>144</v>
      </c>
      <c r="AB94" s="282">
        <v>163</v>
      </c>
      <c r="AC94" s="282">
        <v>191</v>
      </c>
      <c r="AD94" s="282">
        <v>236</v>
      </c>
      <c r="AE94" s="283">
        <v>306</v>
      </c>
      <c r="AG94" s="282">
        <v>-20</v>
      </c>
      <c r="AH94" s="282">
        <v>-20</v>
      </c>
      <c r="AI94" s="282">
        <v>-20</v>
      </c>
      <c r="AJ94" s="282">
        <v>-20</v>
      </c>
      <c r="AK94" s="283">
        <v>-20</v>
      </c>
      <c r="AL94" s="289"/>
      <c r="AM94" s="282">
        <v>-20</v>
      </c>
      <c r="AN94" s="282">
        <v>-20</v>
      </c>
      <c r="AO94" s="282">
        <v>-20</v>
      </c>
      <c r="AP94" s="282">
        <v>-20</v>
      </c>
      <c r="AQ94" s="283">
        <v>-20</v>
      </c>
      <c r="AS94" s="282">
        <v>126.75</v>
      </c>
      <c r="AT94" s="282">
        <v>106.75</v>
      </c>
      <c r="AU94" s="282">
        <v>83.749999999999886</v>
      </c>
      <c r="AV94" s="282">
        <v>66.75</v>
      </c>
      <c r="AW94" s="283">
        <v>33.75</v>
      </c>
      <c r="AX94" s="284"/>
      <c r="AY94" s="282">
        <v>111.25000000000003</v>
      </c>
      <c r="AZ94" s="282">
        <v>92.25</v>
      </c>
      <c r="BA94" s="282">
        <v>63.75</v>
      </c>
      <c r="BB94" s="282">
        <v>19.25</v>
      </c>
      <c r="BC94" s="283">
        <v>-50.75</v>
      </c>
    </row>
    <row r="95" spans="2:55" ht="13">
      <c r="B95" s="273" t="s">
        <v>426</v>
      </c>
      <c r="C95" s="286" t="s">
        <v>553</v>
      </c>
      <c r="D95" s="531">
        <v>353</v>
      </c>
      <c r="E95" s="532">
        <v>3.25</v>
      </c>
      <c r="F95" s="237" t="s">
        <v>190</v>
      </c>
      <c r="G95" s="314"/>
      <c r="I95" s="267">
        <v>60</v>
      </c>
      <c r="J95" s="267">
        <v>75</v>
      </c>
      <c r="K95" s="267">
        <v>99</v>
      </c>
      <c r="L95" s="267">
        <v>133</v>
      </c>
      <c r="M95" s="268">
        <v>166</v>
      </c>
      <c r="O95" s="267">
        <v>79</v>
      </c>
      <c r="P95" s="267">
        <v>104</v>
      </c>
      <c r="Q95" s="267">
        <v>140</v>
      </c>
      <c r="R95" s="267">
        <v>206</v>
      </c>
      <c r="S95" s="268">
        <v>291</v>
      </c>
      <c r="U95" s="267">
        <v>128</v>
      </c>
      <c r="V95" s="267">
        <v>148</v>
      </c>
      <c r="W95" s="267">
        <v>171</v>
      </c>
      <c r="X95" s="267">
        <v>188</v>
      </c>
      <c r="Y95" s="268">
        <v>221</v>
      </c>
      <c r="AA95" s="267">
        <v>143</v>
      </c>
      <c r="AB95" s="267">
        <v>162</v>
      </c>
      <c r="AC95" s="267">
        <v>191</v>
      </c>
      <c r="AD95" s="267">
        <v>235</v>
      </c>
      <c r="AE95" s="268">
        <v>305</v>
      </c>
      <c r="AG95" s="282">
        <v>0</v>
      </c>
      <c r="AH95" s="282">
        <v>0</v>
      </c>
      <c r="AI95" s="282">
        <v>0</v>
      </c>
      <c r="AJ95" s="282">
        <v>0</v>
      </c>
      <c r="AK95" s="283">
        <v>0</v>
      </c>
      <c r="AL95" s="289"/>
      <c r="AM95" s="282">
        <v>0</v>
      </c>
      <c r="AN95" s="282">
        <v>0</v>
      </c>
      <c r="AO95" s="282">
        <v>0</v>
      </c>
      <c r="AP95" s="282">
        <v>0</v>
      </c>
      <c r="AQ95" s="283">
        <v>0</v>
      </c>
      <c r="AS95" s="282">
        <v>225.26</v>
      </c>
      <c r="AT95" s="282">
        <v>205.26</v>
      </c>
      <c r="AU95" s="282">
        <v>182.25999999999988</v>
      </c>
      <c r="AV95" s="282">
        <v>165.26</v>
      </c>
      <c r="AW95" s="283">
        <v>132.26</v>
      </c>
      <c r="AX95" s="284"/>
      <c r="AY95" s="282">
        <v>209.76</v>
      </c>
      <c r="AZ95" s="282">
        <v>190.76</v>
      </c>
      <c r="BA95" s="282">
        <v>162.26</v>
      </c>
      <c r="BB95" s="282">
        <v>117.75999999999999</v>
      </c>
      <c r="BC95" s="283">
        <v>47.759999999999991</v>
      </c>
    </row>
    <row r="96" spans="2:55" ht="13">
      <c r="B96" s="280" t="s">
        <v>426</v>
      </c>
      <c r="C96" s="281" t="s">
        <v>622</v>
      </c>
      <c r="D96" s="529">
        <v>481</v>
      </c>
      <c r="E96" s="535">
        <v>3.25</v>
      </c>
      <c r="F96" s="239" t="s">
        <v>190</v>
      </c>
      <c r="G96" s="315"/>
      <c r="I96" s="282">
        <v>66</v>
      </c>
      <c r="J96" s="282">
        <v>81</v>
      </c>
      <c r="K96" s="282">
        <v>105</v>
      </c>
      <c r="L96" s="282">
        <v>139</v>
      </c>
      <c r="M96" s="283">
        <v>172</v>
      </c>
      <c r="O96" s="282">
        <v>84</v>
      </c>
      <c r="P96" s="282">
        <v>110</v>
      </c>
      <c r="Q96" s="282">
        <v>146</v>
      </c>
      <c r="R96" s="282">
        <v>212</v>
      </c>
      <c r="S96" s="283">
        <v>297</v>
      </c>
      <c r="U96" s="282">
        <v>198</v>
      </c>
      <c r="V96" s="282">
        <v>218</v>
      </c>
      <c r="W96" s="282">
        <v>241</v>
      </c>
      <c r="X96" s="282">
        <v>258</v>
      </c>
      <c r="Y96" s="283">
        <v>291</v>
      </c>
      <c r="AA96" s="282">
        <v>213</v>
      </c>
      <c r="AB96" s="282">
        <v>232</v>
      </c>
      <c r="AC96" s="282">
        <v>261</v>
      </c>
      <c r="AD96" s="282">
        <v>305</v>
      </c>
      <c r="AE96" s="283">
        <v>375</v>
      </c>
      <c r="AG96" s="282">
        <v>-20</v>
      </c>
      <c r="AH96" s="282">
        <v>-20</v>
      </c>
      <c r="AI96" s="282">
        <v>-20</v>
      </c>
      <c r="AJ96" s="282">
        <v>-20</v>
      </c>
      <c r="AK96" s="283">
        <v>-20</v>
      </c>
      <c r="AL96" s="289"/>
      <c r="AM96" s="282">
        <v>-20</v>
      </c>
      <c r="AN96" s="282">
        <v>-20</v>
      </c>
      <c r="AO96" s="282">
        <v>-20</v>
      </c>
      <c r="AP96" s="282">
        <v>-20</v>
      </c>
      <c r="AQ96" s="283">
        <v>-20</v>
      </c>
      <c r="AS96" s="282">
        <v>283.02999999999997</v>
      </c>
      <c r="AT96" s="282">
        <v>263.02999999999997</v>
      </c>
      <c r="AU96" s="282">
        <v>240.02999999999986</v>
      </c>
      <c r="AV96" s="282">
        <v>223.02999999999997</v>
      </c>
      <c r="AW96" s="283">
        <v>190.02999999999997</v>
      </c>
      <c r="AX96" s="284"/>
      <c r="AY96" s="282">
        <v>267.52999999999997</v>
      </c>
      <c r="AZ96" s="282">
        <v>248.52999999999997</v>
      </c>
      <c r="BA96" s="282">
        <v>220.02999999999997</v>
      </c>
      <c r="BB96" s="282">
        <v>175.52999999999997</v>
      </c>
      <c r="BC96" s="283">
        <v>105.52999999999997</v>
      </c>
    </row>
    <row r="97" spans="2:55" ht="13">
      <c r="B97" s="273" t="s">
        <v>426</v>
      </c>
      <c r="C97" s="286" t="s">
        <v>549</v>
      </c>
      <c r="D97" s="531">
        <v>869</v>
      </c>
      <c r="E97" s="532">
        <v>3.25</v>
      </c>
      <c r="F97" s="237" t="s">
        <v>190</v>
      </c>
      <c r="G97" s="314"/>
      <c r="I97" s="267">
        <v>80</v>
      </c>
      <c r="J97" s="267">
        <v>95</v>
      </c>
      <c r="K97" s="267">
        <v>119</v>
      </c>
      <c r="L97" s="267">
        <v>153</v>
      </c>
      <c r="M97" s="268">
        <v>186</v>
      </c>
      <c r="O97" s="267">
        <v>99</v>
      </c>
      <c r="P97" s="267">
        <v>125</v>
      </c>
      <c r="Q97" s="267">
        <v>161</v>
      </c>
      <c r="R97" s="267">
        <v>226</v>
      </c>
      <c r="S97" s="268">
        <v>312</v>
      </c>
      <c r="U97" s="267">
        <v>52</v>
      </c>
      <c r="V97" s="267">
        <v>351</v>
      </c>
      <c r="W97" s="267">
        <v>374</v>
      </c>
      <c r="X97" s="267">
        <v>391</v>
      </c>
      <c r="Y97" s="268">
        <v>424</v>
      </c>
      <c r="AA97" s="267">
        <v>68</v>
      </c>
      <c r="AB97" s="267">
        <v>366</v>
      </c>
      <c r="AC97" s="267">
        <v>394</v>
      </c>
      <c r="AD97" s="267">
        <v>439</v>
      </c>
      <c r="AE97" s="268">
        <v>509</v>
      </c>
      <c r="AG97" s="282">
        <v>0</v>
      </c>
      <c r="AH97" s="282">
        <v>-50</v>
      </c>
      <c r="AI97" s="282">
        <v>-50</v>
      </c>
      <c r="AJ97" s="282">
        <v>-50</v>
      </c>
      <c r="AK97" s="283">
        <v>-50</v>
      </c>
      <c r="AL97" s="289"/>
      <c r="AM97" s="282">
        <v>0</v>
      </c>
      <c r="AN97" s="282">
        <v>-50</v>
      </c>
      <c r="AO97" s="282">
        <v>-50</v>
      </c>
      <c r="AP97" s="282">
        <v>-50</v>
      </c>
      <c r="AQ97" s="283">
        <v>-50</v>
      </c>
      <c r="AS97" s="282">
        <v>817</v>
      </c>
      <c r="AT97" s="282">
        <v>517.78</v>
      </c>
      <c r="AU97" s="282">
        <v>494.77999999999986</v>
      </c>
      <c r="AV97" s="282">
        <v>477.78</v>
      </c>
      <c r="AW97" s="283">
        <v>444.78</v>
      </c>
      <c r="AX97" s="284"/>
      <c r="AY97" s="282">
        <v>801.5</v>
      </c>
      <c r="AZ97" s="282">
        <v>503.28</v>
      </c>
      <c r="BA97" s="282">
        <v>474.78</v>
      </c>
      <c r="BB97" s="282">
        <v>430.28</v>
      </c>
      <c r="BC97" s="283">
        <v>360.28</v>
      </c>
    </row>
    <row r="98" spans="2:55" ht="13">
      <c r="B98" s="280" t="s">
        <v>183</v>
      </c>
      <c r="C98" s="281" t="s">
        <v>613</v>
      </c>
      <c r="D98" s="529">
        <v>160</v>
      </c>
      <c r="E98" s="535">
        <v>3.25</v>
      </c>
      <c r="F98" s="239" t="s">
        <v>190</v>
      </c>
      <c r="G98" s="315"/>
      <c r="I98" s="282">
        <v>80</v>
      </c>
      <c r="J98" s="282">
        <v>95</v>
      </c>
      <c r="K98" s="282">
        <v>119</v>
      </c>
      <c r="L98" s="282">
        <v>153</v>
      </c>
      <c r="M98" s="283">
        <v>186</v>
      </c>
      <c r="O98" s="282">
        <v>99</v>
      </c>
      <c r="P98" s="282">
        <v>125</v>
      </c>
      <c r="Q98" s="282">
        <v>161</v>
      </c>
      <c r="R98" s="282">
        <v>226</v>
      </c>
      <c r="S98" s="283">
        <v>312</v>
      </c>
      <c r="U98" s="282">
        <v>102</v>
      </c>
      <c r="V98" s="282">
        <v>122</v>
      </c>
      <c r="W98" s="282">
        <v>145</v>
      </c>
      <c r="X98" s="282">
        <v>162</v>
      </c>
      <c r="Y98" s="283">
        <v>195</v>
      </c>
      <c r="AA98" s="282">
        <v>118</v>
      </c>
      <c r="AB98" s="282">
        <v>137</v>
      </c>
      <c r="AC98" s="282">
        <v>165</v>
      </c>
      <c r="AD98" s="282">
        <v>210</v>
      </c>
      <c r="AE98" s="283">
        <v>280</v>
      </c>
      <c r="AG98" s="282">
        <v>0</v>
      </c>
      <c r="AH98" s="282">
        <v>0</v>
      </c>
      <c r="AI98" s="282">
        <v>0</v>
      </c>
      <c r="AJ98" s="282">
        <v>0</v>
      </c>
      <c r="AK98" s="283">
        <v>0</v>
      </c>
      <c r="AL98" s="289"/>
      <c r="AM98" s="282">
        <v>0</v>
      </c>
      <c r="AN98" s="282">
        <v>0</v>
      </c>
      <c r="AO98" s="282">
        <v>0</v>
      </c>
      <c r="AP98" s="282">
        <v>0</v>
      </c>
      <c r="AQ98" s="283">
        <v>0</v>
      </c>
      <c r="AS98" s="282">
        <v>57.980000000000004</v>
      </c>
      <c r="AT98" s="282">
        <v>37.980000000000004</v>
      </c>
      <c r="AU98" s="282">
        <v>14.97999999999989</v>
      </c>
      <c r="AV98" s="282">
        <v>-2.019999999999996</v>
      </c>
      <c r="AW98" s="283">
        <v>-35.019999999999996</v>
      </c>
      <c r="AX98" s="284"/>
      <c r="AY98" s="282">
        <v>42.480000000000032</v>
      </c>
      <c r="AZ98" s="282">
        <v>23.480000000000004</v>
      </c>
      <c r="BA98" s="282">
        <v>-5.019999999999996</v>
      </c>
      <c r="BB98" s="282">
        <v>-49.519999999999996</v>
      </c>
      <c r="BC98" s="283">
        <v>-119.52</v>
      </c>
    </row>
    <row r="99" spans="2:55" ht="13">
      <c r="B99" s="273" t="s">
        <v>183</v>
      </c>
      <c r="C99" s="286" t="s">
        <v>600</v>
      </c>
      <c r="D99" s="531">
        <v>176</v>
      </c>
      <c r="E99" s="532">
        <v>3.25</v>
      </c>
      <c r="F99" s="237" t="s">
        <v>190</v>
      </c>
      <c r="G99" s="314"/>
      <c r="I99" s="267">
        <v>90</v>
      </c>
      <c r="J99" s="267">
        <v>105</v>
      </c>
      <c r="K99" s="267">
        <v>129</v>
      </c>
      <c r="L99" s="267">
        <v>163</v>
      </c>
      <c r="M99" s="268">
        <v>196</v>
      </c>
      <c r="O99" s="267">
        <v>109</v>
      </c>
      <c r="P99" s="267">
        <v>134</v>
      </c>
      <c r="Q99" s="267">
        <v>171</v>
      </c>
      <c r="R99" s="267">
        <v>236</v>
      </c>
      <c r="S99" s="268">
        <v>321</v>
      </c>
      <c r="U99" s="267">
        <v>108</v>
      </c>
      <c r="V99" s="267">
        <v>128</v>
      </c>
      <c r="W99" s="267">
        <v>151</v>
      </c>
      <c r="X99" s="267">
        <v>168</v>
      </c>
      <c r="Y99" s="268">
        <v>201</v>
      </c>
      <c r="AA99" s="267">
        <v>123</v>
      </c>
      <c r="AB99" s="267">
        <v>142</v>
      </c>
      <c r="AC99" s="267">
        <v>171</v>
      </c>
      <c r="AD99" s="267">
        <v>215</v>
      </c>
      <c r="AE99" s="268">
        <v>285</v>
      </c>
      <c r="AG99" s="282">
        <v>-5</v>
      </c>
      <c r="AH99" s="282">
        <v>-5</v>
      </c>
      <c r="AI99" s="282">
        <v>-5</v>
      </c>
      <c r="AJ99" s="282">
        <v>-5</v>
      </c>
      <c r="AK99" s="283">
        <v>-5</v>
      </c>
      <c r="AL99" s="289"/>
      <c r="AM99" s="282">
        <v>-5</v>
      </c>
      <c r="AN99" s="282">
        <v>-5</v>
      </c>
      <c r="AO99" s="282">
        <v>-5</v>
      </c>
      <c r="AP99" s="282">
        <v>-5</v>
      </c>
      <c r="AQ99" s="283">
        <v>-5</v>
      </c>
      <c r="AS99" s="282">
        <v>68.180000000000007</v>
      </c>
      <c r="AT99" s="282">
        <v>48.180000000000007</v>
      </c>
      <c r="AU99" s="282">
        <v>25.179999999999893</v>
      </c>
      <c r="AV99" s="282">
        <v>8.1800000000000068</v>
      </c>
      <c r="AW99" s="283">
        <v>-24.819999999999993</v>
      </c>
      <c r="AX99" s="284"/>
      <c r="AY99" s="282">
        <v>52.680000000000035</v>
      </c>
      <c r="AZ99" s="282">
        <v>33.680000000000007</v>
      </c>
      <c r="BA99" s="282">
        <v>5.1800000000000068</v>
      </c>
      <c r="BB99" s="282">
        <v>-39.319999999999993</v>
      </c>
      <c r="BC99" s="283">
        <v>-109.32</v>
      </c>
    </row>
    <row r="100" spans="2:55" ht="13">
      <c r="B100" s="280" t="s">
        <v>183</v>
      </c>
      <c r="C100" s="281" t="s">
        <v>554</v>
      </c>
      <c r="D100" s="529">
        <v>245</v>
      </c>
      <c r="E100" s="535">
        <v>3.25</v>
      </c>
      <c r="F100" s="239" t="s">
        <v>190</v>
      </c>
      <c r="G100" s="315"/>
      <c r="I100" s="282">
        <v>150</v>
      </c>
      <c r="J100" s="282">
        <v>165</v>
      </c>
      <c r="K100" s="282">
        <v>189</v>
      </c>
      <c r="L100" s="282">
        <v>223</v>
      </c>
      <c r="M100" s="283">
        <v>256</v>
      </c>
      <c r="O100" s="282">
        <v>169</v>
      </c>
      <c r="P100" s="282">
        <v>195</v>
      </c>
      <c r="Q100" s="282">
        <v>231</v>
      </c>
      <c r="R100" s="282">
        <v>296</v>
      </c>
      <c r="S100" s="283">
        <v>382</v>
      </c>
      <c r="U100" s="282">
        <v>132</v>
      </c>
      <c r="V100" s="282">
        <v>152</v>
      </c>
      <c r="W100" s="282">
        <v>175</v>
      </c>
      <c r="X100" s="282">
        <v>192</v>
      </c>
      <c r="Y100" s="283">
        <v>225</v>
      </c>
      <c r="AA100" s="282">
        <v>147</v>
      </c>
      <c r="AB100" s="282">
        <v>166</v>
      </c>
      <c r="AC100" s="282">
        <v>195</v>
      </c>
      <c r="AD100" s="282">
        <v>239</v>
      </c>
      <c r="AE100" s="283">
        <v>309</v>
      </c>
      <c r="AG100" s="282">
        <v>0</v>
      </c>
      <c r="AH100" s="282">
        <v>0</v>
      </c>
      <c r="AI100" s="282">
        <v>0</v>
      </c>
      <c r="AJ100" s="282">
        <v>0</v>
      </c>
      <c r="AK100" s="283">
        <v>0</v>
      </c>
      <c r="AL100" s="289"/>
      <c r="AM100" s="282">
        <v>0</v>
      </c>
      <c r="AN100" s="282">
        <v>0</v>
      </c>
      <c r="AO100" s="282">
        <v>0</v>
      </c>
      <c r="AP100" s="282">
        <v>0</v>
      </c>
      <c r="AQ100" s="283">
        <v>0</v>
      </c>
      <c r="AS100" s="282">
        <v>113.32</v>
      </c>
      <c r="AT100" s="282">
        <v>93.32</v>
      </c>
      <c r="AU100" s="282">
        <v>70.319999999999879</v>
      </c>
      <c r="AV100" s="282">
        <v>53.319999999999993</v>
      </c>
      <c r="AW100" s="283">
        <v>20.319999999999993</v>
      </c>
      <c r="AX100" s="284"/>
      <c r="AY100" s="282">
        <v>97.820000000000022</v>
      </c>
      <c r="AZ100" s="282">
        <v>78.819999999999993</v>
      </c>
      <c r="BA100" s="282">
        <v>50.319999999999993</v>
      </c>
      <c r="BB100" s="282">
        <v>5.8199999999999932</v>
      </c>
      <c r="BC100" s="283">
        <v>-64.180000000000007</v>
      </c>
    </row>
    <row r="101" spans="2:55" ht="13">
      <c r="B101" s="273" t="s">
        <v>183</v>
      </c>
      <c r="C101" s="286" t="s">
        <v>623</v>
      </c>
      <c r="D101" s="531">
        <v>1072</v>
      </c>
      <c r="E101" s="532">
        <v>3.25</v>
      </c>
      <c r="F101" s="237" t="s">
        <v>190</v>
      </c>
      <c r="G101" s="314"/>
      <c r="I101" s="267">
        <v>39</v>
      </c>
      <c r="J101" s="267">
        <v>54</v>
      </c>
      <c r="K101" s="267">
        <v>160</v>
      </c>
      <c r="L101" s="267">
        <v>194</v>
      </c>
      <c r="M101" s="268">
        <v>227</v>
      </c>
      <c r="O101" s="267">
        <v>140</v>
      </c>
      <c r="P101" s="267">
        <v>165</v>
      </c>
      <c r="Q101" s="267">
        <v>201</v>
      </c>
      <c r="R101" s="267">
        <v>267</v>
      </c>
      <c r="S101" s="268">
        <v>352</v>
      </c>
      <c r="U101" s="267">
        <v>52</v>
      </c>
      <c r="V101" s="267">
        <v>413</v>
      </c>
      <c r="W101" s="267">
        <v>436</v>
      </c>
      <c r="X101" s="267">
        <v>453</v>
      </c>
      <c r="Y101" s="268">
        <v>486</v>
      </c>
      <c r="AA101" s="267">
        <v>68</v>
      </c>
      <c r="AB101" s="267">
        <v>427</v>
      </c>
      <c r="AC101" s="267">
        <v>456</v>
      </c>
      <c r="AD101" s="267">
        <v>500</v>
      </c>
      <c r="AE101" s="268">
        <v>570</v>
      </c>
      <c r="AG101" s="282">
        <v>0</v>
      </c>
      <c r="AH101" s="282">
        <v>-100</v>
      </c>
      <c r="AI101" s="282">
        <v>-100</v>
      </c>
      <c r="AJ101" s="282">
        <v>-100</v>
      </c>
      <c r="AK101" s="283">
        <v>-100</v>
      </c>
      <c r="AL101" s="289"/>
      <c r="AM101" s="282">
        <v>0</v>
      </c>
      <c r="AN101" s="282">
        <v>-100</v>
      </c>
      <c r="AO101" s="282">
        <v>-100</v>
      </c>
      <c r="AP101" s="282">
        <v>-100</v>
      </c>
      <c r="AQ101" s="283">
        <v>-100</v>
      </c>
      <c r="AS101" s="282">
        <v>1020</v>
      </c>
      <c r="AT101" s="282">
        <v>659.45</v>
      </c>
      <c r="AU101" s="282">
        <v>636.44999999999993</v>
      </c>
      <c r="AV101" s="282">
        <v>619.45000000000005</v>
      </c>
      <c r="AW101" s="283">
        <v>586.45000000000005</v>
      </c>
      <c r="AX101" s="284"/>
      <c r="AY101" s="282">
        <v>1004.5</v>
      </c>
      <c r="AZ101" s="282">
        <v>644.95000000000005</v>
      </c>
      <c r="BA101" s="282">
        <v>616.45000000000005</v>
      </c>
      <c r="BB101" s="282">
        <v>571.95000000000005</v>
      </c>
      <c r="BC101" s="283">
        <v>501.95000000000005</v>
      </c>
    </row>
    <row r="102" spans="2:55" ht="13">
      <c r="B102" s="280" t="s">
        <v>183</v>
      </c>
      <c r="C102" s="281" t="s">
        <v>550</v>
      </c>
      <c r="D102" s="529">
        <v>428</v>
      </c>
      <c r="E102" s="535">
        <v>3.25</v>
      </c>
      <c r="F102" s="239" t="s">
        <v>190</v>
      </c>
      <c r="G102" s="315"/>
      <c r="I102" s="282">
        <v>39</v>
      </c>
      <c r="J102" s="282">
        <v>54</v>
      </c>
      <c r="K102" s="282">
        <v>268</v>
      </c>
      <c r="L102" s="282">
        <v>302</v>
      </c>
      <c r="M102" s="283">
        <v>335</v>
      </c>
      <c r="O102" s="282">
        <v>58</v>
      </c>
      <c r="P102" s="282">
        <v>83</v>
      </c>
      <c r="Q102" s="282">
        <v>309</v>
      </c>
      <c r="R102" s="282">
        <v>375</v>
      </c>
      <c r="S102" s="283">
        <v>460</v>
      </c>
      <c r="U102" s="282">
        <v>209</v>
      </c>
      <c r="V102" s="282">
        <v>229</v>
      </c>
      <c r="W102" s="282">
        <v>252</v>
      </c>
      <c r="X102" s="282">
        <v>269</v>
      </c>
      <c r="Y102" s="283">
        <v>302</v>
      </c>
      <c r="AA102" s="282">
        <v>224</v>
      </c>
      <c r="AB102" s="282">
        <v>243</v>
      </c>
      <c r="AC102" s="282">
        <v>272</v>
      </c>
      <c r="AD102" s="282">
        <v>316</v>
      </c>
      <c r="AE102" s="283">
        <v>386</v>
      </c>
      <c r="AG102" s="282">
        <v>0</v>
      </c>
      <c r="AH102" s="282">
        <v>0</v>
      </c>
      <c r="AI102" s="282">
        <v>0</v>
      </c>
      <c r="AJ102" s="282">
        <v>0</v>
      </c>
      <c r="AK102" s="283">
        <v>0</v>
      </c>
      <c r="AL102" s="289"/>
      <c r="AM102" s="282">
        <v>0</v>
      </c>
      <c r="AN102" s="282">
        <v>0</v>
      </c>
      <c r="AO102" s="282">
        <v>0</v>
      </c>
      <c r="AP102" s="282">
        <v>0</v>
      </c>
      <c r="AQ102" s="283">
        <v>0</v>
      </c>
      <c r="AS102" s="282">
        <v>219.39</v>
      </c>
      <c r="AT102" s="282">
        <v>199.39</v>
      </c>
      <c r="AU102" s="282">
        <v>176.38999999999987</v>
      </c>
      <c r="AV102" s="282">
        <v>159.38999999999999</v>
      </c>
      <c r="AW102" s="283">
        <v>126.38999999999999</v>
      </c>
      <c r="AX102" s="284"/>
      <c r="AY102" s="282">
        <v>203.89</v>
      </c>
      <c r="AZ102" s="282">
        <v>184.89</v>
      </c>
      <c r="BA102" s="282">
        <v>156.38999999999999</v>
      </c>
      <c r="BB102" s="282">
        <v>111.88999999999999</v>
      </c>
      <c r="BC102" s="283">
        <v>41.889999999999986</v>
      </c>
    </row>
    <row r="103" spans="2:55" ht="13">
      <c r="B103" s="273" t="s">
        <v>183</v>
      </c>
      <c r="C103" s="286" t="s">
        <v>601</v>
      </c>
      <c r="D103" s="531">
        <v>364</v>
      </c>
      <c r="E103" s="532">
        <v>3.25</v>
      </c>
      <c r="F103" s="237" t="s">
        <v>190</v>
      </c>
      <c r="G103" s="314"/>
      <c r="I103" s="267">
        <v>39</v>
      </c>
      <c r="J103" s="267">
        <v>54</v>
      </c>
      <c r="K103" s="267">
        <v>332</v>
      </c>
      <c r="L103" s="267">
        <v>366</v>
      </c>
      <c r="M103" s="268">
        <v>399</v>
      </c>
      <c r="O103" s="267">
        <v>58</v>
      </c>
      <c r="P103" s="267">
        <v>83</v>
      </c>
      <c r="Q103" s="267">
        <v>374</v>
      </c>
      <c r="R103" s="267">
        <v>439</v>
      </c>
      <c r="S103" s="268">
        <v>525</v>
      </c>
      <c r="U103" s="267">
        <v>158</v>
      </c>
      <c r="V103" s="267">
        <v>178</v>
      </c>
      <c r="W103" s="267">
        <v>201</v>
      </c>
      <c r="X103" s="267">
        <v>218</v>
      </c>
      <c r="Y103" s="268">
        <v>251</v>
      </c>
      <c r="AA103" s="267">
        <v>173</v>
      </c>
      <c r="AB103" s="267">
        <v>192</v>
      </c>
      <c r="AC103" s="267">
        <v>221</v>
      </c>
      <c r="AD103" s="267">
        <v>265</v>
      </c>
      <c r="AE103" s="268">
        <v>335</v>
      </c>
      <c r="AG103" s="282">
        <v>10</v>
      </c>
      <c r="AH103" s="282">
        <v>10</v>
      </c>
      <c r="AI103" s="282">
        <v>10</v>
      </c>
      <c r="AJ103" s="282">
        <v>10</v>
      </c>
      <c r="AK103" s="283">
        <v>10</v>
      </c>
      <c r="AL103" s="289"/>
      <c r="AM103" s="282">
        <v>10</v>
      </c>
      <c r="AN103" s="282">
        <v>10</v>
      </c>
      <c r="AO103" s="282">
        <v>10</v>
      </c>
      <c r="AP103" s="282">
        <v>10</v>
      </c>
      <c r="AQ103" s="283">
        <v>10</v>
      </c>
      <c r="AS103" s="282">
        <v>206.2</v>
      </c>
      <c r="AT103" s="282">
        <v>186.2</v>
      </c>
      <c r="AU103" s="282">
        <v>163.19999999999987</v>
      </c>
      <c r="AV103" s="282">
        <v>146.19999999999999</v>
      </c>
      <c r="AW103" s="283">
        <v>113.19999999999999</v>
      </c>
      <c r="AX103" s="284"/>
      <c r="AY103" s="282">
        <v>190.7</v>
      </c>
      <c r="AZ103" s="282">
        <v>171.7</v>
      </c>
      <c r="BA103" s="282">
        <v>143.19999999999999</v>
      </c>
      <c r="BB103" s="282">
        <v>98.699999999999989</v>
      </c>
      <c r="BC103" s="283">
        <v>28.699999999999989</v>
      </c>
    </row>
    <row r="104" spans="2:55" ht="13">
      <c r="B104" s="280" t="s">
        <v>183</v>
      </c>
      <c r="C104" s="281" t="s">
        <v>551</v>
      </c>
      <c r="D104" s="529">
        <v>524</v>
      </c>
      <c r="E104" s="535">
        <v>3.25</v>
      </c>
      <c r="F104" s="239" t="s">
        <v>190</v>
      </c>
      <c r="G104" s="315"/>
      <c r="I104" s="282">
        <v>39</v>
      </c>
      <c r="J104" s="282">
        <v>54</v>
      </c>
      <c r="K104" s="282">
        <v>268</v>
      </c>
      <c r="L104" s="282">
        <v>302</v>
      </c>
      <c r="M104" s="283">
        <v>335</v>
      </c>
      <c r="O104" s="282">
        <v>58</v>
      </c>
      <c r="P104" s="282">
        <v>83</v>
      </c>
      <c r="Q104" s="282">
        <v>309</v>
      </c>
      <c r="R104" s="282">
        <v>375</v>
      </c>
      <c r="S104" s="283">
        <v>460</v>
      </c>
      <c r="U104" s="282">
        <v>214</v>
      </c>
      <c r="V104" s="282">
        <v>234</v>
      </c>
      <c r="W104" s="282">
        <v>257</v>
      </c>
      <c r="X104" s="282">
        <v>274</v>
      </c>
      <c r="Y104" s="283">
        <v>307</v>
      </c>
      <c r="AA104" s="282">
        <v>229</v>
      </c>
      <c r="AB104" s="282">
        <v>248</v>
      </c>
      <c r="AC104" s="282">
        <v>277</v>
      </c>
      <c r="AD104" s="282">
        <v>321</v>
      </c>
      <c r="AE104" s="283">
        <v>391</v>
      </c>
      <c r="AG104" s="282">
        <v>0</v>
      </c>
      <c r="AH104" s="282">
        <v>0</v>
      </c>
      <c r="AI104" s="282">
        <v>0</v>
      </c>
      <c r="AJ104" s="282">
        <v>0</v>
      </c>
      <c r="AK104" s="283">
        <v>0</v>
      </c>
      <c r="AL104" s="289"/>
      <c r="AM104" s="282">
        <v>0</v>
      </c>
      <c r="AN104" s="282">
        <v>0</v>
      </c>
      <c r="AO104" s="282">
        <v>0</v>
      </c>
      <c r="AP104" s="282">
        <v>0</v>
      </c>
      <c r="AQ104" s="283">
        <v>0</v>
      </c>
      <c r="AS104" s="282">
        <v>310.42</v>
      </c>
      <c r="AT104" s="282">
        <v>290.42</v>
      </c>
      <c r="AU104" s="282">
        <v>267.4199999999999</v>
      </c>
      <c r="AV104" s="282">
        <v>250.42000000000002</v>
      </c>
      <c r="AW104" s="283">
        <v>217.42000000000002</v>
      </c>
      <c r="AX104" s="284"/>
      <c r="AY104" s="282">
        <v>294.92</v>
      </c>
      <c r="AZ104" s="282">
        <v>275.92</v>
      </c>
      <c r="BA104" s="282">
        <v>247.42000000000002</v>
      </c>
      <c r="BB104" s="282">
        <v>202.92000000000002</v>
      </c>
      <c r="BC104" s="283">
        <v>132.92000000000002</v>
      </c>
    </row>
    <row r="105" spans="2:55" ht="13">
      <c r="B105" s="273" t="s">
        <v>64</v>
      </c>
      <c r="C105" s="286" t="s">
        <v>383</v>
      </c>
      <c r="D105" s="531">
        <v>74</v>
      </c>
      <c r="E105" s="532">
        <v>1.1000000000000001</v>
      </c>
      <c r="F105" s="237" t="s">
        <v>284</v>
      </c>
      <c r="G105" s="314"/>
      <c r="I105" s="267">
        <v>39</v>
      </c>
      <c r="J105" s="267">
        <v>54</v>
      </c>
      <c r="K105" s="267">
        <v>200</v>
      </c>
      <c r="L105" s="267">
        <v>234</v>
      </c>
      <c r="M105" s="268">
        <v>267</v>
      </c>
      <c r="O105" s="267">
        <v>58</v>
      </c>
      <c r="P105" s="267">
        <v>83</v>
      </c>
      <c r="Q105" s="267">
        <v>241</v>
      </c>
      <c r="R105" s="267">
        <v>307</v>
      </c>
      <c r="S105" s="268">
        <v>392</v>
      </c>
      <c r="U105" s="267">
        <v>74</v>
      </c>
      <c r="V105" s="267">
        <v>74</v>
      </c>
      <c r="W105" s="267">
        <v>74</v>
      </c>
      <c r="X105" s="267">
        <v>74</v>
      </c>
      <c r="Y105" s="268">
        <v>74</v>
      </c>
      <c r="AA105" s="267">
        <v>74</v>
      </c>
      <c r="AB105" s="267">
        <v>74</v>
      </c>
      <c r="AC105" s="267">
        <v>74</v>
      </c>
      <c r="AD105" s="267">
        <v>74</v>
      </c>
      <c r="AE105" s="268">
        <v>74</v>
      </c>
      <c r="AG105" s="282">
        <v>0</v>
      </c>
      <c r="AH105" s="282">
        <v>0</v>
      </c>
      <c r="AI105" s="282">
        <v>0</v>
      </c>
      <c r="AJ105" s="282">
        <v>0</v>
      </c>
      <c r="AK105" s="283">
        <v>0</v>
      </c>
      <c r="AL105" s="289"/>
      <c r="AM105" s="282">
        <v>0</v>
      </c>
      <c r="AN105" s="282">
        <v>0</v>
      </c>
      <c r="AO105" s="282">
        <v>0</v>
      </c>
      <c r="AP105" s="282">
        <v>0</v>
      </c>
      <c r="AQ105" s="283">
        <v>0</v>
      </c>
      <c r="AS105" s="282">
        <v>0</v>
      </c>
      <c r="AT105" s="282">
        <v>0</v>
      </c>
      <c r="AU105" s="282">
        <v>0</v>
      </c>
      <c r="AV105" s="282">
        <v>0</v>
      </c>
      <c r="AW105" s="283">
        <v>0</v>
      </c>
      <c r="AX105" s="284"/>
      <c r="AY105" s="282">
        <v>0</v>
      </c>
      <c r="AZ105" s="282">
        <v>0</v>
      </c>
      <c r="BA105" s="282">
        <v>0</v>
      </c>
      <c r="BB105" s="282">
        <v>0</v>
      </c>
      <c r="BC105" s="283">
        <v>0</v>
      </c>
    </row>
    <row r="106" spans="2:55" ht="13">
      <c r="B106" s="280" t="s">
        <v>64</v>
      </c>
      <c r="C106" s="281" t="s">
        <v>555</v>
      </c>
      <c r="D106" s="529">
        <v>70</v>
      </c>
      <c r="E106" s="535">
        <v>1.1000000000000001</v>
      </c>
      <c r="F106" s="239" t="s">
        <v>284</v>
      </c>
      <c r="G106" s="315"/>
      <c r="I106" s="282">
        <v>39</v>
      </c>
      <c r="J106" s="282">
        <v>54</v>
      </c>
      <c r="K106" s="282">
        <v>298</v>
      </c>
      <c r="L106" s="282">
        <v>332</v>
      </c>
      <c r="M106" s="283">
        <v>365</v>
      </c>
      <c r="O106" s="282">
        <v>58</v>
      </c>
      <c r="P106" s="282">
        <v>83</v>
      </c>
      <c r="Q106" s="282">
        <v>339</v>
      </c>
      <c r="R106" s="282">
        <v>405</v>
      </c>
      <c r="S106" s="283">
        <v>490</v>
      </c>
      <c r="U106" s="282">
        <v>70</v>
      </c>
      <c r="V106" s="282">
        <v>0</v>
      </c>
      <c r="W106" s="282">
        <v>0</v>
      </c>
      <c r="X106" s="282">
        <v>0</v>
      </c>
      <c r="Y106" s="283">
        <v>0</v>
      </c>
      <c r="AA106" s="282">
        <v>70</v>
      </c>
      <c r="AB106" s="282">
        <v>0</v>
      </c>
      <c r="AC106" s="282">
        <v>0</v>
      </c>
      <c r="AD106" s="282">
        <v>0</v>
      </c>
      <c r="AE106" s="283">
        <v>0</v>
      </c>
      <c r="AG106" s="282">
        <v>0</v>
      </c>
      <c r="AH106" s="282">
        <v>0</v>
      </c>
      <c r="AI106" s="282">
        <v>0</v>
      </c>
      <c r="AJ106" s="282">
        <v>0</v>
      </c>
      <c r="AK106" s="283">
        <v>0</v>
      </c>
      <c r="AL106" s="289"/>
      <c r="AM106" s="282">
        <v>0</v>
      </c>
      <c r="AN106" s="282">
        <v>0</v>
      </c>
      <c r="AO106" s="282">
        <v>0</v>
      </c>
      <c r="AP106" s="282">
        <v>0</v>
      </c>
      <c r="AQ106" s="283">
        <v>0</v>
      </c>
      <c r="AS106" s="282">
        <v>0</v>
      </c>
      <c r="AT106" s="282" t="s">
        <v>15</v>
      </c>
      <c r="AU106" s="282" t="s">
        <v>15</v>
      </c>
      <c r="AV106" s="282" t="s">
        <v>15</v>
      </c>
      <c r="AW106" s="283" t="s">
        <v>15</v>
      </c>
      <c r="AX106" s="284"/>
      <c r="AY106" s="282">
        <v>0</v>
      </c>
      <c r="AZ106" s="282" t="s">
        <v>15</v>
      </c>
      <c r="BA106" s="282" t="s">
        <v>15</v>
      </c>
      <c r="BB106" s="282" t="s">
        <v>15</v>
      </c>
      <c r="BC106" s="283" t="s">
        <v>15</v>
      </c>
    </row>
    <row r="107" spans="2:55" ht="13">
      <c r="B107" s="273" t="s">
        <v>64</v>
      </c>
      <c r="C107" s="286" t="s">
        <v>556</v>
      </c>
      <c r="D107" s="531">
        <v>0</v>
      </c>
      <c r="E107" s="532">
        <v>1.1000000000000001</v>
      </c>
      <c r="F107" s="237" t="s">
        <v>284</v>
      </c>
      <c r="G107" s="314"/>
      <c r="I107" s="267">
        <v>39</v>
      </c>
      <c r="J107" s="267">
        <v>54</v>
      </c>
      <c r="K107" s="267">
        <v>274</v>
      </c>
      <c r="L107" s="267">
        <v>308</v>
      </c>
      <c r="M107" s="268">
        <v>341</v>
      </c>
      <c r="O107" s="267">
        <v>58</v>
      </c>
      <c r="P107" s="267">
        <v>83</v>
      </c>
      <c r="Q107" s="267">
        <v>316</v>
      </c>
      <c r="R107" s="267">
        <v>381</v>
      </c>
      <c r="S107" s="268">
        <v>467</v>
      </c>
      <c r="U107" s="267">
        <v>0</v>
      </c>
      <c r="V107" s="267">
        <v>0</v>
      </c>
      <c r="W107" s="267">
        <v>0</v>
      </c>
      <c r="X107" s="267">
        <v>0</v>
      </c>
      <c r="Y107" s="268">
        <v>0</v>
      </c>
      <c r="AA107" s="267">
        <v>0</v>
      </c>
      <c r="AB107" s="267">
        <v>0</v>
      </c>
      <c r="AC107" s="267">
        <v>0</v>
      </c>
      <c r="AD107" s="267">
        <v>0</v>
      </c>
      <c r="AE107" s="268">
        <v>0</v>
      </c>
      <c r="AG107" s="282">
        <v>0</v>
      </c>
      <c r="AH107" s="282">
        <v>0</v>
      </c>
      <c r="AI107" s="282">
        <v>0</v>
      </c>
      <c r="AJ107" s="282">
        <v>0</v>
      </c>
      <c r="AK107" s="283">
        <v>0</v>
      </c>
      <c r="AL107" s="289"/>
      <c r="AM107" s="282">
        <v>0</v>
      </c>
      <c r="AN107" s="282">
        <v>0</v>
      </c>
      <c r="AO107" s="282">
        <v>0</v>
      </c>
      <c r="AP107" s="282">
        <v>0</v>
      </c>
      <c r="AQ107" s="283">
        <v>0</v>
      </c>
      <c r="AS107" s="282" t="s">
        <v>15</v>
      </c>
      <c r="AT107" s="282" t="s">
        <v>15</v>
      </c>
      <c r="AU107" s="282" t="s">
        <v>15</v>
      </c>
      <c r="AV107" s="282" t="s">
        <v>15</v>
      </c>
      <c r="AW107" s="283" t="s">
        <v>15</v>
      </c>
      <c r="AX107" s="284"/>
      <c r="AY107" s="282" t="s">
        <v>15</v>
      </c>
      <c r="AZ107" s="282" t="s">
        <v>15</v>
      </c>
      <c r="BA107" s="282" t="s">
        <v>15</v>
      </c>
      <c r="BB107" s="282" t="s">
        <v>15</v>
      </c>
      <c r="BC107" s="283" t="s">
        <v>15</v>
      </c>
    </row>
    <row r="108" spans="2:55" ht="13">
      <c r="B108" s="280" t="s">
        <v>64</v>
      </c>
      <c r="C108" s="281" t="s">
        <v>331</v>
      </c>
      <c r="D108" s="533">
        <v>104</v>
      </c>
      <c r="E108" s="534">
        <v>1.1000000000000001</v>
      </c>
      <c r="F108" s="239" t="s">
        <v>284</v>
      </c>
      <c r="G108" s="315"/>
      <c r="I108" s="282">
        <v>71</v>
      </c>
      <c r="J108" s="282">
        <v>0</v>
      </c>
      <c r="K108" s="282">
        <v>0</v>
      </c>
      <c r="L108" s="282">
        <v>0</v>
      </c>
      <c r="M108" s="283">
        <v>0</v>
      </c>
      <c r="O108" s="282">
        <v>71</v>
      </c>
      <c r="P108" s="282">
        <v>0</v>
      </c>
      <c r="Q108" s="282">
        <v>0</v>
      </c>
      <c r="R108" s="282">
        <v>0</v>
      </c>
      <c r="S108" s="283">
        <v>0</v>
      </c>
      <c r="U108" s="282">
        <v>80</v>
      </c>
      <c r="V108" s="282">
        <v>0</v>
      </c>
      <c r="W108" s="282">
        <v>0</v>
      </c>
      <c r="X108" s="282">
        <v>0</v>
      </c>
      <c r="Y108" s="283">
        <v>0</v>
      </c>
      <c r="AA108" s="282">
        <v>80</v>
      </c>
      <c r="AB108" s="282">
        <v>0</v>
      </c>
      <c r="AC108" s="282">
        <v>0</v>
      </c>
      <c r="AD108" s="282">
        <v>0</v>
      </c>
      <c r="AE108" s="283">
        <v>0</v>
      </c>
      <c r="AG108" s="282">
        <v>0</v>
      </c>
      <c r="AH108" s="282">
        <v>0</v>
      </c>
      <c r="AI108" s="282">
        <v>0</v>
      </c>
      <c r="AJ108" s="282">
        <v>0</v>
      </c>
      <c r="AK108" s="283">
        <v>0</v>
      </c>
      <c r="AL108" s="289"/>
      <c r="AM108" s="282">
        <v>0</v>
      </c>
      <c r="AN108" s="282">
        <v>0</v>
      </c>
      <c r="AO108" s="282">
        <v>0</v>
      </c>
      <c r="AP108" s="282">
        <v>0</v>
      </c>
      <c r="AQ108" s="283">
        <v>0</v>
      </c>
      <c r="AS108" s="282">
        <v>24</v>
      </c>
      <c r="AT108" s="282" t="s">
        <v>15</v>
      </c>
      <c r="AU108" s="282" t="s">
        <v>15</v>
      </c>
      <c r="AV108" s="282" t="s">
        <v>15</v>
      </c>
      <c r="AW108" s="283" t="s">
        <v>15</v>
      </c>
      <c r="AX108" s="284"/>
      <c r="AY108" s="282">
        <v>24</v>
      </c>
      <c r="AZ108" s="282" t="s">
        <v>15</v>
      </c>
      <c r="BA108" s="282" t="s">
        <v>15</v>
      </c>
      <c r="BB108" s="282" t="s">
        <v>15</v>
      </c>
      <c r="BC108" s="283" t="s">
        <v>15</v>
      </c>
    </row>
    <row r="109" spans="2:55" ht="13">
      <c r="B109" s="273" t="s">
        <v>64</v>
      </c>
      <c r="C109" s="286" t="s">
        <v>332</v>
      </c>
      <c r="D109" s="531">
        <v>0</v>
      </c>
      <c r="E109" s="532">
        <v>1.1000000000000001</v>
      </c>
      <c r="F109" s="237" t="s">
        <v>284</v>
      </c>
      <c r="G109" s="314"/>
      <c r="I109" s="267">
        <v>32</v>
      </c>
      <c r="J109" s="267">
        <v>0</v>
      </c>
      <c r="K109" s="267">
        <v>0</v>
      </c>
      <c r="L109" s="267">
        <v>0</v>
      </c>
      <c r="M109" s="268">
        <v>0</v>
      </c>
      <c r="O109" s="267">
        <v>32</v>
      </c>
      <c r="P109" s="267">
        <v>0</v>
      </c>
      <c r="Q109" s="267">
        <v>0</v>
      </c>
      <c r="R109" s="267">
        <v>0</v>
      </c>
      <c r="S109" s="268">
        <v>0</v>
      </c>
      <c r="U109" s="267">
        <v>0</v>
      </c>
      <c r="V109" s="267">
        <v>0</v>
      </c>
      <c r="W109" s="267">
        <v>0</v>
      </c>
      <c r="X109" s="267">
        <v>0</v>
      </c>
      <c r="Y109" s="268">
        <v>0</v>
      </c>
      <c r="AA109" s="267">
        <v>0</v>
      </c>
      <c r="AB109" s="267">
        <v>0</v>
      </c>
      <c r="AC109" s="267">
        <v>0</v>
      </c>
      <c r="AD109" s="267">
        <v>0</v>
      </c>
      <c r="AE109" s="268">
        <v>0</v>
      </c>
      <c r="AG109" s="282">
        <v>0</v>
      </c>
      <c r="AH109" s="282">
        <v>0</v>
      </c>
      <c r="AI109" s="282">
        <v>0</v>
      </c>
      <c r="AJ109" s="282">
        <v>0</v>
      </c>
      <c r="AK109" s="283">
        <v>0</v>
      </c>
      <c r="AL109" s="289"/>
      <c r="AM109" s="282">
        <v>0</v>
      </c>
      <c r="AN109" s="282">
        <v>0</v>
      </c>
      <c r="AO109" s="282">
        <v>0</v>
      </c>
      <c r="AP109" s="282">
        <v>0</v>
      </c>
      <c r="AQ109" s="283">
        <v>0</v>
      </c>
      <c r="AS109" s="282" t="s">
        <v>15</v>
      </c>
      <c r="AT109" s="282" t="s">
        <v>15</v>
      </c>
      <c r="AU109" s="282" t="s">
        <v>15</v>
      </c>
      <c r="AV109" s="282" t="s">
        <v>15</v>
      </c>
      <c r="AW109" s="283" t="s">
        <v>15</v>
      </c>
      <c r="AX109" s="284"/>
      <c r="AY109" s="282" t="s">
        <v>15</v>
      </c>
      <c r="AZ109" s="282" t="s">
        <v>15</v>
      </c>
      <c r="BA109" s="282" t="s">
        <v>15</v>
      </c>
      <c r="BB109" s="282" t="s">
        <v>15</v>
      </c>
      <c r="BC109" s="283" t="s">
        <v>15</v>
      </c>
    </row>
    <row r="110" spans="2:55" ht="13">
      <c r="B110" s="280" t="s">
        <v>64</v>
      </c>
      <c r="C110" s="281" t="s">
        <v>196</v>
      </c>
      <c r="D110" s="533">
        <v>0</v>
      </c>
      <c r="E110" s="534">
        <v>1.1000000000000001</v>
      </c>
      <c r="F110" s="239" t="s">
        <v>284</v>
      </c>
      <c r="G110" s="315"/>
      <c r="I110" s="282">
        <v>0</v>
      </c>
      <c r="J110" s="282">
        <v>0</v>
      </c>
      <c r="K110" s="282">
        <v>0</v>
      </c>
      <c r="L110" s="282">
        <v>0</v>
      </c>
      <c r="M110" s="283">
        <v>0</v>
      </c>
      <c r="O110" s="282">
        <v>0</v>
      </c>
      <c r="P110" s="282">
        <v>0</v>
      </c>
      <c r="Q110" s="282">
        <v>0</v>
      </c>
      <c r="R110" s="282">
        <v>0</v>
      </c>
      <c r="S110" s="283">
        <v>0</v>
      </c>
      <c r="U110" s="282">
        <v>0</v>
      </c>
      <c r="V110" s="282">
        <v>0</v>
      </c>
      <c r="W110" s="282">
        <v>0</v>
      </c>
      <c r="X110" s="282">
        <v>0</v>
      </c>
      <c r="Y110" s="283">
        <v>0</v>
      </c>
      <c r="AA110" s="282">
        <v>0</v>
      </c>
      <c r="AB110" s="282">
        <v>0</v>
      </c>
      <c r="AC110" s="282">
        <v>0</v>
      </c>
      <c r="AD110" s="282">
        <v>0</v>
      </c>
      <c r="AE110" s="283">
        <v>0</v>
      </c>
      <c r="AG110" s="282">
        <v>0</v>
      </c>
      <c r="AH110" s="282">
        <v>0</v>
      </c>
      <c r="AI110" s="282">
        <v>0</v>
      </c>
      <c r="AJ110" s="282">
        <v>0</v>
      </c>
      <c r="AK110" s="283">
        <v>0</v>
      </c>
      <c r="AL110" s="289"/>
      <c r="AM110" s="282">
        <v>0</v>
      </c>
      <c r="AN110" s="282">
        <v>0</v>
      </c>
      <c r="AO110" s="282">
        <v>0</v>
      </c>
      <c r="AP110" s="282">
        <v>0</v>
      </c>
      <c r="AQ110" s="283">
        <v>0</v>
      </c>
      <c r="AS110" s="282" t="s">
        <v>15</v>
      </c>
      <c r="AT110" s="282" t="s">
        <v>15</v>
      </c>
      <c r="AU110" s="282" t="s">
        <v>15</v>
      </c>
      <c r="AV110" s="282" t="s">
        <v>15</v>
      </c>
      <c r="AW110" s="283" t="s">
        <v>15</v>
      </c>
      <c r="AX110" s="284"/>
      <c r="AY110" s="282" t="s">
        <v>15</v>
      </c>
      <c r="AZ110" s="282" t="s">
        <v>15</v>
      </c>
      <c r="BA110" s="282" t="s">
        <v>15</v>
      </c>
      <c r="BB110" s="282" t="s">
        <v>15</v>
      </c>
      <c r="BC110" s="283" t="s">
        <v>15</v>
      </c>
    </row>
    <row r="111" spans="2:55" ht="13">
      <c r="B111" s="273" t="s">
        <v>64</v>
      </c>
      <c r="C111" s="123" t="s">
        <v>633</v>
      </c>
      <c r="D111" s="531">
        <v>115</v>
      </c>
      <c r="E111" s="532">
        <v>1.1000000000000001</v>
      </c>
      <c r="F111" s="237" t="s">
        <v>284</v>
      </c>
      <c r="G111" s="314"/>
      <c r="I111" s="267">
        <v>40</v>
      </c>
      <c r="J111" s="267">
        <v>0</v>
      </c>
      <c r="K111" s="267">
        <v>0</v>
      </c>
      <c r="L111" s="267">
        <v>0</v>
      </c>
      <c r="M111" s="268">
        <v>0</v>
      </c>
      <c r="O111" s="267">
        <v>40</v>
      </c>
      <c r="P111" s="267">
        <v>0</v>
      </c>
      <c r="Q111" s="267">
        <v>0</v>
      </c>
      <c r="R111" s="267">
        <v>0</v>
      </c>
      <c r="S111" s="268">
        <v>0</v>
      </c>
      <c r="U111" s="267">
        <v>77</v>
      </c>
      <c r="V111" s="267">
        <v>0</v>
      </c>
      <c r="W111" s="267">
        <v>0</v>
      </c>
      <c r="X111" s="267">
        <v>0</v>
      </c>
      <c r="Y111" s="268">
        <v>0</v>
      </c>
      <c r="AA111" s="267">
        <v>77</v>
      </c>
      <c r="AB111" s="267">
        <v>0</v>
      </c>
      <c r="AC111" s="267">
        <v>0</v>
      </c>
      <c r="AD111" s="267">
        <v>0</v>
      </c>
      <c r="AE111" s="268">
        <v>0</v>
      </c>
      <c r="AG111" s="282" t="e">
        <v>#N/A</v>
      </c>
      <c r="AH111" s="282" t="e">
        <v>#N/A</v>
      </c>
      <c r="AI111" s="282" t="e">
        <v>#N/A</v>
      </c>
      <c r="AJ111" s="282" t="e">
        <v>#N/A</v>
      </c>
      <c r="AK111" s="283" t="e">
        <v>#N/A</v>
      </c>
      <c r="AL111" s="289"/>
      <c r="AM111" s="282" t="e">
        <v>#N/A</v>
      </c>
      <c r="AN111" s="282" t="e">
        <v>#N/A</v>
      </c>
      <c r="AO111" s="282" t="e">
        <v>#N/A</v>
      </c>
      <c r="AP111" s="282" t="e">
        <v>#N/A</v>
      </c>
      <c r="AQ111" s="283" t="e">
        <v>#N/A</v>
      </c>
      <c r="AS111" s="282">
        <v>38</v>
      </c>
      <c r="AT111" s="282" t="s">
        <v>15</v>
      </c>
      <c r="AU111" s="282" t="s">
        <v>15</v>
      </c>
      <c r="AV111" s="282" t="s">
        <v>15</v>
      </c>
      <c r="AW111" s="283" t="s">
        <v>15</v>
      </c>
      <c r="AX111" s="284"/>
      <c r="AY111" s="282">
        <v>38</v>
      </c>
      <c r="AZ111" s="282" t="s">
        <v>15</v>
      </c>
      <c r="BA111" s="282" t="s">
        <v>15</v>
      </c>
      <c r="BB111" s="282" t="s">
        <v>15</v>
      </c>
      <c r="BC111" s="283" t="s">
        <v>15</v>
      </c>
    </row>
    <row r="112" spans="2:55" ht="13">
      <c r="B112" s="280" t="s">
        <v>64</v>
      </c>
      <c r="C112" s="118" t="s">
        <v>634</v>
      </c>
      <c r="D112" s="533">
        <v>0</v>
      </c>
      <c r="E112" s="534">
        <v>1.1000000000000001</v>
      </c>
      <c r="F112" s="239" t="s">
        <v>284</v>
      </c>
      <c r="G112" s="315"/>
      <c r="I112" s="282">
        <v>0</v>
      </c>
      <c r="J112" s="282">
        <v>0</v>
      </c>
      <c r="K112" s="282">
        <v>0</v>
      </c>
      <c r="L112" s="282">
        <v>0</v>
      </c>
      <c r="M112" s="283">
        <v>0</v>
      </c>
      <c r="O112" s="282">
        <v>0</v>
      </c>
      <c r="P112" s="282">
        <v>0</v>
      </c>
      <c r="Q112" s="282">
        <v>0</v>
      </c>
      <c r="R112" s="282">
        <v>0</v>
      </c>
      <c r="S112" s="283">
        <v>0</v>
      </c>
      <c r="U112" s="282">
        <v>0</v>
      </c>
      <c r="V112" s="282">
        <v>0</v>
      </c>
      <c r="W112" s="282">
        <v>0</v>
      </c>
      <c r="X112" s="282">
        <v>0</v>
      </c>
      <c r="Y112" s="283">
        <v>0</v>
      </c>
      <c r="AA112" s="282">
        <v>0</v>
      </c>
      <c r="AB112" s="282">
        <v>0</v>
      </c>
      <c r="AC112" s="282">
        <v>0</v>
      </c>
      <c r="AD112" s="282">
        <v>0</v>
      </c>
      <c r="AE112" s="283">
        <v>0</v>
      </c>
      <c r="AG112" s="282" t="e">
        <v>#N/A</v>
      </c>
      <c r="AH112" s="282" t="e">
        <v>#N/A</v>
      </c>
      <c r="AI112" s="282" t="e">
        <v>#N/A</v>
      </c>
      <c r="AJ112" s="282" t="e">
        <v>#N/A</v>
      </c>
      <c r="AK112" s="283" t="e">
        <v>#N/A</v>
      </c>
      <c r="AL112" s="289"/>
      <c r="AM112" s="282" t="e">
        <v>#N/A</v>
      </c>
      <c r="AN112" s="282" t="e">
        <v>#N/A</v>
      </c>
      <c r="AO112" s="282" t="e">
        <v>#N/A</v>
      </c>
      <c r="AP112" s="282" t="e">
        <v>#N/A</v>
      </c>
      <c r="AQ112" s="283" t="e">
        <v>#N/A</v>
      </c>
      <c r="AS112" s="282" t="s">
        <v>15</v>
      </c>
      <c r="AT112" s="282" t="s">
        <v>15</v>
      </c>
      <c r="AU112" s="282" t="s">
        <v>15</v>
      </c>
      <c r="AV112" s="282" t="s">
        <v>15</v>
      </c>
      <c r="AW112" s="283" t="s">
        <v>15</v>
      </c>
      <c r="AX112" s="284"/>
      <c r="AY112" s="282" t="s">
        <v>15</v>
      </c>
      <c r="AZ112" s="282" t="s">
        <v>15</v>
      </c>
      <c r="BA112" s="282" t="s">
        <v>15</v>
      </c>
      <c r="BB112" s="282" t="s">
        <v>15</v>
      </c>
      <c r="BC112" s="283" t="s">
        <v>15</v>
      </c>
    </row>
    <row r="113" spans="2:55" ht="13">
      <c r="B113" s="273" t="s">
        <v>116</v>
      </c>
      <c r="C113" s="286" t="s">
        <v>329</v>
      </c>
      <c r="D113" s="531">
        <v>547</v>
      </c>
      <c r="E113" s="532">
        <v>0</v>
      </c>
      <c r="F113" s="237" t="s">
        <v>460</v>
      </c>
      <c r="G113" s="314"/>
      <c r="I113" s="267">
        <v>0</v>
      </c>
      <c r="J113" s="267">
        <v>0</v>
      </c>
      <c r="K113" s="267">
        <v>0</v>
      </c>
      <c r="L113" s="267">
        <v>0</v>
      </c>
      <c r="M113" s="268">
        <v>0</v>
      </c>
      <c r="O113" s="267">
        <v>0</v>
      </c>
      <c r="P113" s="267">
        <v>0</v>
      </c>
      <c r="Q113" s="267">
        <v>0</v>
      </c>
      <c r="R113" s="267">
        <v>0</v>
      </c>
      <c r="S113" s="268">
        <v>0</v>
      </c>
      <c r="U113" s="267">
        <v>352</v>
      </c>
      <c r="V113" s="267">
        <v>352</v>
      </c>
      <c r="W113" s="267">
        <v>352</v>
      </c>
      <c r="X113" s="267">
        <v>352</v>
      </c>
      <c r="Y113" s="268">
        <v>352</v>
      </c>
      <c r="AA113" s="267">
        <v>352</v>
      </c>
      <c r="AB113" s="267">
        <v>352</v>
      </c>
      <c r="AC113" s="267">
        <v>352</v>
      </c>
      <c r="AD113" s="267">
        <v>352</v>
      </c>
      <c r="AE113" s="268">
        <v>352</v>
      </c>
      <c r="AG113" s="282">
        <v>0</v>
      </c>
      <c r="AH113" s="282">
        <v>0</v>
      </c>
      <c r="AI113" s="282">
        <v>0</v>
      </c>
      <c r="AJ113" s="282">
        <v>0</v>
      </c>
      <c r="AK113" s="283">
        <v>0</v>
      </c>
      <c r="AL113" s="289"/>
      <c r="AM113" s="282">
        <v>0</v>
      </c>
      <c r="AN113" s="282">
        <v>0</v>
      </c>
      <c r="AO113" s="282">
        <v>0</v>
      </c>
      <c r="AP113" s="282">
        <v>0</v>
      </c>
      <c r="AQ113" s="283">
        <v>0</v>
      </c>
      <c r="AS113" s="282">
        <v>195</v>
      </c>
      <c r="AT113" s="282">
        <v>195</v>
      </c>
      <c r="AU113" s="282">
        <v>195</v>
      </c>
      <c r="AV113" s="282">
        <v>195</v>
      </c>
      <c r="AW113" s="283">
        <v>195</v>
      </c>
      <c r="AX113" s="284"/>
      <c r="AY113" s="282">
        <v>195</v>
      </c>
      <c r="AZ113" s="282">
        <v>195</v>
      </c>
      <c r="BA113" s="282">
        <v>195</v>
      </c>
      <c r="BB113" s="282">
        <v>195</v>
      </c>
      <c r="BC113" s="283">
        <v>195</v>
      </c>
    </row>
    <row r="114" spans="2:55" ht="13">
      <c r="B114" s="280" t="s">
        <v>65</v>
      </c>
      <c r="C114" s="281" t="s">
        <v>499</v>
      </c>
      <c r="D114" s="533">
        <v>186</v>
      </c>
      <c r="E114" s="534">
        <v>3.25</v>
      </c>
      <c r="F114" s="239" t="s">
        <v>190</v>
      </c>
      <c r="G114" s="315"/>
      <c r="I114" s="282">
        <v>0</v>
      </c>
      <c r="J114" s="282">
        <v>0</v>
      </c>
      <c r="K114" s="282">
        <v>0</v>
      </c>
      <c r="L114" s="282">
        <v>0</v>
      </c>
      <c r="M114" s="283">
        <v>0</v>
      </c>
      <c r="O114" s="282">
        <v>0</v>
      </c>
      <c r="P114" s="282">
        <v>0</v>
      </c>
      <c r="Q114" s="282">
        <v>0</v>
      </c>
      <c r="R114" s="282">
        <v>0</v>
      </c>
      <c r="S114" s="283">
        <v>0</v>
      </c>
      <c r="U114" s="282">
        <v>52</v>
      </c>
      <c r="V114" s="282">
        <v>72</v>
      </c>
      <c r="W114" s="282">
        <v>95</v>
      </c>
      <c r="X114" s="282">
        <v>112</v>
      </c>
      <c r="Y114" s="283">
        <v>145</v>
      </c>
      <c r="AA114" s="282">
        <v>68</v>
      </c>
      <c r="AB114" s="282">
        <v>87</v>
      </c>
      <c r="AC114" s="282">
        <v>115</v>
      </c>
      <c r="AD114" s="282">
        <v>160</v>
      </c>
      <c r="AE114" s="283">
        <v>230</v>
      </c>
      <c r="AG114" s="282">
        <v>0</v>
      </c>
      <c r="AH114" s="282">
        <v>0</v>
      </c>
      <c r="AI114" s="282">
        <v>0</v>
      </c>
      <c r="AJ114" s="282">
        <v>0</v>
      </c>
      <c r="AK114" s="283">
        <v>0</v>
      </c>
      <c r="AL114" s="289"/>
      <c r="AM114" s="282">
        <v>0</v>
      </c>
      <c r="AN114" s="282">
        <v>0</v>
      </c>
      <c r="AO114" s="282">
        <v>0</v>
      </c>
      <c r="AP114" s="282">
        <v>0</v>
      </c>
      <c r="AQ114" s="283">
        <v>0</v>
      </c>
      <c r="AS114" s="282">
        <v>134</v>
      </c>
      <c r="AT114" s="282">
        <v>114</v>
      </c>
      <c r="AU114" s="282">
        <v>90.999999999999886</v>
      </c>
      <c r="AV114" s="282">
        <v>74</v>
      </c>
      <c r="AW114" s="283">
        <v>41</v>
      </c>
      <c r="AX114" s="284"/>
      <c r="AY114" s="282">
        <v>118.50000000000003</v>
      </c>
      <c r="AZ114" s="282">
        <v>99.5</v>
      </c>
      <c r="BA114" s="282">
        <v>71</v>
      </c>
      <c r="BB114" s="282">
        <v>26.5</v>
      </c>
      <c r="BC114" s="283">
        <v>-43.5</v>
      </c>
    </row>
    <row r="115" spans="2:55" ht="13">
      <c r="B115" s="273" t="s">
        <v>65</v>
      </c>
      <c r="C115" s="286" t="s">
        <v>465</v>
      </c>
      <c r="D115" s="531">
        <v>215</v>
      </c>
      <c r="E115" s="532">
        <v>3.25</v>
      </c>
      <c r="F115" s="237" t="s">
        <v>190</v>
      </c>
      <c r="G115" s="314"/>
      <c r="I115" s="267">
        <v>0</v>
      </c>
      <c r="J115" s="267">
        <v>0</v>
      </c>
      <c r="K115" s="267">
        <v>0</v>
      </c>
      <c r="L115" s="267">
        <v>0</v>
      </c>
      <c r="M115" s="268">
        <v>0</v>
      </c>
      <c r="O115" s="267">
        <v>0</v>
      </c>
      <c r="P115" s="267">
        <v>0</v>
      </c>
      <c r="Q115" s="267">
        <v>0</v>
      </c>
      <c r="R115" s="267">
        <v>0</v>
      </c>
      <c r="S115" s="268">
        <v>0</v>
      </c>
      <c r="U115" s="267">
        <v>52</v>
      </c>
      <c r="V115" s="267">
        <v>72</v>
      </c>
      <c r="W115" s="267">
        <v>95</v>
      </c>
      <c r="X115" s="267">
        <v>112</v>
      </c>
      <c r="Y115" s="268">
        <v>145</v>
      </c>
      <c r="AA115" s="267">
        <v>68</v>
      </c>
      <c r="AB115" s="267">
        <v>87</v>
      </c>
      <c r="AC115" s="267">
        <v>115</v>
      </c>
      <c r="AD115" s="267">
        <v>160</v>
      </c>
      <c r="AE115" s="268">
        <v>230</v>
      </c>
      <c r="AG115" s="282">
        <v>0</v>
      </c>
      <c r="AH115" s="282">
        <v>0</v>
      </c>
      <c r="AI115" s="282">
        <v>0</v>
      </c>
      <c r="AJ115" s="282">
        <v>0</v>
      </c>
      <c r="AK115" s="283">
        <v>0</v>
      </c>
      <c r="AL115" s="289"/>
      <c r="AM115" s="282">
        <v>0</v>
      </c>
      <c r="AN115" s="282">
        <v>0</v>
      </c>
      <c r="AO115" s="282">
        <v>0</v>
      </c>
      <c r="AP115" s="282">
        <v>0</v>
      </c>
      <c r="AQ115" s="283">
        <v>0</v>
      </c>
      <c r="AS115" s="282">
        <v>163</v>
      </c>
      <c r="AT115" s="282">
        <v>143</v>
      </c>
      <c r="AU115" s="282">
        <v>119.99999999999989</v>
      </c>
      <c r="AV115" s="282">
        <v>103</v>
      </c>
      <c r="AW115" s="283">
        <v>70</v>
      </c>
      <c r="AX115" s="284"/>
      <c r="AY115" s="282">
        <v>147.50000000000003</v>
      </c>
      <c r="AZ115" s="282">
        <v>128.5</v>
      </c>
      <c r="BA115" s="282">
        <v>100</v>
      </c>
      <c r="BB115" s="282">
        <v>55.5</v>
      </c>
      <c r="BC115" s="283">
        <v>-14.5</v>
      </c>
    </row>
    <row r="116" spans="2:55" ht="13">
      <c r="B116" s="280" t="s">
        <v>65</v>
      </c>
      <c r="C116" s="281" t="s">
        <v>614</v>
      </c>
      <c r="D116" s="533">
        <v>186</v>
      </c>
      <c r="E116" s="534">
        <v>3.25</v>
      </c>
      <c r="F116" s="239" t="s">
        <v>190</v>
      </c>
      <c r="G116" s="315"/>
      <c r="I116" s="282">
        <v>0</v>
      </c>
      <c r="J116" s="282">
        <v>0</v>
      </c>
      <c r="K116" s="282">
        <v>0</v>
      </c>
      <c r="L116" s="282">
        <v>0</v>
      </c>
      <c r="M116" s="283">
        <v>0</v>
      </c>
      <c r="O116" s="282">
        <v>0</v>
      </c>
      <c r="P116" s="282">
        <v>0</v>
      </c>
      <c r="Q116" s="282">
        <v>0</v>
      </c>
      <c r="R116" s="282">
        <v>0</v>
      </c>
      <c r="S116" s="283">
        <v>0</v>
      </c>
      <c r="U116" s="282">
        <v>101</v>
      </c>
      <c r="V116" s="282">
        <v>121</v>
      </c>
      <c r="W116" s="282">
        <v>144</v>
      </c>
      <c r="X116" s="282">
        <v>161</v>
      </c>
      <c r="Y116" s="283">
        <v>194</v>
      </c>
      <c r="AA116" s="282">
        <v>116</v>
      </c>
      <c r="AB116" s="282">
        <v>135</v>
      </c>
      <c r="AC116" s="282">
        <v>164</v>
      </c>
      <c r="AD116" s="282">
        <v>208</v>
      </c>
      <c r="AE116" s="283">
        <v>278</v>
      </c>
      <c r="AG116" s="282">
        <v>0</v>
      </c>
      <c r="AH116" s="282">
        <v>0</v>
      </c>
      <c r="AI116" s="282">
        <v>0</v>
      </c>
      <c r="AJ116" s="282">
        <v>0</v>
      </c>
      <c r="AK116" s="283">
        <v>0</v>
      </c>
      <c r="AL116" s="289"/>
      <c r="AM116" s="282">
        <v>0</v>
      </c>
      <c r="AN116" s="282">
        <v>0</v>
      </c>
      <c r="AO116" s="282">
        <v>0</v>
      </c>
      <c r="AP116" s="282">
        <v>0</v>
      </c>
      <c r="AQ116" s="283">
        <v>0</v>
      </c>
      <c r="AS116" s="282">
        <v>85.25</v>
      </c>
      <c r="AT116" s="282">
        <v>65.25</v>
      </c>
      <c r="AU116" s="282">
        <v>42.249999999999886</v>
      </c>
      <c r="AV116" s="282">
        <v>25.25</v>
      </c>
      <c r="AW116" s="283">
        <v>-7.75</v>
      </c>
      <c r="AX116" s="284"/>
      <c r="AY116" s="282">
        <v>69.750000000000028</v>
      </c>
      <c r="AZ116" s="282">
        <v>50.75</v>
      </c>
      <c r="BA116" s="282">
        <v>22.25</v>
      </c>
      <c r="BB116" s="282">
        <v>-22.25</v>
      </c>
      <c r="BC116" s="283">
        <v>-92.25</v>
      </c>
    </row>
    <row r="117" spans="2:55" ht="13">
      <c r="B117" s="273" t="s">
        <v>65</v>
      </c>
      <c r="C117" s="286" t="s">
        <v>615</v>
      </c>
      <c r="D117" s="531">
        <v>248</v>
      </c>
      <c r="E117" s="532">
        <v>3.25</v>
      </c>
      <c r="F117" s="237" t="s">
        <v>190</v>
      </c>
      <c r="G117" s="314"/>
      <c r="I117" s="267">
        <v>0</v>
      </c>
      <c r="J117" s="267">
        <v>0</v>
      </c>
      <c r="K117" s="267">
        <v>0</v>
      </c>
      <c r="L117" s="267">
        <v>0</v>
      </c>
      <c r="M117" s="268">
        <v>0</v>
      </c>
      <c r="O117" s="267">
        <v>0</v>
      </c>
      <c r="P117" s="267">
        <v>0</v>
      </c>
      <c r="Q117" s="267">
        <v>0</v>
      </c>
      <c r="R117" s="267">
        <v>0</v>
      </c>
      <c r="S117" s="268">
        <v>0</v>
      </c>
      <c r="U117" s="267">
        <v>150</v>
      </c>
      <c r="V117" s="267">
        <v>170</v>
      </c>
      <c r="W117" s="267">
        <v>193</v>
      </c>
      <c r="X117" s="267">
        <v>210</v>
      </c>
      <c r="Y117" s="268">
        <v>243</v>
      </c>
      <c r="AA117" s="267">
        <v>166</v>
      </c>
      <c r="AB117" s="267">
        <v>185</v>
      </c>
      <c r="AC117" s="267">
        <v>213</v>
      </c>
      <c r="AD117" s="267">
        <v>258</v>
      </c>
      <c r="AE117" s="268">
        <v>328</v>
      </c>
      <c r="AG117" s="282">
        <v>0</v>
      </c>
      <c r="AH117" s="282">
        <v>0</v>
      </c>
      <c r="AI117" s="282">
        <v>0</v>
      </c>
      <c r="AJ117" s="282">
        <v>0</v>
      </c>
      <c r="AK117" s="283">
        <v>0</v>
      </c>
      <c r="AL117" s="289"/>
      <c r="AM117" s="282">
        <v>0</v>
      </c>
      <c r="AN117" s="282">
        <v>0</v>
      </c>
      <c r="AO117" s="282">
        <v>0</v>
      </c>
      <c r="AP117" s="282">
        <v>0</v>
      </c>
      <c r="AQ117" s="283">
        <v>0</v>
      </c>
      <c r="AS117" s="282">
        <v>98</v>
      </c>
      <c r="AT117" s="282">
        <v>78</v>
      </c>
      <c r="AU117" s="282">
        <v>54.999999999999886</v>
      </c>
      <c r="AV117" s="282">
        <v>38</v>
      </c>
      <c r="AW117" s="283">
        <v>5</v>
      </c>
      <c r="AX117" s="284"/>
      <c r="AY117" s="282">
        <v>82.500000000000028</v>
      </c>
      <c r="AZ117" s="282">
        <v>63.5</v>
      </c>
      <c r="BA117" s="282">
        <v>35</v>
      </c>
      <c r="BB117" s="282">
        <v>-9.5</v>
      </c>
      <c r="BC117" s="283">
        <v>-79.5</v>
      </c>
    </row>
    <row r="118" spans="2:55" ht="13">
      <c r="B118" s="280" t="s">
        <v>65</v>
      </c>
      <c r="C118" s="281" t="s">
        <v>466</v>
      </c>
      <c r="D118" s="533">
        <v>299</v>
      </c>
      <c r="E118" s="534">
        <v>3.25</v>
      </c>
      <c r="F118" s="239" t="s">
        <v>190</v>
      </c>
      <c r="G118" s="345"/>
      <c r="I118" s="282">
        <v>39</v>
      </c>
      <c r="J118" s="282">
        <v>54</v>
      </c>
      <c r="K118" s="282">
        <v>78</v>
      </c>
      <c r="L118" s="282">
        <v>112</v>
      </c>
      <c r="M118" s="283">
        <v>145</v>
      </c>
      <c r="O118" s="282">
        <v>62</v>
      </c>
      <c r="P118" s="282">
        <v>87</v>
      </c>
      <c r="Q118" s="282">
        <v>123</v>
      </c>
      <c r="R118" s="282">
        <v>185</v>
      </c>
      <c r="S118" s="283">
        <v>270</v>
      </c>
      <c r="U118" s="282">
        <v>108</v>
      </c>
      <c r="V118" s="282">
        <v>128</v>
      </c>
      <c r="W118" s="282">
        <v>151</v>
      </c>
      <c r="X118" s="282">
        <v>168</v>
      </c>
      <c r="Y118" s="283">
        <v>201</v>
      </c>
      <c r="AA118" s="282">
        <v>123</v>
      </c>
      <c r="AB118" s="282">
        <v>142</v>
      </c>
      <c r="AC118" s="282">
        <v>171</v>
      </c>
      <c r="AD118" s="282">
        <v>215</v>
      </c>
      <c r="AE118" s="283">
        <v>285</v>
      </c>
      <c r="AG118" s="282">
        <v>0</v>
      </c>
      <c r="AH118" s="282">
        <v>0</v>
      </c>
      <c r="AI118" s="282">
        <v>0</v>
      </c>
      <c r="AJ118" s="282">
        <v>0</v>
      </c>
      <c r="AK118" s="283">
        <v>0</v>
      </c>
      <c r="AL118" s="289"/>
      <c r="AM118" s="282">
        <v>0</v>
      </c>
      <c r="AN118" s="282">
        <v>0</v>
      </c>
      <c r="AO118" s="282">
        <v>0</v>
      </c>
      <c r="AP118" s="282">
        <v>0</v>
      </c>
      <c r="AQ118" s="283">
        <v>0</v>
      </c>
      <c r="AS118" s="282">
        <v>191.25</v>
      </c>
      <c r="AT118" s="282">
        <v>171.25</v>
      </c>
      <c r="AU118" s="282">
        <v>148.24999999999989</v>
      </c>
      <c r="AV118" s="282">
        <v>131.25</v>
      </c>
      <c r="AW118" s="283">
        <v>98.25</v>
      </c>
      <c r="AX118" s="284"/>
      <c r="AY118" s="282">
        <v>175.75000000000003</v>
      </c>
      <c r="AZ118" s="282">
        <v>156.75</v>
      </c>
      <c r="BA118" s="282">
        <v>128.25</v>
      </c>
      <c r="BB118" s="282">
        <v>83.75</v>
      </c>
      <c r="BC118" s="283">
        <v>13.75</v>
      </c>
    </row>
    <row r="119" spans="2:55" ht="13">
      <c r="B119" s="273" t="s">
        <v>65</v>
      </c>
      <c r="C119" s="286" t="s">
        <v>513</v>
      </c>
      <c r="D119" s="531">
        <v>358</v>
      </c>
      <c r="E119" s="532">
        <v>3.25</v>
      </c>
      <c r="F119" s="237" t="s">
        <v>190</v>
      </c>
      <c r="G119" s="314"/>
      <c r="I119" s="267">
        <v>39</v>
      </c>
      <c r="J119" s="267">
        <v>54</v>
      </c>
      <c r="K119" s="267">
        <v>78</v>
      </c>
      <c r="L119" s="267">
        <v>112</v>
      </c>
      <c r="M119" s="268">
        <v>145</v>
      </c>
      <c r="O119" s="267">
        <v>47</v>
      </c>
      <c r="P119" s="267">
        <v>72</v>
      </c>
      <c r="Q119" s="267">
        <v>108</v>
      </c>
      <c r="R119" s="267">
        <v>185</v>
      </c>
      <c r="S119" s="268">
        <v>270</v>
      </c>
      <c r="U119" s="267">
        <v>124</v>
      </c>
      <c r="V119" s="267">
        <v>144</v>
      </c>
      <c r="W119" s="267">
        <v>167</v>
      </c>
      <c r="X119" s="267">
        <v>184</v>
      </c>
      <c r="Y119" s="268">
        <v>217</v>
      </c>
      <c r="AA119" s="267">
        <v>139</v>
      </c>
      <c r="AB119" s="267">
        <v>158</v>
      </c>
      <c r="AC119" s="267">
        <v>187</v>
      </c>
      <c r="AD119" s="267">
        <v>231</v>
      </c>
      <c r="AE119" s="268">
        <v>301</v>
      </c>
      <c r="AG119" s="282">
        <v>0</v>
      </c>
      <c r="AH119" s="282">
        <v>0</v>
      </c>
      <c r="AI119" s="282">
        <v>0</v>
      </c>
      <c r="AJ119" s="282">
        <v>0</v>
      </c>
      <c r="AK119" s="283">
        <v>0</v>
      </c>
      <c r="AL119" s="289"/>
      <c r="AM119" s="282">
        <v>0</v>
      </c>
      <c r="AN119" s="282">
        <v>0</v>
      </c>
      <c r="AO119" s="282">
        <v>0</v>
      </c>
      <c r="AP119" s="282">
        <v>0</v>
      </c>
      <c r="AQ119" s="283">
        <v>0</v>
      </c>
      <c r="AS119" s="282">
        <v>234.25</v>
      </c>
      <c r="AT119" s="282">
        <v>214.25</v>
      </c>
      <c r="AU119" s="282">
        <v>191.24999999999989</v>
      </c>
      <c r="AV119" s="282">
        <v>174.25</v>
      </c>
      <c r="AW119" s="283">
        <v>141.25</v>
      </c>
      <c r="AX119" s="284"/>
      <c r="AY119" s="282">
        <v>218.75</v>
      </c>
      <c r="AZ119" s="282">
        <v>199.75</v>
      </c>
      <c r="BA119" s="282">
        <v>171.25</v>
      </c>
      <c r="BB119" s="282">
        <v>126.75</v>
      </c>
      <c r="BC119" s="283">
        <v>56.75</v>
      </c>
    </row>
    <row r="120" spans="2:55" ht="13">
      <c r="B120" s="280" t="s">
        <v>65</v>
      </c>
      <c r="C120" s="281" t="s">
        <v>514</v>
      </c>
      <c r="D120" s="533">
        <v>442</v>
      </c>
      <c r="E120" s="535">
        <v>3.25</v>
      </c>
      <c r="F120" s="515" t="s">
        <v>190</v>
      </c>
      <c r="G120" s="345"/>
      <c r="I120" s="282">
        <v>39</v>
      </c>
      <c r="J120" s="282">
        <v>54</v>
      </c>
      <c r="K120" s="282">
        <v>78</v>
      </c>
      <c r="L120" s="282">
        <v>112</v>
      </c>
      <c r="M120" s="283">
        <v>145</v>
      </c>
      <c r="O120" s="282">
        <v>58</v>
      </c>
      <c r="P120" s="282">
        <v>83</v>
      </c>
      <c r="Q120" s="282">
        <v>120</v>
      </c>
      <c r="R120" s="282">
        <v>185</v>
      </c>
      <c r="S120" s="283">
        <v>270</v>
      </c>
      <c r="U120" s="282">
        <v>209</v>
      </c>
      <c r="V120" s="282">
        <v>229</v>
      </c>
      <c r="W120" s="282">
        <v>252</v>
      </c>
      <c r="X120" s="282">
        <v>269</v>
      </c>
      <c r="Y120" s="283">
        <v>302</v>
      </c>
      <c r="AA120" s="282">
        <v>224</v>
      </c>
      <c r="AB120" s="282">
        <v>243</v>
      </c>
      <c r="AC120" s="282">
        <v>272</v>
      </c>
      <c r="AD120" s="282">
        <v>316</v>
      </c>
      <c r="AE120" s="283">
        <v>386</v>
      </c>
      <c r="AG120" s="282">
        <v>-30</v>
      </c>
      <c r="AH120" s="282">
        <v>-30</v>
      </c>
      <c r="AI120" s="282">
        <v>-30</v>
      </c>
      <c r="AJ120" s="282">
        <v>-30</v>
      </c>
      <c r="AK120" s="283">
        <v>-30</v>
      </c>
      <c r="AL120" s="289"/>
      <c r="AM120" s="282">
        <v>-30</v>
      </c>
      <c r="AN120" s="282">
        <v>-30</v>
      </c>
      <c r="AO120" s="282">
        <v>-30</v>
      </c>
      <c r="AP120" s="282">
        <v>-30</v>
      </c>
      <c r="AQ120" s="283">
        <v>-30</v>
      </c>
      <c r="AS120" s="282">
        <v>233.25</v>
      </c>
      <c r="AT120" s="282">
        <v>213.25</v>
      </c>
      <c r="AU120" s="282">
        <v>190.24999999999989</v>
      </c>
      <c r="AV120" s="282">
        <v>173.25</v>
      </c>
      <c r="AW120" s="283">
        <v>140.25</v>
      </c>
      <c r="AX120" s="284"/>
      <c r="AY120" s="282">
        <v>217.75</v>
      </c>
      <c r="AZ120" s="282">
        <v>198.75</v>
      </c>
      <c r="BA120" s="282">
        <v>170.25</v>
      </c>
      <c r="BB120" s="282">
        <v>125.75</v>
      </c>
      <c r="BC120" s="283">
        <v>55.75</v>
      </c>
    </row>
    <row r="121" spans="2:55" ht="13">
      <c r="B121" s="273" t="s">
        <v>65</v>
      </c>
      <c r="C121" s="286" t="s">
        <v>414</v>
      </c>
      <c r="D121" s="531">
        <v>533</v>
      </c>
      <c r="E121" s="532">
        <v>5.33</v>
      </c>
      <c r="F121" s="237" t="s">
        <v>193</v>
      </c>
      <c r="G121" s="314"/>
      <c r="I121" s="267">
        <v>78</v>
      </c>
      <c r="J121" s="267">
        <v>95</v>
      </c>
      <c r="K121" s="267">
        <v>119</v>
      </c>
      <c r="L121" s="267">
        <v>153</v>
      </c>
      <c r="M121" s="268">
        <v>186</v>
      </c>
      <c r="O121" s="267">
        <v>99</v>
      </c>
      <c r="P121" s="267">
        <v>128</v>
      </c>
      <c r="Q121" s="267">
        <v>164</v>
      </c>
      <c r="R121" s="267">
        <v>224</v>
      </c>
      <c r="S121" s="268">
        <v>309</v>
      </c>
      <c r="U121" s="267">
        <v>209</v>
      </c>
      <c r="V121" s="267">
        <v>229</v>
      </c>
      <c r="W121" s="267">
        <v>252</v>
      </c>
      <c r="X121" s="267">
        <v>269</v>
      </c>
      <c r="Y121" s="268">
        <v>302</v>
      </c>
      <c r="AA121" s="267">
        <v>224</v>
      </c>
      <c r="AB121" s="267">
        <v>243</v>
      </c>
      <c r="AC121" s="267">
        <v>272</v>
      </c>
      <c r="AD121" s="267">
        <v>316</v>
      </c>
      <c r="AE121" s="268">
        <v>386</v>
      </c>
      <c r="AG121" s="282">
        <v>0</v>
      </c>
      <c r="AH121" s="282">
        <v>0</v>
      </c>
      <c r="AI121" s="282">
        <v>0</v>
      </c>
      <c r="AJ121" s="282">
        <v>0</v>
      </c>
      <c r="AK121" s="283">
        <v>0</v>
      </c>
      <c r="AL121" s="289"/>
      <c r="AM121" s="282">
        <v>0</v>
      </c>
      <c r="AN121" s="282">
        <v>0</v>
      </c>
      <c r="AO121" s="282">
        <v>0</v>
      </c>
      <c r="AP121" s="282">
        <v>0</v>
      </c>
      <c r="AQ121" s="283">
        <v>0</v>
      </c>
      <c r="AS121" s="282">
        <v>324.12</v>
      </c>
      <c r="AT121" s="282">
        <v>304.12</v>
      </c>
      <c r="AU121" s="282">
        <v>281.11999999999989</v>
      </c>
      <c r="AV121" s="282">
        <v>264.12</v>
      </c>
      <c r="AW121" s="283">
        <v>231.12</v>
      </c>
      <c r="AX121" s="284"/>
      <c r="AY121" s="282">
        <v>308.62</v>
      </c>
      <c r="AZ121" s="282">
        <v>289.62</v>
      </c>
      <c r="BA121" s="282">
        <v>261.12</v>
      </c>
      <c r="BB121" s="282">
        <v>216.62</v>
      </c>
      <c r="BC121" s="283">
        <v>146.62</v>
      </c>
    </row>
    <row r="122" spans="2:55" ht="13">
      <c r="B122" s="280" t="s">
        <v>65</v>
      </c>
      <c r="C122" s="118" t="s">
        <v>635</v>
      </c>
      <c r="D122" s="533">
        <v>921</v>
      </c>
      <c r="E122" s="535">
        <v>5.33</v>
      </c>
      <c r="F122" s="515" t="s">
        <v>193</v>
      </c>
      <c r="G122" s="345"/>
      <c r="I122" s="282">
        <v>124</v>
      </c>
      <c r="J122" s="282">
        <v>139</v>
      </c>
      <c r="K122" s="282">
        <v>163</v>
      </c>
      <c r="L122" s="282">
        <v>197</v>
      </c>
      <c r="M122" s="283">
        <v>230</v>
      </c>
      <c r="O122" s="282">
        <v>143</v>
      </c>
      <c r="P122" s="282">
        <v>168</v>
      </c>
      <c r="Q122" s="282">
        <v>204</v>
      </c>
      <c r="R122" s="282">
        <v>270</v>
      </c>
      <c r="S122" s="283">
        <v>355</v>
      </c>
      <c r="U122" s="282">
        <v>52</v>
      </c>
      <c r="V122" s="282">
        <v>307</v>
      </c>
      <c r="W122" s="282">
        <v>330</v>
      </c>
      <c r="X122" s="282">
        <v>347</v>
      </c>
      <c r="Y122" s="283">
        <v>380</v>
      </c>
      <c r="AA122" s="282">
        <v>68</v>
      </c>
      <c r="AB122" s="282">
        <v>321</v>
      </c>
      <c r="AC122" s="282">
        <v>350</v>
      </c>
      <c r="AD122" s="282">
        <v>394</v>
      </c>
      <c r="AE122" s="283">
        <v>464</v>
      </c>
      <c r="AG122" s="282" t="e">
        <v>#N/A</v>
      </c>
      <c r="AH122" s="282" t="e">
        <v>#N/A</v>
      </c>
      <c r="AI122" s="282" t="e">
        <v>#N/A</v>
      </c>
      <c r="AJ122" s="282" t="e">
        <v>#N/A</v>
      </c>
      <c r="AK122" s="283" t="e">
        <v>#N/A</v>
      </c>
      <c r="AL122" s="289"/>
      <c r="AM122" s="282" t="e">
        <v>#N/A</v>
      </c>
      <c r="AN122" s="282" t="e">
        <v>#N/A</v>
      </c>
      <c r="AO122" s="282" t="e">
        <v>#N/A</v>
      </c>
      <c r="AP122" s="282" t="e">
        <v>#N/A</v>
      </c>
      <c r="AQ122" s="283" t="e">
        <v>#N/A</v>
      </c>
      <c r="AS122" s="282">
        <v>869</v>
      </c>
      <c r="AT122" s="282">
        <v>614.33000000000004</v>
      </c>
      <c r="AU122" s="282">
        <v>591.32999999999993</v>
      </c>
      <c r="AV122" s="282">
        <v>574.33000000000004</v>
      </c>
      <c r="AW122" s="283">
        <v>541.33000000000004</v>
      </c>
      <c r="AX122" s="284"/>
      <c r="AY122" s="282">
        <v>853.5</v>
      </c>
      <c r="AZ122" s="282">
        <v>599.83000000000004</v>
      </c>
      <c r="BA122" s="282">
        <v>571.33000000000004</v>
      </c>
      <c r="BB122" s="282">
        <v>526.83000000000004</v>
      </c>
      <c r="BC122" s="283">
        <v>456.83000000000004</v>
      </c>
    </row>
    <row r="123" spans="2:55" ht="13">
      <c r="B123" s="273" t="s">
        <v>65</v>
      </c>
      <c r="C123" s="286" t="s">
        <v>616</v>
      </c>
      <c r="D123" s="531">
        <v>801</v>
      </c>
      <c r="E123" s="532">
        <v>5.33</v>
      </c>
      <c r="F123" s="237" t="s">
        <v>193</v>
      </c>
      <c r="G123" s="314"/>
      <c r="I123" s="267">
        <v>39</v>
      </c>
      <c r="J123" s="267">
        <v>54</v>
      </c>
      <c r="K123" s="267">
        <v>154</v>
      </c>
      <c r="L123" s="267">
        <v>188</v>
      </c>
      <c r="M123" s="268">
        <v>221</v>
      </c>
      <c r="O123" s="267">
        <v>134</v>
      </c>
      <c r="P123" s="267">
        <v>159</v>
      </c>
      <c r="Q123" s="267">
        <v>195</v>
      </c>
      <c r="R123" s="267">
        <v>261</v>
      </c>
      <c r="S123" s="268">
        <v>346</v>
      </c>
      <c r="U123" s="267">
        <v>52</v>
      </c>
      <c r="V123" s="267">
        <v>268</v>
      </c>
      <c r="W123" s="267">
        <v>291</v>
      </c>
      <c r="X123" s="267">
        <v>308</v>
      </c>
      <c r="Y123" s="268">
        <v>341</v>
      </c>
      <c r="AA123" s="267">
        <v>68</v>
      </c>
      <c r="AB123" s="267">
        <v>282</v>
      </c>
      <c r="AC123" s="267">
        <v>311</v>
      </c>
      <c r="AD123" s="267">
        <v>355</v>
      </c>
      <c r="AE123" s="268">
        <v>425</v>
      </c>
      <c r="AG123" s="282">
        <v>0</v>
      </c>
      <c r="AH123" s="282">
        <v>0</v>
      </c>
      <c r="AI123" s="282">
        <v>0</v>
      </c>
      <c r="AJ123" s="282">
        <v>0</v>
      </c>
      <c r="AK123" s="283">
        <v>0</v>
      </c>
      <c r="AL123" s="289"/>
      <c r="AM123" s="282">
        <v>0</v>
      </c>
      <c r="AN123" s="282">
        <v>0</v>
      </c>
      <c r="AO123" s="282">
        <v>0</v>
      </c>
      <c r="AP123" s="282">
        <v>0</v>
      </c>
      <c r="AQ123" s="283">
        <v>0</v>
      </c>
      <c r="AS123" s="282">
        <v>749</v>
      </c>
      <c r="AT123" s="282">
        <v>533.09</v>
      </c>
      <c r="AU123" s="282">
        <v>510.08999999999992</v>
      </c>
      <c r="AV123" s="282">
        <v>493.09000000000003</v>
      </c>
      <c r="AW123" s="283">
        <v>460.09000000000003</v>
      </c>
      <c r="AX123" s="284"/>
      <c r="AY123" s="282">
        <v>733.5</v>
      </c>
      <c r="AZ123" s="282">
        <v>518.59</v>
      </c>
      <c r="BA123" s="282">
        <v>490.09000000000003</v>
      </c>
      <c r="BB123" s="282">
        <v>445.59000000000003</v>
      </c>
      <c r="BC123" s="283">
        <v>375.59000000000003</v>
      </c>
    </row>
    <row r="124" spans="2:55" ht="13">
      <c r="B124" s="280" t="s">
        <v>65</v>
      </c>
      <c r="C124" s="281" t="s">
        <v>483</v>
      </c>
      <c r="D124" s="533">
        <v>1487</v>
      </c>
      <c r="E124" s="535">
        <v>5.33</v>
      </c>
      <c r="F124" s="515" t="s">
        <v>193</v>
      </c>
      <c r="G124" s="345"/>
      <c r="I124" s="282">
        <v>39</v>
      </c>
      <c r="J124" s="282">
        <v>54</v>
      </c>
      <c r="K124" s="282">
        <v>215</v>
      </c>
      <c r="L124" s="282">
        <v>249</v>
      </c>
      <c r="M124" s="283">
        <v>282</v>
      </c>
      <c r="O124" s="282">
        <v>195</v>
      </c>
      <c r="P124" s="282">
        <v>220</v>
      </c>
      <c r="Q124" s="282">
        <v>256</v>
      </c>
      <c r="R124" s="282">
        <v>322</v>
      </c>
      <c r="S124" s="283">
        <v>407</v>
      </c>
      <c r="U124" s="282">
        <v>52</v>
      </c>
      <c r="V124" s="282">
        <v>450</v>
      </c>
      <c r="W124" s="282">
        <v>473</v>
      </c>
      <c r="X124" s="282">
        <v>490</v>
      </c>
      <c r="Y124" s="283">
        <v>523</v>
      </c>
      <c r="AA124" s="282">
        <v>68</v>
      </c>
      <c r="AB124" s="282">
        <v>464</v>
      </c>
      <c r="AC124" s="282">
        <v>493</v>
      </c>
      <c r="AD124" s="282">
        <v>537</v>
      </c>
      <c r="AE124" s="283">
        <v>607</v>
      </c>
      <c r="AG124" s="282">
        <v>0</v>
      </c>
      <c r="AH124" s="282">
        <v>0</v>
      </c>
      <c r="AI124" s="282">
        <v>0</v>
      </c>
      <c r="AJ124" s="282">
        <v>0</v>
      </c>
      <c r="AK124" s="283">
        <v>0</v>
      </c>
      <c r="AL124" s="289"/>
      <c r="AM124" s="282">
        <v>0</v>
      </c>
      <c r="AN124" s="282">
        <v>0</v>
      </c>
      <c r="AO124" s="282">
        <v>0</v>
      </c>
      <c r="AP124" s="282">
        <v>0</v>
      </c>
      <c r="AQ124" s="283">
        <v>0</v>
      </c>
      <c r="AS124" s="282">
        <v>1435</v>
      </c>
      <c r="AT124" s="282">
        <v>1037.33</v>
      </c>
      <c r="AU124" s="282">
        <v>1014.3299999999999</v>
      </c>
      <c r="AV124" s="282">
        <v>997.32999999999993</v>
      </c>
      <c r="AW124" s="283">
        <v>964.32999999999993</v>
      </c>
      <c r="AX124" s="284"/>
      <c r="AY124" s="282">
        <v>1419.5</v>
      </c>
      <c r="AZ124" s="282">
        <v>1022.8299999999999</v>
      </c>
      <c r="BA124" s="282">
        <v>994.32999999999993</v>
      </c>
      <c r="BB124" s="282">
        <v>949.82999999999993</v>
      </c>
      <c r="BC124" s="283">
        <v>879.82999999999993</v>
      </c>
    </row>
    <row r="125" spans="2:55" ht="13">
      <c r="B125" s="273" t="s">
        <v>65</v>
      </c>
      <c r="C125" s="123" t="s">
        <v>636</v>
      </c>
      <c r="D125" s="531">
        <v>1487</v>
      </c>
      <c r="E125" s="532">
        <v>5.33</v>
      </c>
      <c r="F125" s="237" t="s">
        <v>193</v>
      </c>
      <c r="G125" s="314"/>
      <c r="I125" s="267">
        <v>39</v>
      </c>
      <c r="J125" s="267">
        <v>54</v>
      </c>
      <c r="K125" s="267">
        <v>140</v>
      </c>
      <c r="L125" s="267">
        <v>174</v>
      </c>
      <c r="M125" s="268">
        <v>207</v>
      </c>
      <c r="O125" s="267">
        <v>58</v>
      </c>
      <c r="P125" s="267">
        <v>83</v>
      </c>
      <c r="Q125" s="267">
        <v>181</v>
      </c>
      <c r="R125" s="267">
        <v>247</v>
      </c>
      <c r="S125" s="268">
        <v>332</v>
      </c>
      <c r="U125" s="267">
        <v>52</v>
      </c>
      <c r="V125" s="267">
        <v>250</v>
      </c>
      <c r="W125" s="267">
        <v>273</v>
      </c>
      <c r="X125" s="267">
        <v>290</v>
      </c>
      <c r="Y125" s="268">
        <v>323</v>
      </c>
      <c r="AA125" s="267">
        <v>68</v>
      </c>
      <c r="AB125" s="267">
        <v>264</v>
      </c>
      <c r="AC125" s="267">
        <v>293</v>
      </c>
      <c r="AD125" s="267">
        <v>337</v>
      </c>
      <c r="AE125" s="268">
        <v>407</v>
      </c>
      <c r="AG125" s="282" t="e">
        <v>#N/A</v>
      </c>
      <c r="AH125" s="282" t="e">
        <v>#N/A</v>
      </c>
      <c r="AI125" s="282" t="e">
        <v>#N/A</v>
      </c>
      <c r="AJ125" s="282" t="e">
        <v>#N/A</v>
      </c>
      <c r="AK125" s="283" t="e">
        <v>#N/A</v>
      </c>
      <c r="AL125" s="289"/>
      <c r="AM125" s="282" t="e">
        <v>#N/A</v>
      </c>
      <c r="AN125" s="282" t="e">
        <v>#N/A</v>
      </c>
      <c r="AO125" s="282" t="e">
        <v>#N/A</v>
      </c>
      <c r="AP125" s="282" t="e">
        <v>#N/A</v>
      </c>
      <c r="AQ125" s="283" t="e">
        <v>#N/A</v>
      </c>
      <c r="AS125" s="282">
        <v>1435</v>
      </c>
      <c r="AT125" s="282">
        <v>1237.33</v>
      </c>
      <c r="AU125" s="282">
        <v>1214.33</v>
      </c>
      <c r="AV125" s="282">
        <v>1197.33</v>
      </c>
      <c r="AW125" s="283">
        <v>1164.33</v>
      </c>
      <c r="AX125" s="284"/>
      <c r="AY125" s="282">
        <v>1419.5</v>
      </c>
      <c r="AZ125" s="282">
        <v>1222.83</v>
      </c>
      <c r="BA125" s="282">
        <v>1194.33</v>
      </c>
      <c r="BB125" s="282">
        <v>1149.83</v>
      </c>
      <c r="BC125" s="283">
        <v>1079.83</v>
      </c>
    </row>
    <row r="126" spans="2:55" ht="13">
      <c r="B126" s="280" t="s">
        <v>65</v>
      </c>
      <c r="C126" s="281" t="s">
        <v>352</v>
      </c>
      <c r="D126" s="533">
        <v>938</v>
      </c>
      <c r="E126" s="535">
        <v>3.25</v>
      </c>
      <c r="F126" s="515" t="s">
        <v>190</v>
      </c>
      <c r="G126" s="345"/>
      <c r="I126" s="282">
        <v>39</v>
      </c>
      <c r="J126" s="282">
        <v>54</v>
      </c>
      <c r="K126" s="282">
        <v>155</v>
      </c>
      <c r="L126" s="282">
        <v>189</v>
      </c>
      <c r="M126" s="283">
        <v>222</v>
      </c>
      <c r="O126" s="282">
        <v>134</v>
      </c>
      <c r="P126" s="282">
        <v>160</v>
      </c>
      <c r="Q126" s="282">
        <v>196</v>
      </c>
      <c r="R126" s="282">
        <v>262</v>
      </c>
      <c r="S126" s="283">
        <v>347</v>
      </c>
      <c r="U126" s="282">
        <v>52</v>
      </c>
      <c r="V126" s="282">
        <v>506</v>
      </c>
      <c r="W126" s="282">
        <v>529</v>
      </c>
      <c r="X126" s="282">
        <v>546</v>
      </c>
      <c r="Y126" s="283">
        <v>579</v>
      </c>
      <c r="AA126" s="282">
        <v>68</v>
      </c>
      <c r="AB126" s="282">
        <v>520</v>
      </c>
      <c r="AC126" s="282">
        <v>549</v>
      </c>
      <c r="AD126" s="282">
        <v>593</v>
      </c>
      <c r="AE126" s="283">
        <v>663</v>
      </c>
      <c r="AG126" s="282">
        <v>0</v>
      </c>
      <c r="AH126" s="282">
        <v>-50</v>
      </c>
      <c r="AI126" s="282">
        <v>-50</v>
      </c>
      <c r="AJ126" s="282">
        <v>-50</v>
      </c>
      <c r="AK126" s="283">
        <v>-50</v>
      </c>
      <c r="AL126" s="289"/>
      <c r="AM126" s="282">
        <v>0</v>
      </c>
      <c r="AN126" s="282">
        <v>-50</v>
      </c>
      <c r="AO126" s="282">
        <v>-50</v>
      </c>
      <c r="AP126" s="282">
        <v>-50</v>
      </c>
      <c r="AQ126" s="283">
        <v>-50</v>
      </c>
      <c r="AS126" s="282">
        <v>886</v>
      </c>
      <c r="AT126" s="282">
        <v>432.25</v>
      </c>
      <c r="AU126" s="282">
        <v>409.24999999999989</v>
      </c>
      <c r="AV126" s="282">
        <v>392.25</v>
      </c>
      <c r="AW126" s="283">
        <v>359.25</v>
      </c>
      <c r="AX126" s="284"/>
      <c r="AY126" s="282">
        <v>870.5</v>
      </c>
      <c r="AZ126" s="282">
        <v>417.75</v>
      </c>
      <c r="BA126" s="282">
        <v>389.25</v>
      </c>
      <c r="BB126" s="282">
        <v>344.75</v>
      </c>
      <c r="BC126" s="283">
        <v>274.75</v>
      </c>
    </row>
    <row r="127" spans="2:55" ht="13">
      <c r="B127" s="273" t="s">
        <v>65</v>
      </c>
      <c r="C127" s="286" t="s">
        <v>485</v>
      </c>
      <c r="D127" s="531">
        <v>842</v>
      </c>
      <c r="E127" s="532">
        <v>3.25</v>
      </c>
      <c r="F127" s="237" t="s">
        <v>190</v>
      </c>
      <c r="G127" s="314"/>
      <c r="I127" s="267">
        <v>39</v>
      </c>
      <c r="J127" s="267">
        <v>54</v>
      </c>
      <c r="K127" s="267">
        <v>347</v>
      </c>
      <c r="L127" s="267">
        <v>381</v>
      </c>
      <c r="M127" s="268">
        <v>414</v>
      </c>
      <c r="O127" s="267">
        <v>58</v>
      </c>
      <c r="P127" s="267">
        <v>83</v>
      </c>
      <c r="Q127" s="267">
        <v>388</v>
      </c>
      <c r="R127" s="267">
        <v>454</v>
      </c>
      <c r="S127" s="268">
        <v>539</v>
      </c>
      <c r="U127" s="267">
        <v>52</v>
      </c>
      <c r="V127" s="267">
        <v>329</v>
      </c>
      <c r="W127" s="267">
        <v>352</v>
      </c>
      <c r="X127" s="267">
        <v>369</v>
      </c>
      <c r="Y127" s="268">
        <v>402</v>
      </c>
      <c r="AA127" s="267">
        <v>68</v>
      </c>
      <c r="AB127" s="267">
        <v>343</v>
      </c>
      <c r="AC127" s="267">
        <v>372</v>
      </c>
      <c r="AD127" s="267">
        <v>416</v>
      </c>
      <c r="AE127" s="268">
        <v>486</v>
      </c>
      <c r="AG127" s="282">
        <v>0</v>
      </c>
      <c r="AH127" s="282">
        <v>-50</v>
      </c>
      <c r="AI127" s="282">
        <v>-50</v>
      </c>
      <c r="AJ127" s="282">
        <v>-50</v>
      </c>
      <c r="AK127" s="283">
        <v>-50</v>
      </c>
      <c r="AL127" s="289"/>
      <c r="AM127" s="282">
        <v>0</v>
      </c>
      <c r="AN127" s="282">
        <v>-50</v>
      </c>
      <c r="AO127" s="282">
        <v>-50</v>
      </c>
      <c r="AP127" s="282">
        <v>-50</v>
      </c>
      <c r="AQ127" s="283">
        <v>-50</v>
      </c>
      <c r="AS127" s="282">
        <v>790</v>
      </c>
      <c r="AT127" s="282">
        <v>513.25</v>
      </c>
      <c r="AU127" s="282">
        <v>490.24999999999989</v>
      </c>
      <c r="AV127" s="282">
        <v>473.25</v>
      </c>
      <c r="AW127" s="283">
        <v>440.25</v>
      </c>
      <c r="AX127" s="284"/>
      <c r="AY127" s="282">
        <v>774.5</v>
      </c>
      <c r="AZ127" s="282">
        <v>498.75</v>
      </c>
      <c r="BA127" s="282">
        <v>470.25</v>
      </c>
      <c r="BB127" s="282">
        <v>425.75</v>
      </c>
      <c r="BC127" s="283">
        <v>355.75</v>
      </c>
    </row>
    <row r="128" spans="2:55" ht="13">
      <c r="B128" s="280" t="s">
        <v>65</v>
      </c>
      <c r="C128" s="281" t="s">
        <v>486</v>
      </c>
      <c r="D128" s="529">
        <v>902</v>
      </c>
      <c r="E128" s="535">
        <v>3.25</v>
      </c>
      <c r="F128" s="515" t="s">
        <v>190</v>
      </c>
      <c r="G128" s="315"/>
      <c r="I128" s="282">
        <v>39</v>
      </c>
      <c r="J128" s="282">
        <v>54</v>
      </c>
      <c r="K128" s="282">
        <v>78</v>
      </c>
      <c r="L128" s="282">
        <v>112</v>
      </c>
      <c r="M128" s="283">
        <v>145</v>
      </c>
      <c r="O128" s="282">
        <v>58</v>
      </c>
      <c r="P128" s="282">
        <v>83</v>
      </c>
      <c r="Q128" s="282">
        <v>120</v>
      </c>
      <c r="R128" s="282">
        <v>185</v>
      </c>
      <c r="S128" s="283">
        <v>270</v>
      </c>
      <c r="U128" s="282">
        <v>52</v>
      </c>
      <c r="V128" s="282">
        <v>370</v>
      </c>
      <c r="W128" s="282">
        <v>393</v>
      </c>
      <c r="X128" s="282">
        <v>410</v>
      </c>
      <c r="Y128" s="283">
        <v>443</v>
      </c>
      <c r="AA128" s="282">
        <v>68</v>
      </c>
      <c r="AB128" s="282">
        <v>384</v>
      </c>
      <c r="AC128" s="282">
        <v>413</v>
      </c>
      <c r="AD128" s="282">
        <v>457</v>
      </c>
      <c r="AE128" s="283">
        <v>527</v>
      </c>
      <c r="AG128" s="282">
        <v>0</v>
      </c>
      <c r="AH128" s="282">
        <v>2</v>
      </c>
      <c r="AI128" s="282">
        <v>2</v>
      </c>
      <c r="AJ128" s="282">
        <v>2</v>
      </c>
      <c r="AK128" s="283">
        <v>2</v>
      </c>
      <c r="AL128" s="289"/>
      <c r="AM128" s="282">
        <v>0</v>
      </c>
      <c r="AN128" s="282">
        <v>2</v>
      </c>
      <c r="AO128" s="282">
        <v>2</v>
      </c>
      <c r="AP128" s="282">
        <v>2</v>
      </c>
      <c r="AQ128" s="283">
        <v>2</v>
      </c>
      <c r="AS128" s="282">
        <v>850</v>
      </c>
      <c r="AT128" s="282">
        <v>532.25</v>
      </c>
      <c r="AU128" s="282">
        <v>509.24999999999989</v>
      </c>
      <c r="AV128" s="282">
        <v>492.25</v>
      </c>
      <c r="AW128" s="283">
        <v>459.25</v>
      </c>
      <c r="AX128" s="284"/>
      <c r="AY128" s="282">
        <v>834.5</v>
      </c>
      <c r="AZ128" s="282">
        <v>517.75</v>
      </c>
      <c r="BA128" s="282">
        <v>489.25</v>
      </c>
      <c r="BB128" s="282">
        <v>444.75</v>
      </c>
      <c r="BC128" s="283">
        <v>374.75</v>
      </c>
    </row>
    <row r="129" spans="2:55" ht="13">
      <c r="B129" s="273" t="s">
        <v>65</v>
      </c>
      <c r="C129" s="286" t="s">
        <v>602</v>
      </c>
      <c r="D129" s="531">
        <v>686</v>
      </c>
      <c r="E129" s="532">
        <v>3.25</v>
      </c>
      <c r="F129" s="237" t="s">
        <v>190</v>
      </c>
      <c r="G129" s="314"/>
      <c r="I129" s="267">
        <v>39</v>
      </c>
      <c r="J129" s="267">
        <v>54</v>
      </c>
      <c r="K129" s="267">
        <v>285</v>
      </c>
      <c r="L129" s="267">
        <v>319</v>
      </c>
      <c r="M129" s="268">
        <v>352</v>
      </c>
      <c r="O129" s="267">
        <v>58</v>
      </c>
      <c r="P129" s="267">
        <v>83</v>
      </c>
      <c r="Q129" s="267">
        <v>326</v>
      </c>
      <c r="R129" s="267">
        <v>392</v>
      </c>
      <c r="S129" s="268">
        <v>477</v>
      </c>
      <c r="U129" s="267">
        <v>52</v>
      </c>
      <c r="V129" s="267">
        <v>198</v>
      </c>
      <c r="W129" s="267">
        <v>221</v>
      </c>
      <c r="X129" s="267">
        <v>238</v>
      </c>
      <c r="Y129" s="268">
        <v>271</v>
      </c>
      <c r="AA129" s="267">
        <v>68</v>
      </c>
      <c r="AB129" s="267">
        <v>212</v>
      </c>
      <c r="AC129" s="267">
        <v>241</v>
      </c>
      <c r="AD129" s="267">
        <v>285</v>
      </c>
      <c r="AE129" s="268">
        <v>355</v>
      </c>
      <c r="AG129" s="282">
        <v>0</v>
      </c>
      <c r="AH129" s="282">
        <v>-40</v>
      </c>
      <c r="AI129" s="282">
        <v>-40</v>
      </c>
      <c r="AJ129" s="282">
        <v>-40</v>
      </c>
      <c r="AK129" s="283">
        <v>-40</v>
      </c>
      <c r="AL129" s="289"/>
      <c r="AM129" s="282">
        <v>0</v>
      </c>
      <c r="AN129" s="282">
        <v>-40</v>
      </c>
      <c r="AO129" s="282">
        <v>-40</v>
      </c>
      <c r="AP129" s="282">
        <v>-40</v>
      </c>
      <c r="AQ129" s="283">
        <v>-40</v>
      </c>
      <c r="AS129" s="282">
        <v>634</v>
      </c>
      <c r="AT129" s="282">
        <v>488.25</v>
      </c>
      <c r="AU129" s="282">
        <v>465.24999999999989</v>
      </c>
      <c r="AV129" s="282">
        <v>448.25</v>
      </c>
      <c r="AW129" s="283">
        <v>415.25</v>
      </c>
      <c r="AX129" s="284"/>
      <c r="AY129" s="282">
        <v>618.5</v>
      </c>
      <c r="AZ129" s="282">
        <v>473.75</v>
      </c>
      <c r="BA129" s="282">
        <v>445.25</v>
      </c>
      <c r="BB129" s="282">
        <v>400.75</v>
      </c>
      <c r="BC129" s="283">
        <v>330.75</v>
      </c>
    </row>
    <row r="130" spans="2:55" ht="13">
      <c r="B130" s="280" t="s">
        <v>65</v>
      </c>
      <c r="C130" s="281" t="s">
        <v>487</v>
      </c>
      <c r="D130" s="529">
        <v>1556</v>
      </c>
      <c r="E130" s="535">
        <v>3.25</v>
      </c>
      <c r="F130" s="239" t="s">
        <v>190</v>
      </c>
      <c r="G130" s="315"/>
      <c r="I130" s="282">
        <v>39</v>
      </c>
      <c r="J130" s="282">
        <v>54</v>
      </c>
      <c r="K130" s="282">
        <v>334</v>
      </c>
      <c r="L130" s="282">
        <v>368</v>
      </c>
      <c r="M130" s="283">
        <v>401</v>
      </c>
      <c r="O130" s="282">
        <v>58</v>
      </c>
      <c r="P130" s="282">
        <v>83</v>
      </c>
      <c r="Q130" s="282">
        <v>375</v>
      </c>
      <c r="R130" s="282">
        <v>441</v>
      </c>
      <c r="S130" s="283">
        <v>526</v>
      </c>
      <c r="U130" s="282">
        <v>52</v>
      </c>
      <c r="V130" s="282">
        <v>452</v>
      </c>
      <c r="W130" s="282">
        <v>475</v>
      </c>
      <c r="X130" s="282">
        <v>492</v>
      </c>
      <c r="Y130" s="283">
        <v>525</v>
      </c>
      <c r="AA130" s="282">
        <v>68</v>
      </c>
      <c r="AB130" s="282">
        <v>466</v>
      </c>
      <c r="AC130" s="282">
        <v>495</v>
      </c>
      <c r="AD130" s="282">
        <v>539</v>
      </c>
      <c r="AE130" s="283">
        <v>609</v>
      </c>
      <c r="AG130" s="282">
        <v>0</v>
      </c>
      <c r="AH130" s="282">
        <v>0</v>
      </c>
      <c r="AI130" s="282">
        <v>0</v>
      </c>
      <c r="AJ130" s="282">
        <v>0</v>
      </c>
      <c r="AK130" s="283">
        <v>0</v>
      </c>
      <c r="AL130" s="289"/>
      <c r="AM130" s="282">
        <v>0</v>
      </c>
      <c r="AN130" s="282">
        <v>0</v>
      </c>
      <c r="AO130" s="282">
        <v>0</v>
      </c>
      <c r="AP130" s="282">
        <v>0</v>
      </c>
      <c r="AQ130" s="283">
        <v>0</v>
      </c>
      <c r="AS130" s="282">
        <v>1504</v>
      </c>
      <c r="AT130" s="282">
        <v>1104.25</v>
      </c>
      <c r="AU130" s="282">
        <v>1081.25</v>
      </c>
      <c r="AV130" s="282">
        <v>1064.25</v>
      </c>
      <c r="AW130" s="283">
        <v>1031.25</v>
      </c>
      <c r="AX130" s="284"/>
      <c r="AY130" s="282">
        <v>1488.5</v>
      </c>
      <c r="AZ130" s="282">
        <v>1089.75</v>
      </c>
      <c r="BA130" s="282">
        <v>1061.25</v>
      </c>
      <c r="BB130" s="282">
        <v>1016.75</v>
      </c>
      <c r="BC130" s="283">
        <v>946.75</v>
      </c>
    </row>
    <row r="131" spans="2:55" ht="13">
      <c r="B131" s="273" t="s">
        <v>65</v>
      </c>
      <c r="C131" s="286" t="s">
        <v>488</v>
      </c>
      <c r="D131" s="531">
        <v>1279</v>
      </c>
      <c r="E131" s="532">
        <v>3.25</v>
      </c>
      <c r="F131" s="237" t="s">
        <v>190</v>
      </c>
      <c r="G131" s="314"/>
      <c r="I131" s="267">
        <v>39</v>
      </c>
      <c r="J131" s="267">
        <v>54</v>
      </c>
      <c r="K131" s="267">
        <v>334</v>
      </c>
      <c r="L131" s="267">
        <v>368</v>
      </c>
      <c r="M131" s="268">
        <v>401</v>
      </c>
      <c r="O131" s="267">
        <v>58</v>
      </c>
      <c r="P131" s="267">
        <v>83</v>
      </c>
      <c r="Q131" s="267">
        <v>375</v>
      </c>
      <c r="R131" s="267">
        <v>441</v>
      </c>
      <c r="S131" s="268">
        <v>526</v>
      </c>
      <c r="U131" s="267">
        <v>52</v>
      </c>
      <c r="V131" s="267">
        <v>462</v>
      </c>
      <c r="W131" s="267">
        <v>485</v>
      </c>
      <c r="X131" s="267">
        <v>502</v>
      </c>
      <c r="Y131" s="268">
        <v>535</v>
      </c>
      <c r="AA131" s="267">
        <v>68</v>
      </c>
      <c r="AB131" s="267">
        <v>476</v>
      </c>
      <c r="AC131" s="267">
        <v>505</v>
      </c>
      <c r="AD131" s="267">
        <v>549</v>
      </c>
      <c r="AE131" s="268">
        <v>619</v>
      </c>
      <c r="AG131" s="282">
        <v>0</v>
      </c>
      <c r="AH131" s="282">
        <v>0</v>
      </c>
      <c r="AI131" s="282">
        <v>0</v>
      </c>
      <c r="AJ131" s="282">
        <v>0</v>
      </c>
      <c r="AK131" s="283">
        <v>0</v>
      </c>
      <c r="AL131" s="289"/>
      <c r="AM131" s="282">
        <v>0</v>
      </c>
      <c r="AN131" s="282">
        <v>0</v>
      </c>
      <c r="AO131" s="282">
        <v>0</v>
      </c>
      <c r="AP131" s="282">
        <v>0</v>
      </c>
      <c r="AQ131" s="283">
        <v>0</v>
      </c>
      <c r="AS131" s="282">
        <v>1227</v>
      </c>
      <c r="AT131" s="282">
        <v>817.25</v>
      </c>
      <c r="AU131" s="282">
        <v>794.25</v>
      </c>
      <c r="AV131" s="282">
        <v>777.25</v>
      </c>
      <c r="AW131" s="283">
        <v>744.25</v>
      </c>
      <c r="AX131" s="284"/>
      <c r="AY131" s="282">
        <v>1211.5</v>
      </c>
      <c r="AZ131" s="282">
        <v>802.75</v>
      </c>
      <c r="BA131" s="282">
        <v>774.25</v>
      </c>
      <c r="BB131" s="282">
        <v>729.75</v>
      </c>
      <c r="BC131" s="283">
        <v>659.75</v>
      </c>
    </row>
    <row r="132" spans="2:55" ht="13">
      <c r="B132" s="280" t="s">
        <v>65</v>
      </c>
      <c r="C132" s="281" t="s">
        <v>489</v>
      </c>
      <c r="D132" s="529">
        <v>1372</v>
      </c>
      <c r="E132" s="535">
        <v>3.25</v>
      </c>
      <c r="F132" s="239" t="s">
        <v>190</v>
      </c>
      <c r="G132" s="315"/>
      <c r="I132" s="282">
        <v>39</v>
      </c>
      <c r="J132" s="282">
        <v>54</v>
      </c>
      <c r="K132" s="282">
        <v>346</v>
      </c>
      <c r="L132" s="282">
        <v>380</v>
      </c>
      <c r="M132" s="283">
        <v>413</v>
      </c>
      <c r="O132" s="282">
        <v>58</v>
      </c>
      <c r="P132" s="282">
        <v>83</v>
      </c>
      <c r="Q132" s="282">
        <v>387</v>
      </c>
      <c r="R132" s="282">
        <v>453</v>
      </c>
      <c r="S132" s="283">
        <v>538</v>
      </c>
      <c r="U132" s="282">
        <v>52</v>
      </c>
      <c r="V132" s="282">
        <v>343</v>
      </c>
      <c r="W132" s="282">
        <v>366</v>
      </c>
      <c r="X132" s="282">
        <v>383</v>
      </c>
      <c r="Y132" s="283">
        <v>416</v>
      </c>
      <c r="AA132" s="282">
        <v>68</v>
      </c>
      <c r="AB132" s="282">
        <v>357</v>
      </c>
      <c r="AC132" s="282">
        <v>386</v>
      </c>
      <c r="AD132" s="282">
        <v>430</v>
      </c>
      <c r="AE132" s="283">
        <v>500</v>
      </c>
      <c r="AG132" s="282">
        <v>0</v>
      </c>
      <c r="AH132" s="282">
        <v>0</v>
      </c>
      <c r="AI132" s="282">
        <v>0</v>
      </c>
      <c r="AJ132" s="282">
        <v>0</v>
      </c>
      <c r="AK132" s="283">
        <v>0</v>
      </c>
      <c r="AL132" s="289"/>
      <c r="AM132" s="282">
        <v>0</v>
      </c>
      <c r="AN132" s="282">
        <v>0</v>
      </c>
      <c r="AO132" s="282">
        <v>0</v>
      </c>
      <c r="AP132" s="282">
        <v>0</v>
      </c>
      <c r="AQ132" s="283">
        <v>0</v>
      </c>
      <c r="AS132" s="282">
        <v>1320</v>
      </c>
      <c r="AT132" s="282">
        <v>1029.25</v>
      </c>
      <c r="AU132" s="282">
        <v>1006.25</v>
      </c>
      <c r="AV132" s="282">
        <v>989.25</v>
      </c>
      <c r="AW132" s="283">
        <v>956.25</v>
      </c>
      <c r="AX132" s="284"/>
      <c r="AY132" s="282">
        <v>1304.5</v>
      </c>
      <c r="AZ132" s="282">
        <v>1014.75</v>
      </c>
      <c r="BA132" s="282">
        <v>986.25</v>
      </c>
      <c r="BB132" s="282">
        <v>941.75</v>
      </c>
      <c r="BC132" s="283">
        <v>871.75</v>
      </c>
    </row>
    <row r="133" spans="2:55" ht="13">
      <c r="B133" s="273" t="s">
        <v>65</v>
      </c>
      <c r="C133" s="286" t="s">
        <v>490</v>
      </c>
      <c r="D133" s="531">
        <v>1047</v>
      </c>
      <c r="E133" s="532">
        <v>3.25</v>
      </c>
      <c r="F133" s="237" t="s">
        <v>190</v>
      </c>
      <c r="G133" s="314"/>
      <c r="I133" s="267">
        <v>39</v>
      </c>
      <c r="J133" s="267">
        <v>54</v>
      </c>
      <c r="K133" s="267">
        <v>346</v>
      </c>
      <c r="L133" s="267">
        <v>380</v>
      </c>
      <c r="M133" s="268">
        <v>413</v>
      </c>
      <c r="O133" s="267">
        <v>58</v>
      </c>
      <c r="P133" s="267">
        <v>83</v>
      </c>
      <c r="Q133" s="267">
        <v>387</v>
      </c>
      <c r="R133" s="267">
        <v>453</v>
      </c>
      <c r="S133" s="268">
        <v>538</v>
      </c>
      <c r="U133" s="267">
        <v>52</v>
      </c>
      <c r="V133" s="267">
        <v>432</v>
      </c>
      <c r="W133" s="267">
        <v>455</v>
      </c>
      <c r="X133" s="267">
        <v>472</v>
      </c>
      <c r="Y133" s="268">
        <v>505</v>
      </c>
      <c r="AA133" s="267">
        <v>68</v>
      </c>
      <c r="AB133" s="267">
        <v>446</v>
      </c>
      <c r="AC133" s="267">
        <v>475</v>
      </c>
      <c r="AD133" s="267">
        <v>519</v>
      </c>
      <c r="AE133" s="268">
        <v>589</v>
      </c>
      <c r="AG133" s="282">
        <v>0</v>
      </c>
      <c r="AH133" s="282">
        <v>-240</v>
      </c>
      <c r="AI133" s="282">
        <v>-240</v>
      </c>
      <c r="AJ133" s="282">
        <v>-240</v>
      </c>
      <c r="AK133" s="283">
        <v>-240</v>
      </c>
      <c r="AL133" s="289"/>
      <c r="AM133" s="282">
        <v>0</v>
      </c>
      <c r="AN133" s="282">
        <v>-240</v>
      </c>
      <c r="AO133" s="282">
        <v>-240</v>
      </c>
      <c r="AP133" s="282">
        <v>-240</v>
      </c>
      <c r="AQ133" s="283">
        <v>-240</v>
      </c>
      <c r="AS133" s="282">
        <v>995</v>
      </c>
      <c r="AT133" s="282">
        <v>615.25</v>
      </c>
      <c r="AU133" s="282">
        <v>592.24999999999989</v>
      </c>
      <c r="AV133" s="282">
        <v>575.25</v>
      </c>
      <c r="AW133" s="283">
        <v>542.25</v>
      </c>
      <c r="AX133" s="284"/>
      <c r="AY133" s="282">
        <v>979.5</v>
      </c>
      <c r="AZ133" s="282">
        <v>600.75</v>
      </c>
      <c r="BA133" s="282">
        <v>572.25</v>
      </c>
      <c r="BB133" s="282">
        <v>527.75</v>
      </c>
      <c r="BC133" s="283">
        <v>457.75</v>
      </c>
    </row>
    <row r="134" spans="2:55" ht="13">
      <c r="B134" s="280" t="s">
        <v>65</v>
      </c>
      <c r="C134" s="281" t="s">
        <v>491</v>
      </c>
      <c r="D134" s="529">
        <v>182</v>
      </c>
      <c r="E134" s="535">
        <v>3.75</v>
      </c>
      <c r="F134" s="239" t="s">
        <v>191</v>
      </c>
      <c r="G134" s="315"/>
      <c r="I134" s="282">
        <v>39</v>
      </c>
      <c r="J134" s="282">
        <v>54</v>
      </c>
      <c r="K134" s="282">
        <v>348</v>
      </c>
      <c r="L134" s="282">
        <v>382</v>
      </c>
      <c r="M134" s="283">
        <v>415</v>
      </c>
      <c r="O134" s="282">
        <v>58</v>
      </c>
      <c r="P134" s="282">
        <v>83</v>
      </c>
      <c r="Q134" s="282">
        <v>389</v>
      </c>
      <c r="R134" s="282">
        <v>455</v>
      </c>
      <c r="S134" s="283">
        <v>540</v>
      </c>
      <c r="U134" s="282">
        <v>71</v>
      </c>
      <c r="V134" s="282">
        <v>91</v>
      </c>
      <c r="W134" s="282">
        <v>114</v>
      </c>
      <c r="X134" s="282">
        <v>131</v>
      </c>
      <c r="Y134" s="283">
        <v>164</v>
      </c>
      <c r="AA134" s="282">
        <v>87</v>
      </c>
      <c r="AB134" s="282">
        <v>106</v>
      </c>
      <c r="AC134" s="282">
        <v>134</v>
      </c>
      <c r="AD134" s="282">
        <v>179</v>
      </c>
      <c r="AE134" s="283">
        <v>249</v>
      </c>
      <c r="AG134" s="282">
        <v>0</v>
      </c>
      <c r="AH134" s="282">
        <v>0</v>
      </c>
      <c r="AI134" s="282">
        <v>0</v>
      </c>
      <c r="AJ134" s="282">
        <v>0</v>
      </c>
      <c r="AK134" s="283">
        <v>0</v>
      </c>
      <c r="AL134" s="289"/>
      <c r="AM134" s="282">
        <v>0</v>
      </c>
      <c r="AN134" s="282">
        <v>0</v>
      </c>
      <c r="AO134" s="282">
        <v>0</v>
      </c>
      <c r="AP134" s="282">
        <v>0</v>
      </c>
      <c r="AQ134" s="283">
        <v>0</v>
      </c>
      <c r="AS134" s="282">
        <v>110.75</v>
      </c>
      <c r="AT134" s="282">
        <v>90.75</v>
      </c>
      <c r="AU134" s="282">
        <v>67.749999999999886</v>
      </c>
      <c r="AV134" s="282">
        <v>50.75</v>
      </c>
      <c r="AW134" s="283">
        <v>17.75</v>
      </c>
      <c r="AX134" s="284"/>
      <c r="AY134" s="282">
        <v>95.250000000000028</v>
      </c>
      <c r="AZ134" s="282">
        <v>76.25</v>
      </c>
      <c r="BA134" s="282">
        <v>47.75</v>
      </c>
      <c r="BB134" s="282">
        <v>3.25</v>
      </c>
      <c r="BC134" s="283">
        <v>-66.75</v>
      </c>
    </row>
    <row r="135" spans="2:55" ht="13">
      <c r="B135" s="273" t="s">
        <v>65</v>
      </c>
      <c r="C135" s="286" t="s">
        <v>492</v>
      </c>
      <c r="D135" s="531">
        <v>310</v>
      </c>
      <c r="E135" s="532">
        <v>3.75</v>
      </c>
      <c r="F135" s="237" t="s">
        <v>191</v>
      </c>
      <c r="G135" s="314"/>
      <c r="I135" s="267">
        <v>39</v>
      </c>
      <c r="J135" s="267">
        <v>54</v>
      </c>
      <c r="K135" s="267">
        <v>348</v>
      </c>
      <c r="L135" s="267">
        <v>382</v>
      </c>
      <c r="M135" s="268">
        <v>415</v>
      </c>
      <c r="O135" s="267">
        <v>58</v>
      </c>
      <c r="P135" s="267">
        <v>83</v>
      </c>
      <c r="Q135" s="267">
        <v>389</v>
      </c>
      <c r="R135" s="267">
        <v>455</v>
      </c>
      <c r="S135" s="268">
        <v>540</v>
      </c>
      <c r="U135" s="267">
        <v>127</v>
      </c>
      <c r="V135" s="267">
        <v>147</v>
      </c>
      <c r="W135" s="267">
        <v>170</v>
      </c>
      <c r="X135" s="267">
        <v>187</v>
      </c>
      <c r="Y135" s="268">
        <v>220</v>
      </c>
      <c r="AA135" s="267">
        <v>143</v>
      </c>
      <c r="AB135" s="267">
        <v>162</v>
      </c>
      <c r="AC135" s="267">
        <v>190</v>
      </c>
      <c r="AD135" s="267">
        <v>235</v>
      </c>
      <c r="AE135" s="268">
        <v>305</v>
      </c>
      <c r="AG135" s="282">
        <v>0</v>
      </c>
      <c r="AH135" s="282">
        <v>0</v>
      </c>
      <c r="AI135" s="282">
        <v>0</v>
      </c>
      <c r="AJ135" s="282">
        <v>0</v>
      </c>
      <c r="AK135" s="283">
        <v>0</v>
      </c>
      <c r="AL135" s="289"/>
      <c r="AM135" s="282">
        <v>0</v>
      </c>
      <c r="AN135" s="282">
        <v>0</v>
      </c>
      <c r="AO135" s="282">
        <v>0</v>
      </c>
      <c r="AP135" s="282">
        <v>0</v>
      </c>
      <c r="AQ135" s="283">
        <v>0</v>
      </c>
      <c r="AS135" s="282">
        <v>182.75</v>
      </c>
      <c r="AT135" s="282">
        <v>162.75</v>
      </c>
      <c r="AU135" s="282">
        <v>139.74999999999989</v>
      </c>
      <c r="AV135" s="282">
        <v>122.75</v>
      </c>
      <c r="AW135" s="283">
        <v>89.75</v>
      </c>
      <c r="AX135" s="284"/>
      <c r="AY135" s="282">
        <v>167.25000000000003</v>
      </c>
      <c r="AZ135" s="282">
        <v>148.25</v>
      </c>
      <c r="BA135" s="282">
        <v>119.75</v>
      </c>
      <c r="BB135" s="282">
        <v>75.25</v>
      </c>
      <c r="BC135" s="283">
        <v>5.25</v>
      </c>
    </row>
    <row r="136" spans="2:55" ht="13">
      <c r="B136" s="280" t="s">
        <v>65</v>
      </c>
      <c r="C136" s="281" t="s">
        <v>493</v>
      </c>
      <c r="D136" s="529">
        <v>310</v>
      </c>
      <c r="E136" s="535">
        <v>3.75</v>
      </c>
      <c r="F136" s="239" t="s">
        <v>191</v>
      </c>
      <c r="G136" s="315"/>
      <c r="I136" s="282">
        <v>58</v>
      </c>
      <c r="J136" s="282">
        <v>73</v>
      </c>
      <c r="K136" s="282">
        <v>97</v>
      </c>
      <c r="L136" s="282">
        <v>131</v>
      </c>
      <c r="M136" s="283">
        <v>164</v>
      </c>
      <c r="O136" s="282">
        <v>77</v>
      </c>
      <c r="P136" s="282">
        <v>102</v>
      </c>
      <c r="Q136" s="282">
        <v>138</v>
      </c>
      <c r="R136" s="282">
        <v>204</v>
      </c>
      <c r="S136" s="283">
        <v>289</v>
      </c>
      <c r="U136" s="282">
        <v>137</v>
      </c>
      <c r="V136" s="282">
        <v>157</v>
      </c>
      <c r="W136" s="282">
        <v>180</v>
      </c>
      <c r="X136" s="282">
        <v>197</v>
      </c>
      <c r="Y136" s="283">
        <v>230</v>
      </c>
      <c r="AA136" s="282">
        <v>153</v>
      </c>
      <c r="AB136" s="282">
        <v>172</v>
      </c>
      <c r="AC136" s="282">
        <v>200</v>
      </c>
      <c r="AD136" s="282">
        <v>245</v>
      </c>
      <c r="AE136" s="283">
        <v>315</v>
      </c>
      <c r="AG136" s="282">
        <v>0</v>
      </c>
      <c r="AH136" s="282">
        <v>0</v>
      </c>
      <c r="AI136" s="282">
        <v>0</v>
      </c>
      <c r="AJ136" s="282">
        <v>0</v>
      </c>
      <c r="AK136" s="283">
        <v>0</v>
      </c>
      <c r="AL136" s="289"/>
      <c r="AM136" s="282">
        <v>0</v>
      </c>
      <c r="AN136" s="282">
        <v>0</v>
      </c>
      <c r="AO136" s="282">
        <v>0</v>
      </c>
      <c r="AP136" s="282">
        <v>0</v>
      </c>
      <c r="AQ136" s="283">
        <v>0</v>
      </c>
      <c r="AS136" s="282">
        <v>172.75</v>
      </c>
      <c r="AT136" s="282">
        <v>152.75</v>
      </c>
      <c r="AU136" s="282">
        <v>129.74999999999989</v>
      </c>
      <c r="AV136" s="282">
        <v>112.75</v>
      </c>
      <c r="AW136" s="283">
        <v>79.75</v>
      </c>
      <c r="AX136" s="284"/>
      <c r="AY136" s="282">
        <v>157.25000000000003</v>
      </c>
      <c r="AZ136" s="282">
        <v>138.25</v>
      </c>
      <c r="BA136" s="282">
        <v>109.75</v>
      </c>
      <c r="BB136" s="282">
        <v>65.25</v>
      </c>
      <c r="BC136" s="283">
        <v>-4.75</v>
      </c>
    </row>
    <row r="137" spans="2:55" ht="13">
      <c r="B137" s="273" t="s">
        <v>65</v>
      </c>
      <c r="C137" s="286" t="s">
        <v>617</v>
      </c>
      <c r="D137" s="531">
        <v>1195</v>
      </c>
      <c r="E137" s="532">
        <v>3.75</v>
      </c>
      <c r="F137" s="237" t="s">
        <v>191</v>
      </c>
      <c r="G137" s="314"/>
      <c r="I137" s="267">
        <v>115</v>
      </c>
      <c r="J137" s="267">
        <v>130</v>
      </c>
      <c r="K137" s="267">
        <v>154</v>
      </c>
      <c r="L137" s="267">
        <v>188</v>
      </c>
      <c r="M137" s="268">
        <v>221</v>
      </c>
      <c r="O137" s="267">
        <v>134</v>
      </c>
      <c r="P137" s="267">
        <v>159</v>
      </c>
      <c r="Q137" s="267">
        <v>195</v>
      </c>
      <c r="R137" s="267">
        <v>261</v>
      </c>
      <c r="S137" s="268">
        <v>346</v>
      </c>
      <c r="U137" s="267">
        <v>52</v>
      </c>
      <c r="V137" s="267">
        <v>392</v>
      </c>
      <c r="W137" s="267">
        <v>415</v>
      </c>
      <c r="X137" s="267">
        <v>432</v>
      </c>
      <c r="Y137" s="268">
        <v>465</v>
      </c>
      <c r="AA137" s="267">
        <v>68</v>
      </c>
      <c r="AB137" s="267">
        <v>407</v>
      </c>
      <c r="AC137" s="267">
        <v>435</v>
      </c>
      <c r="AD137" s="267">
        <v>480</v>
      </c>
      <c r="AE137" s="268">
        <v>550</v>
      </c>
      <c r="AG137" s="282">
        <v>0</v>
      </c>
      <c r="AH137" s="282">
        <v>-100</v>
      </c>
      <c r="AI137" s="282">
        <v>-100</v>
      </c>
      <c r="AJ137" s="282">
        <v>-100</v>
      </c>
      <c r="AK137" s="283">
        <v>-100</v>
      </c>
      <c r="AL137" s="289"/>
      <c r="AM137" s="282">
        <v>0</v>
      </c>
      <c r="AN137" s="282">
        <v>-100</v>
      </c>
      <c r="AO137" s="282">
        <v>-100</v>
      </c>
      <c r="AP137" s="282">
        <v>-100</v>
      </c>
      <c r="AQ137" s="283">
        <v>-100</v>
      </c>
      <c r="AS137" s="282">
        <v>1143</v>
      </c>
      <c r="AT137" s="282">
        <v>802.75</v>
      </c>
      <c r="AU137" s="282">
        <v>779.75</v>
      </c>
      <c r="AV137" s="282">
        <v>762.75</v>
      </c>
      <c r="AW137" s="283">
        <v>729.75</v>
      </c>
      <c r="AX137" s="284"/>
      <c r="AY137" s="282">
        <v>1127.5</v>
      </c>
      <c r="AZ137" s="282">
        <v>788.25</v>
      </c>
      <c r="BA137" s="282">
        <v>759.75</v>
      </c>
      <c r="BB137" s="282">
        <v>715.25</v>
      </c>
      <c r="BC137" s="283">
        <v>645.25</v>
      </c>
    </row>
    <row r="138" spans="2:55" ht="13">
      <c r="B138" s="280" t="s">
        <v>65</v>
      </c>
      <c r="C138" s="281" t="s">
        <v>427</v>
      </c>
      <c r="D138" s="529">
        <v>537</v>
      </c>
      <c r="E138" s="535">
        <v>3.75</v>
      </c>
      <c r="F138" s="239" t="s">
        <v>191</v>
      </c>
      <c r="G138" s="315"/>
      <c r="I138" s="282">
        <v>105</v>
      </c>
      <c r="J138" s="282">
        <v>120</v>
      </c>
      <c r="K138" s="282">
        <v>144</v>
      </c>
      <c r="L138" s="282">
        <v>178</v>
      </c>
      <c r="M138" s="283">
        <v>211</v>
      </c>
      <c r="O138" s="282">
        <v>124</v>
      </c>
      <c r="P138" s="282">
        <v>149</v>
      </c>
      <c r="Q138" s="282">
        <v>185</v>
      </c>
      <c r="R138" s="282">
        <v>251</v>
      </c>
      <c r="S138" s="283">
        <v>336</v>
      </c>
      <c r="U138" s="282">
        <v>237</v>
      </c>
      <c r="V138" s="282">
        <v>257</v>
      </c>
      <c r="W138" s="282">
        <v>280</v>
      </c>
      <c r="X138" s="282">
        <v>297</v>
      </c>
      <c r="Y138" s="283">
        <v>330</v>
      </c>
      <c r="AA138" s="282">
        <v>253</v>
      </c>
      <c r="AB138" s="282">
        <v>272</v>
      </c>
      <c r="AC138" s="282">
        <v>300</v>
      </c>
      <c r="AD138" s="282">
        <v>345</v>
      </c>
      <c r="AE138" s="283">
        <v>415</v>
      </c>
      <c r="AG138" s="282">
        <v>0</v>
      </c>
      <c r="AH138" s="282">
        <v>0</v>
      </c>
      <c r="AI138" s="282">
        <v>0</v>
      </c>
      <c r="AJ138" s="282">
        <v>0</v>
      </c>
      <c r="AK138" s="283">
        <v>0</v>
      </c>
      <c r="AL138" s="289"/>
      <c r="AM138" s="282">
        <v>0</v>
      </c>
      <c r="AN138" s="282">
        <v>0</v>
      </c>
      <c r="AO138" s="282">
        <v>0</v>
      </c>
      <c r="AP138" s="282">
        <v>0</v>
      </c>
      <c r="AQ138" s="283">
        <v>0</v>
      </c>
      <c r="AS138" s="282">
        <v>299.75</v>
      </c>
      <c r="AT138" s="282">
        <v>279.75</v>
      </c>
      <c r="AU138" s="282">
        <v>256.74999999999989</v>
      </c>
      <c r="AV138" s="282">
        <v>239.75</v>
      </c>
      <c r="AW138" s="283">
        <v>206.75</v>
      </c>
      <c r="AX138" s="284"/>
      <c r="AY138" s="282">
        <v>284.25</v>
      </c>
      <c r="AZ138" s="282">
        <v>265.25</v>
      </c>
      <c r="BA138" s="282">
        <v>236.75</v>
      </c>
      <c r="BB138" s="282">
        <v>192.25</v>
      </c>
      <c r="BC138" s="283">
        <v>122.25</v>
      </c>
    </row>
    <row r="139" spans="2:55" ht="13">
      <c r="B139" s="273" t="s">
        <v>65</v>
      </c>
      <c r="C139" s="286" t="s">
        <v>418</v>
      </c>
      <c r="D139" s="531">
        <v>421</v>
      </c>
      <c r="E139" s="532">
        <v>2.5</v>
      </c>
      <c r="F139" s="237" t="s">
        <v>459</v>
      </c>
      <c r="G139" s="314"/>
      <c r="I139" s="267">
        <v>39</v>
      </c>
      <c r="J139" s="267">
        <v>54</v>
      </c>
      <c r="K139" s="267">
        <v>220</v>
      </c>
      <c r="L139" s="267">
        <v>254</v>
      </c>
      <c r="M139" s="268">
        <v>287</v>
      </c>
      <c r="O139" s="267">
        <v>58</v>
      </c>
      <c r="P139" s="267">
        <v>83</v>
      </c>
      <c r="Q139" s="267">
        <v>261</v>
      </c>
      <c r="R139" s="267">
        <v>327</v>
      </c>
      <c r="S139" s="268">
        <v>412</v>
      </c>
      <c r="U139" s="267">
        <v>99</v>
      </c>
      <c r="V139" s="267">
        <v>119</v>
      </c>
      <c r="W139" s="267">
        <v>142</v>
      </c>
      <c r="X139" s="267">
        <v>159</v>
      </c>
      <c r="Y139" s="268">
        <v>192</v>
      </c>
      <c r="AA139" s="267">
        <v>114</v>
      </c>
      <c r="AB139" s="267">
        <v>133</v>
      </c>
      <c r="AC139" s="267">
        <v>162</v>
      </c>
      <c r="AD139" s="267">
        <v>206</v>
      </c>
      <c r="AE139" s="268">
        <v>276</v>
      </c>
      <c r="AG139" s="282">
        <v>50</v>
      </c>
      <c r="AH139" s="282">
        <v>50</v>
      </c>
      <c r="AI139" s="282">
        <v>50</v>
      </c>
      <c r="AJ139" s="282">
        <v>50</v>
      </c>
      <c r="AK139" s="283">
        <v>50</v>
      </c>
      <c r="AL139" s="289"/>
      <c r="AM139" s="282">
        <v>50</v>
      </c>
      <c r="AN139" s="282">
        <v>50</v>
      </c>
      <c r="AO139" s="282">
        <v>50</v>
      </c>
      <c r="AP139" s="282">
        <v>50</v>
      </c>
      <c r="AQ139" s="283">
        <v>50</v>
      </c>
      <c r="AS139" s="282">
        <v>322.5</v>
      </c>
      <c r="AT139" s="282">
        <v>302.5</v>
      </c>
      <c r="AU139" s="282">
        <v>279.49999999999989</v>
      </c>
      <c r="AV139" s="282">
        <v>262.5</v>
      </c>
      <c r="AW139" s="283">
        <v>229.5</v>
      </c>
      <c r="AX139" s="284"/>
      <c r="AY139" s="282">
        <v>307</v>
      </c>
      <c r="AZ139" s="282">
        <v>288</v>
      </c>
      <c r="BA139" s="282">
        <v>259.5</v>
      </c>
      <c r="BB139" s="282">
        <v>215</v>
      </c>
      <c r="BC139" s="283">
        <v>145</v>
      </c>
    </row>
    <row r="140" spans="2:55" ht="13">
      <c r="B140" s="280" t="s">
        <v>65</v>
      </c>
      <c r="C140" s="281" t="s">
        <v>566</v>
      </c>
      <c r="D140" s="529">
        <v>315</v>
      </c>
      <c r="E140" s="535">
        <v>2.5</v>
      </c>
      <c r="F140" s="239" t="s">
        <v>459</v>
      </c>
      <c r="G140" s="315"/>
      <c r="I140" s="282">
        <v>105</v>
      </c>
      <c r="J140" s="282">
        <v>120</v>
      </c>
      <c r="K140" s="282">
        <v>144</v>
      </c>
      <c r="L140" s="282">
        <v>178</v>
      </c>
      <c r="M140" s="283">
        <v>211</v>
      </c>
      <c r="O140" s="282">
        <v>124</v>
      </c>
      <c r="P140" s="282">
        <v>149</v>
      </c>
      <c r="Q140" s="282">
        <v>185</v>
      </c>
      <c r="R140" s="282">
        <v>251</v>
      </c>
      <c r="S140" s="283">
        <v>336</v>
      </c>
      <c r="U140" s="282">
        <v>129</v>
      </c>
      <c r="V140" s="282">
        <v>149</v>
      </c>
      <c r="W140" s="282">
        <v>172</v>
      </c>
      <c r="X140" s="282">
        <v>189</v>
      </c>
      <c r="Y140" s="283">
        <v>222</v>
      </c>
      <c r="AA140" s="282">
        <v>144</v>
      </c>
      <c r="AB140" s="282">
        <v>163</v>
      </c>
      <c r="AC140" s="282">
        <v>192</v>
      </c>
      <c r="AD140" s="282">
        <v>236</v>
      </c>
      <c r="AE140" s="283">
        <v>306</v>
      </c>
      <c r="AG140" s="282">
        <v>0</v>
      </c>
      <c r="AH140" s="282">
        <v>0</v>
      </c>
      <c r="AI140" s="282">
        <v>0</v>
      </c>
      <c r="AJ140" s="282">
        <v>0</v>
      </c>
      <c r="AK140" s="283">
        <v>0</v>
      </c>
      <c r="AL140" s="289"/>
      <c r="AM140" s="282">
        <v>0</v>
      </c>
      <c r="AN140" s="282">
        <v>0</v>
      </c>
      <c r="AO140" s="282">
        <v>0</v>
      </c>
      <c r="AP140" s="282">
        <v>0</v>
      </c>
      <c r="AQ140" s="283">
        <v>0</v>
      </c>
      <c r="AS140" s="282">
        <v>186.5</v>
      </c>
      <c r="AT140" s="282">
        <v>166.5</v>
      </c>
      <c r="AU140" s="282">
        <v>143.49999999999989</v>
      </c>
      <c r="AV140" s="282">
        <v>126.5</v>
      </c>
      <c r="AW140" s="283">
        <v>93.5</v>
      </c>
      <c r="AX140" s="284"/>
      <c r="AY140" s="282">
        <v>171.00000000000003</v>
      </c>
      <c r="AZ140" s="282">
        <v>152</v>
      </c>
      <c r="BA140" s="282">
        <v>123.5</v>
      </c>
      <c r="BB140" s="282">
        <v>79</v>
      </c>
      <c r="BC140" s="283">
        <v>9</v>
      </c>
    </row>
    <row r="141" spans="2:55" ht="13">
      <c r="B141" s="273" t="s">
        <v>65</v>
      </c>
      <c r="C141" s="286" t="s">
        <v>567</v>
      </c>
      <c r="D141" s="531">
        <v>373</v>
      </c>
      <c r="E141" s="532">
        <v>2.5</v>
      </c>
      <c r="F141" s="237" t="s">
        <v>459</v>
      </c>
      <c r="G141" s="314"/>
      <c r="I141" s="267">
        <v>105</v>
      </c>
      <c r="J141" s="267">
        <v>120</v>
      </c>
      <c r="K141" s="267">
        <v>144</v>
      </c>
      <c r="L141" s="267">
        <v>178</v>
      </c>
      <c r="M141" s="268">
        <v>211</v>
      </c>
      <c r="O141" s="267">
        <v>124</v>
      </c>
      <c r="P141" s="267">
        <v>149</v>
      </c>
      <c r="Q141" s="267">
        <v>185</v>
      </c>
      <c r="R141" s="267">
        <v>251</v>
      </c>
      <c r="S141" s="268">
        <v>336</v>
      </c>
      <c r="U141" s="267">
        <v>128</v>
      </c>
      <c r="V141" s="267">
        <v>148</v>
      </c>
      <c r="W141" s="267">
        <v>171</v>
      </c>
      <c r="X141" s="267">
        <v>188</v>
      </c>
      <c r="Y141" s="268">
        <v>221</v>
      </c>
      <c r="AA141" s="267">
        <v>143</v>
      </c>
      <c r="AB141" s="267">
        <v>162</v>
      </c>
      <c r="AC141" s="267">
        <v>191</v>
      </c>
      <c r="AD141" s="267">
        <v>235</v>
      </c>
      <c r="AE141" s="268">
        <v>305</v>
      </c>
      <c r="AG141" s="282">
        <v>0</v>
      </c>
      <c r="AH141" s="282">
        <v>0</v>
      </c>
      <c r="AI141" s="282">
        <v>0</v>
      </c>
      <c r="AJ141" s="282">
        <v>0</v>
      </c>
      <c r="AK141" s="283">
        <v>0</v>
      </c>
      <c r="AL141" s="289"/>
      <c r="AM141" s="282">
        <v>0</v>
      </c>
      <c r="AN141" s="282">
        <v>0</v>
      </c>
      <c r="AO141" s="282">
        <v>0</v>
      </c>
      <c r="AP141" s="282">
        <v>0</v>
      </c>
      <c r="AQ141" s="283">
        <v>0</v>
      </c>
      <c r="AS141" s="282">
        <v>245.5</v>
      </c>
      <c r="AT141" s="282">
        <v>225.5</v>
      </c>
      <c r="AU141" s="282">
        <v>202.49999999999989</v>
      </c>
      <c r="AV141" s="282">
        <v>185.5</v>
      </c>
      <c r="AW141" s="283">
        <v>152.5</v>
      </c>
      <c r="AX141" s="284"/>
      <c r="AY141" s="282">
        <v>230</v>
      </c>
      <c r="AZ141" s="282">
        <v>211</v>
      </c>
      <c r="BA141" s="282">
        <v>182.5</v>
      </c>
      <c r="BB141" s="282">
        <v>138</v>
      </c>
      <c r="BC141" s="283">
        <v>68</v>
      </c>
    </row>
    <row r="142" spans="2:55" ht="13">
      <c r="B142" s="280" t="s">
        <v>65</v>
      </c>
      <c r="C142" s="281" t="s">
        <v>568</v>
      </c>
      <c r="D142" s="529">
        <v>338</v>
      </c>
      <c r="E142" s="535">
        <v>2.5</v>
      </c>
      <c r="F142" s="239" t="s">
        <v>459</v>
      </c>
      <c r="G142" s="315"/>
      <c r="I142" s="282">
        <v>39</v>
      </c>
      <c r="J142" s="282">
        <v>54</v>
      </c>
      <c r="K142" s="282">
        <v>159</v>
      </c>
      <c r="L142" s="282">
        <v>193</v>
      </c>
      <c r="M142" s="283">
        <v>226</v>
      </c>
      <c r="O142" s="282">
        <v>58</v>
      </c>
      <c r="P142" s="282">
        <v>83</v>
      </c>
      <c r="Q142" s="282">
        <v>200</v>
      </c>
      <c r="R142" s="282">
        <v>266</v>
      </c>
      <c r="S142" s="283">
        <v>351</v>
      </c>
      <c r="U142" s="282">
        <v>129</v>
      </c>
      <c r="V142" s="282">
        <v>149</v>
      </c>
      <c r="W142" s="282">
        <v>172</v>
      </c>
      <c r="X142" s="282">
        <v>189</v>
      </c>
      <c r="Y142" s="283">
        <v>222</v>
      </c>
      <c r="AA142" s="282">
        <v>144</v>
      </c>
      <c r="AB142" s="282">
        <v>163</v>
      </c>
      <c r="AC142" s="282">
        <v>192</v>
      </c>
      <c r="AD142" s="282">
        <v>236</v>
      </c>
      <c r="AE142" s="283">
        <v>306</v>
      </c>
      <c r="AG142" s="282">
        <v>0</v>
      </c>
      <c r="AH142" s="282">
        <v>0</v>
      </c>
      <c r="AI142" s="282">
        <v>0</v>
      </c>
      <c r="AJ142" s="282">
        <v>0</v>
      </c>
      <c r="AK142" s="283">
        <v>0</v>
      </c>
      <c r="AL142" s="289"/>
      <c r="AM142" s="282">
        <v>0</v>
      </c>
      <c r="AN142" s="282">
        <v>0</v>
      </c>
      <c r="AO142" s="282">
        <v>0</v>
      </c>
      <c r="AP142" s="282">
        <v>0</v>
      </c>
      <c r="AQ142" s="283">
        <v>0</v>
      </c>
      <c r="AS142" s="282">
        <v>209.5</v>
      </c>
      <c r="AT142" s="282">
        <v>189.5</v>
      </c>
      <c r="AU142" s="282">
        <v>166.49999999999989</v>
      </c>
      <c r="AV142" s="282">
        <v>149.5</v>
      </c>
      <c r="AW142" s="283">
        <v>116.5</v>
      </c>
      <c r="AX142" s="284"/>
      <c r="AY142" s="282">
        <v>194</v>
      </c>
      <c r="AZ142" s="282">
        <v>175</v>
      </c>
      <c r="BA142" s="282">
        <v>146.5</v>
      </c>
      <c r="BB142" s="282">
        <v>102</v>
      </c>
      <c r="BC142" s="283">
        <v>32</v>
      </c>
    </row>
    <row r="143" spans="2:55" ht="13">
      <c r="B143" s="273" t="s">
        <v>65</v>
      </c>
      <c r="C143" s="286" t="s">
        <v>557</v>
      </c>
      <c r="D143" s="531">
        <v>207</v>
      </c>
      <c r="E143" s="532">
        <v>2.5</v>
      </c>
      <c r="F143" s="237" t="s">
        <v>459</v>
      </c>
      <c r="G143" s="314"/>
      <c r="I143" s="267">
        <v>125</v>
      </c>
      <c r="J143" s="267">
        <v>140</v>
      </c>
      <c r="K143" s="267">
        <v>164</v>
      </c>
      <c r="L143" s="267">
        <v>198</v>
      </c>
      <c r="M143" s="268">
        <v>231</v>
      </c>
      <c r="O143" s="267">
        <v>144</v>
      </c>
      <c r="P143" s="267">
        <v>169</v>
      </c>
      <c r="Q143" s="267">
        <v>205</v>
      </c>
      <c r="R143" s="267">
        <v>271</v>
      </c>
      <c r="S143" s="268">
        <v>356</v>
      </c>
      <c r="U143" s="267">
        <v>77</v>
      </c>
      <c r="V143" s="267">
        <v>97</v>
      </c>
      <c r="W143" s="267">
        <v>120</v>
      </c>
      <c r="X143" s="267">
        <v>137</v>
      </c>
      <c r="Y143" s="268">
        <v>170</v>
      </c>
      <c r="AA143" s="267">
        <v>92</v>
      </c>
      <c r="AB143" s="267">
        <v>111</v>
      </c>
      <c r="AC143" s="267">
        <v>140</v>
      </c>
      <c r="AD143" s="267">
        <v>184</v>
      </c>
      <c r="AE143" s="268">
        <v>254</v>
      </c>
      <c r="AG143" s="282">
        <v>0</v>
      </c>
      <c r="AH143" s="282">
        <v>0</v>
      </c>
      <c r="AI143" s="282">
        <v>0</v>
      </c>
      <c r="AJ143" s="282">
        <v>0</v>
      </c>
      <c r="AK143" s="283">
        <v>0</v>
      </c>
      <c r="AL143" s="289"/>
      <c r="AM143" s="282">
        <v>0</v>
      </c>
      <c r="AN143" s="282">
        <v>0</v>
      </c>
      <c r="AO143" s="282">
        <v>0</v>
      </c>
      <c r="AP143" s="282">
        <v>0</v>
      </c>
      <c r="AQ143" s="283">
        <v>0</v>
      </c>
      <c r="AS143" s="282">
        <v>130.5</v>
      </c>
      <c r="AT143" s="282">
        <v>110.5</v>
      </c>
      <c r="AU143" s="282">
        <v>87.499999999999886</v>
      </c>
      <c r="AV143" s="282">
        <v>70.5</v>
      </c>
      <c r="AW143" s="283">
        <v>37.5</v>
      </c>
      <c r="AX143" s="284"/>
      <c r="AY143" s="282">
        <v>115.00000000000003</v>
      </c>
      <c r="AZ143" s="282">
        <v>96</v>
      </c>
      <c r="BA143" s="282">
        <v>67.5</v>
      </c>
      <c r="BB143" s="282">
        <v>23</v>
      </c>
      <c r="BC143" s="283">
        <v>-47</v>
      </c>
    </row>
    <row r="144" spans="2:55" ht="13">
      <c r="B144" s="280" t="s">
        <v>65</v>
      </c>
      <c r="C144" s="281" t="s">
        <v>569</v>
      </c>
      <c r="D144" s="529">
        <v>626</v>
      </c>
      <c r="E144" s="535">
        <v>2.5</v>
      </c>
      <c r="F144" s="239" t="s">
        <v>459</v>
      </c>
      <c r="G144" s="315"/>
      <c r="I144" s="282">
        <v>39</v>
      </c>
      <c r="J144" s="282">
        <v>54</v>
      </c>
      <c r="K144" s="282">
        <v>448</v>
      </c>
      <c r="L144" s="282">
        <v>482</v>
      </c>
      <c r="M144" s="283">
        <v>515</v>
      </c>
      <c r="O144" s="282">
        <v>58</v>
      </c>
      <c r="P144" s="282">
        <v>83</v>
      </c>
      <c r="Q144" s="282">
        <v>489</v>
      </c>
      <c r="R144" s="282">
        <v>555</v>
      </c>
      <c r="S144" s="283">
        <v>640</v>
      </c>
      <c r="U144" s="282">
        <v>52</v>
      </c>
      <c r="V144" s="282">
        <v>239</v>
      </c>
      <c r="W144" s="282">
        <v>262</v>
      </c>
      <c r="X144" s="282">
        <v>279</v>
      </c>
      <c r="Y144" s="283">
        <v>312</v>
      </c>
      <c r="AA144" s="282">
        <v>68</v>
      </c>
      <c r="AB144" s="282">
        <v>253</v>
      </c>
      <c r="AC144" s="282">
        <v>282</v>
      </c>
      <c r="AD144" s="282">
        <v>326</v>
      </c>
      <c r="AE144" s="283">
        <v>396</v>
      </c>
      <c r="AG144" s="282">
        <v>0</v>
      </c>
      <c r="AH144" s="282">
        <v>0</v>
      </c>
      <c r="AI144" s="282">
        <v>0</v>
      </c>
      <c r="AJ144" s="282">
        <v>0</v>
      </c>
      <c r="AK144" s="283">
        <v>0</v>
      </c>
      <c r="AL144" s="289"/>
      <c r="AM144" s="282">
        <v>0</v>
      </c>
      <c r="AN144" s="282">
        <v>0</v>
      </c>
      <c r="AO144" s="282">
        <v>0</v>
      </c>
      <c r="AP144" s="282">
        <v>0</v>
      </c>
      <c r="AQ144" s="283">
        <v>0</v>
      </c>
      <c r="AS144" s="282">
        <v>574</v>
      </c>
      <c r="AT144" s="282">
        <v>387.5</v>
      </c>
      <c r="AU144" s="282">
        <v>364.49999999999989</v>
      </c>
      <c r="AV144" s="282">
        <v>347.5</v>
      </c>
      <c r="AW144" s="283">
        <v>314.5</v>
      </c>
      <c r="AX144" s="284"/>
      <c r="AY144" s="282">
        <v>558.5</v>
      </c>
      <c r="AZ144" s="282">
        <v>373</v>
      </c>
      <c r="BA144" s="282">
        <v>344.5</v>
      </c>
      <c r="BB144" s="282">
        <v>300</v>
      </c>
      <c r="BC144" s="283">
        <v>230</v>
      </c>
    </row>
    <row r="145" spans="2:55" ht="13">
      <c r="B145" s="273" t="s">
        <v>65</v>
      </c>
      <c r="C145" s="286" t="s">
        <v>500</v>
      </c>
      <c r="D145" s="531">
        <v>343</v>
      </c>
      <c r="E145" s="532">
        <v>3.25</v>
      </c>
      <c r="F145" s="237" t="s">
        <v>190</v>
      </c>
      <c r="G145" s="314"/>
      <c r="I145" s="267">
        <v>39</v>
      </c>
      <c r="J145" s="267">
        <v>54</v>
      </c>
      <c r="K145" s="267">
        <v>523</v>
      </c>
      <c r="L145" s="267">
        <v>557</v>
      </c>
      <c r="M145" s="268">
        <v>590</v>
      </c>
      <c r="O145" s="267">
        <v>58</v>
      </c>
      <c r="P145" s="267">
        <v>83</v>
      </c>
      <c r="Q145" s="267">
        <v>564</v>
      </c>
      <c r="R145" s="267">
        <v>630</v>
      </c>
      <c r="S145" s="268">
        <v>715</v>
      </c>
      <c r="U145" s="267">
        <v>168</v>
      </c>
      <c r="V145" s="267">
        <v>188</v>
      </c>
      <c r="W145" s="267">
        <v>211</v>
      </c>
      <c r="X145" s="267">
        <v>228</v>
      </c>
      <c r="Y145" s="268">
        <v>261</v>
      </c>
      <c r="AA145" s="267">
        <v>183</v>
      </c>
      <c r="AB145" s="267">
        <v>202</v>
      </c>
      <c r="AC145" s="267">
        <v>231</v>
      </c>
      <c r="AD145" s="267">
        <v>275</v>
      </c>
      <c r="AE145" s="268">
        <v>345</v>
      </c>
      <c r="AG145" s="282">
        <v>0</v>
      </c>
      <c r="AH145" s="282">
        <v>0</v>
      </c>
      <c r="AI145" s="282">
        <v>0</v>
      </c>
      <c r="AJ145" s="282">
        <v>0</v>
      </c>
      <c r="AK145" s="283">
        <v>0</v>
      </c>
      <c r="AL145" s="289"/>
      <c r="AM145" s="282">
        <v>0</v>
      </c>
      <c r="AN145" s="282">
        <v>0</v>
      </c>
      <c r="AO145" s="282">
        <v>0</v>
      </c>
      <c r="AP145" s="282">
        <v>0</v>
      </c>
      <c r="AQ145" s="283">
        <v>0</v>
      </c>
      <c r="AS145" s="282">
        <v>175.25</v>
      </c>
      <c r="AT145" s="282">
        <v>155.25</v>
      </c>
      <c r="AU145" s="282">
        <v>132.24999999999989</v>
      </c>
      <c r="AV145" s="282">
        <v>115.25</v>
      </c>
      <c r="AW145" s="283">
        <v>82.25</v>
      </c>
      <c r="AX145" s="284"/>
      <c r="AY145" s="282">
        <v>159.75</v>
      </c>
      <c r="AZ145" s="282">
        <v>140.75</v>
      </c>
      <c r="BA145" s="282">
        <v>112.25</v>
      </c>
      <c r="BB145" s="282">
        <v>67.75</v>
      </c>
      <c r="BC145" s="283">
        <v>-2.25</v>
      </c>
    </row>
    <row r="146" spans="2:55" ht="13">
      <c r="B146" s="280" t="s">
        <v>65</v>
      </c>
      <c r="C146" s="281" t="s">
        <v>570</v>
      </c>
      <c r="D146" s="529">
        <v>1086</v>
      </c>
      <c r="E146" s="535">
        <v>3.25</v>
      </c>
      <c r="F146" s="239" t="s">
        <v>190</v>
      </c>
      <c r="G146" s="315"/>
      <c r="I146" s="282">
        <v>39</v>
      </c>
      <c r="J146" s="282">
        <v>54</v>
      </c>
      <c r="K146" s="282">
        <v>298</v>
      </c>
      <c r="L146" s="282">
        <v>332</v>
      </c>
      <c r="M146" s="283">
        <v>365</v>
      </c>
      <c r="O146" s="282">
        <v>58</v>
      </c>
      <c r="P146" s="282">
        <v>83</v>
      </c>
      <c r="Q146" s="282">
        <v>339</v>
      </c>
      <c r="R146" s="282">
        <v>405</v>
      </c>
      <c r="S146" s="283">
        <v>490</v>
      </c>
      <c r="U146" s="282">
        <v>52</v>
      </c>
      <c r="V146" s="282">
        <v>292</v>
      </c>
      <c r="W146" s="282">
        <v>315</v>
      </c>
      <c r="X146" s="282">
        <v>332</v>
      </c>
      <c r="Y146" s="283">
        <v>365</v>
      </c>
      <c r="AA146" s="282">
        <v>68</v>
      </c>
      <c r="AB146" s="282">
        <v>306</v>
      </c>
      <c r="AC146" s="282">
        <v>335</v>
      </c>
      <c r="AD146" s="282">
        <v>379</v>
      </c>
      <c r="AE146" s="283">
        <v>449</v>
      </c>
      <c r="AG146" s="282">
        <v>0</v>
      </c>
      <c r="AH146" s="282">
        <v>0</v>
      </c>
      <c r="AI146" s="282">
        <v>0</v>
      </c>
      <c r="AJ146" s="282">
        <v>0</v>
      </c>
      <c r="AK146" s="283">
        <v>0</v>
      </c>
      <c r="AL146" s="289"/>
      <c r="AM146" s="282">
        <v>0</v>
      </c>
      <c r="AN146" s="282">
        <v>0</v>
      </c>
      <c r="AO146" s="282">
        <v>0</v>
      </c>
      <c r="AP146" s="282">
        <v>0</v>
      </c>
      <c r="AQ146" s="283">
        <v>0</v>
      </c>
      <c r="AS146" s="282">
        <v>1034</v>
      </c>
      <c r="AT146" s="282">
        <v>794.25</v>
      </c>
      <c r="AU146" s="282">
        <v>771.24999999999989</v>
      </c>
      <c r="AV146" s="282">
        <v>754.25</v>
      </c>
      <c r="AW146" s="283">
        <v>721.25</v>
      </c>
      <c r="AX146" s="284"/>
      <c r="AY146" s="282">
        <v>1018.5</v>
      </c>
      <c r="AZ146" s="282">
        <v>779.75</v>
      </c>
      <c r="BA146" s="282">
        <v>751.25</v>
      </c>
      <c r="BB146" s="282">
        <v>706.75</v>
      </c>
      <c r="BC146" s="283">
        <v>636.75</v>
      </c>
    </row>
    <row r="147" spans="2:55" ht="13">
      <c r="B147" s="273" t="s">
        <v>65</v>
      </c>
      <c r="C147" s="286" t="s">
        <v>571</v>
      </c>
      <c r="D147" s="531">
        <v>1179</v>
      </c>
      <c r="E147" s="532">
        <v>3.25</v>
      </c>
      <c r="F147" s="237" t="s">
        <v>190</v>
      </c>
      <c r="G147" s="314"/>
      <c r="I147" s="267">
        <v>39</v>
      </c>
      <c r="J147" s="267">
        <v>54</v>
      </c>
      <c r="K147" s="267">
        <v>168</v>
      </c>
      <c r="L147" s="267">
        <v>202</v>
      </c>
      <c r="M147" s="268">
        <v>235</v>
      </c>
      <c r="O147" s="267">
        <v>58</v>
      </c>
      <c r="P147" s="267">
        <v>83</v>
      </c>
      <c r="Q147" s="267">
        <v>210</v>
      </c>
      <c r="R147" s="267">
        <v>275</v>
      </c>
      <c r="S147" s="268">
        <v>360</v>
      </c>
      <c r="U147" s="267">
        <v>52</v>
      </c>
      <c r="V147" s="267">
        <v>292</v>
      </c>
      <c r="W147" s="267">
        <v>315</v>
      </c>
      <c r="X147" s="267">
        <v>332</v>
      </c>
      <c r="Y147" s="268">
        <v>365</v>
      </c>
      <c r="AA147" s="267">
        <v>68</v>
      </c>
      <c r="AB147" s="267">
        <v>306</v>
      </c>
      <c r="AC147" s="267">
        <v>335</v>
      </c>
      <c r="AD147" s="267">
        <v>379</v>
      </c>
      <c r="AE147" s="268">
        <v>449</v>
      </c>
      <c r="AG147" s="282">
        <v>0</v>
      </c>
      <c r="AH147" s="282">
        <v>0</v>
      </c>
      <c r="AI147" s="282">
        <v>0</v>
      </c>
      <c r="AJ147" s="282">
        <v>0</v>
      </c>
      <c r="AK147" s="283">
        <v>0</v>
      </c>
      <c r="AL147" s="289"/>
      <c r="AM147" s="282">
        <v>0</v>
      </c>
      <c r="AN147" s="282">
        <v>0</v>
      </c>
      <c r="AO147" s="282">
        <v>0</v>
      </c>
      <c r="AP147" s="282">
        <v>0</v>
      </c>
      <c r="AQ147" s="283">
        <v>0</v>
      </c>
      <c r="AS147" s="282">
        <v>1127</v>
      </c>
      <c r="AT147" s="282">
        <v>887.25</v>
      </c>
      <c r="AU147" s="282">
        <v>864.25</v>
      </c>
      <c r="AV147" s="282">
        <v>847.25</v>
      </c>
      <c r="AW147" s="283">
        <v>814.25</v>
      </c>
      <c r="AX147" s="284"/>
      <c r="AY147" s="282">
        <v>1111.5</v>
      </c>
      <c r="AZ147" s="282">
        <v>872.75</v>
      </c>
      <c r="BA147" s="282">
        <v>844.25</v>
      </c>
      <c r="BB147" s="282">
        <v>799.75</v>
      </c>
      <c r="BC147" s="283">
        <v>729.75</v>
      </c>
    </row>
    <row r="148" spans="2:55" ht="13">
      <c r="B148" s="280" t="s">
        <v>65</v>
      </c>
      <c r="C148" s="281" t="s">
        <v>572</v>
      </c>
      <c r="D148" s="529">
        <v>1980</v>
      </c>
      <c r="E148" s="535">
        <v>3.25</v>
      </c>
      <c r="F148" s="239" t="s">
        <v>190</v>
      </c>
      <c r="G148" s="315"/>
      <c r="I148" s="282">
        <v>39</v>
      </c>
      <c r="J148" s="282">
        <v>54</v>
      </c>
      <c r="K148" s="282">
        <v>183</v>
      </c>
      <c r="L148" s="282">
        <v>217</v>
      </c>
      <c r="M148" s="283">
        <v>250</v>
      </c>
      <c r="O148" s="282">
        <v>58</v>
      </c>
      <c r="P148" s="282">
        <v>83</v>
      </c>
      <c r="Q148" s="282">
        <v>225</v>
      </c>
      <c r="R148" s="282">
        <v>290</v>
      </c>
      <c r="S148" s="283">
        <v>375</v>
      </c>
      <c r="U148" s="282">
        <v>52</v>
      </c>
      <c r="V148" s="282">
        <v>492</v>
      </c>
      <c r="W148" s="282">
        <v>515</v>
      </c>
      <c r="X148" s="282">
        <v>532</v>
      </c>
      <c r="Y148" s="283">
        <v>565</v>
      </c>
      <c r="AA148" s="282">
        <v>68</v>
      </c>
      <c r="AB148" s="282">
        <v>506</v>
      </c>
      <c r="AC148" s="282">
        <v>535</v>
      </c>
      <c r="AD148" s="282">
        <v>579</v>
      </c>
      <c r="AE148" s="283">
        <v>649</v>
      </c>
      <c r="AG148" s="282">
        <v>0</v>
      </c>
      <c r="AH148" s="282">
        <v>0</v>
      </c>
      <c r="AI148" s="282">
        <v>0</v>
      </c>
      <c r="AJ148" s="282">
        <v>0</v>
      </c>
      <c r="AK148" s="283">
        <v>0</v>
      </c>
      <c r="AL148" s="289"/>
      <c r="AM148" s="282">
        <v>0</v>
      </c>
      <c r="AN148" s="282">
        <v>0</v>
      </c>
      <c r="AO148" s="282">
        <v>0</v>
      </c>
      <c r="AP148" s="282">
        <v>0</v>
      </c>
      <c r="AQ148" s="283">
        <v>0</v>
      </c>
      <c r="AS148" s="282">
        <v>1928</v>
      </c>
      <c r="AT148" s="282">
        <v>1488.5</v>
      </c>
      <c r="AU148" s="282">
        <v>1465.5</v>
      </c>
      <c r="AV148" s="282">
        <v>1448.5</v>
      </c>
      <c r="AW148" s="283">
        <v>1415.5</v>
      </c>
      <c r="AX148" s="284"/>
      <c r="AY148" s="282">
        <v>1912.5</v>
      </c>
      <c r="AZ148" s="282">
        <v>1474</v>
      </c>
      <c r="BA148" s="282">
        <v>1445.5</v>
      </c>
      <c r="BB148" s="282">
        <v>1401</v>
      </c>
      <c r="BC148" s="283">
        <v>1331</v>
      </c>
    </row>
    <row r="149" spans="2:55" ht="13">
      <c r="B149" s="273" t="s">
        <v>65</v>
      </c>
      <c r="C149" s="286" t="s">
        <v>573</v>
      </c>
      <c r="D149" s="531">
        <v>1703</v>
      </c>
      <c r="E149" s="532">
        <v>3.25</v>
      </c>
      <c r="F149" s="237" t="s">
        <v>190</v>
      </c>
      <c r="G149" s="314"/>
      <c r="I149" s="267">
        <v>39</v>
      </c>
      <c r="J149" s="267">
        <v>54</v>
      </c>
      <c r="K149" s="267">
        <v>262</v>
      </c>
      <c r="L149" s="267">
        <v>296</v>
      </c>
      <c r="M149" s="268">
        <v>329</v>
      </c>
      <c r="O149" s="267">
        <v>58</v>
      </c>
      <c r="P149" s="267">
        <v>83</v>
      </c>
      <c r="Q149" s="267">
        <v>304</v>
      </c>
      <c r="R149" s="267">
        <v>369</v>
      </c>
      <c r="S149" s="268">
        <v>454</v>
      </c>
      <c r="U149" s="267">
        <v>52</v>
      </c>
      <c r="V149" s="267">
        <v>342</v>
      </c>
      <c r="W149" s="267">
        <v>365</v>
      </c>
      <c r="X149" s="267">
        <v>382</v>
      </c>
      <c r="Y149" s="268">
        <v>415</v>
      </c>
      <c r="AA149" s="267">
        <v>68</v>
      </c>
      <c r="AB149" s="267">
        <v>356</v>
      </c>
      <c r="AC149" s="267">
        <v>385</v>
      </c>
      <c r="AD149" s="267">
        <v>429</v>
      </c>
      <c r="AE149" s="268">
        <v>499</v>
      </c>
      <c r="AG149" s="282">
        <v>0</v>
      </c>
      <c r="AH149" s="282">
        <v>0</v>
      </c>
      <c r="AI149" s="282">
        <v>0</v>
      </c>
      <c r="AJ149" s="282">
        <v>0</v>
      </c>
      <c r="AK149" s="283">
        <v>0</v>
      </c>
      <c r="AL149" s="289"/>
      <c r="AM149" s="282">
        <v>0</v>
      </c>
      <c r="AN149" s="282">
        <v>0</v>
      </c>
      <c r="AO149" s="282">
        <v>0</v>
      </c>
      <c r="AP149" s="282">
        <v>0</v>
      </c>
      <c r="AQ149" s="283">
        <v>0</v>
      </c>
      <c r="AS149" s="282">
        <v>1651</v>
      </c>
      <c r="AT149" s="282">
        <v>1361.25</v>
      </c>
      <c r="AU149" s="282">
        <v>1338.25</v>
      </c>
      <c r="AV149" s="282">
        <v>1321.25</v>
      </c>
      <c r="AW149" s="283">
        <v>1288.25</v>
      </c>
      <c r="AX149" s="284"/>
      <c r="AY149" s="282">
        <v>1635.5</v>
      </c>
      <c r="AZ149" s="282">
        <v>1346.75</v>
      </c>
      <c r="BA149" s="282">
        <v>1318.25</v>
      </c>
      <c r="BB149" s="282">
        <v>1273.75</v>
      </c>
      <c r="BC149" s="283">
        <v>1203.75</v>
      </c>
    </row>
    <row r="150" spans="2:55" ht="13">
      <c r="B150" s="280" t="s">
        <v>65</v>
      </c>
      <c r="C150" s="281" t="s">
        <v>574</v>
      </c>
      <c r="D150" s="529">
        <v>1796</v>
      </c>
      <c r="E150" s="535">
        <v>3.25</v>
      </c>
      <c r="F150" s="239" t="s">
        <v>190</v>
      </c>
      <c r="G150" s="315"/>
      <c r="I150" s="282">
        <v>39</v>
      </c>
      <c r="J150" s="282">
        <v>54</v>
      </c>
      <c r="K150" s="282">
        <v>262</v>
      </c>
      <c r="L150" s="282">
        <v>296</v>
      </c>
      <c r="M150" s="283">
        <v>329</v>
      </c>
      <c r="O150" s="282">
        <v>58</v>
      </c>
      <c r="P150" s="282">
        <v>83</v>
      </c>
      <c r="Q150" s="282">
        <v>304</v>
      </c>
      <c r="R150" s="282">
        <v>369</v>
      </c>
      <c r="S150" s="283">
        <v>454</v>
      </c>
      <c r="U150" s="282">
        <v>52</v>
      </c>
      <c r="V150" s="282">
        <v>343</v>
      </c>
      <c r="W150" s="282">
        <v>366</v>
      </c>
      <c r="X150" s="282">
        <v>383</v>
      </c>
      <c r="Y150" s="283">
        <v>416</v>
      </c>
      <c r="AA150" s="282">
        <v>68</v>
      </c>
      <c r="AB150" s="282">
        <v>357</v>
      </c>
      <c r="AC150" s="282">
        <v>386</v>
      </c>
      <c r="AD150" s="282">
        <v>430</v>
      </c>
      <c r="AE150" s="283">
        <v>500</v>
      </c>
      <c r="AG150" s="282">
        <v>0</v>
      </c>
      <c r="AH150" s="282">
        <v>0</v>
      </c>
      <c r="AI150" s="282">
        <v>0</v>
      </c>
      <c r="AJ150" s="282">
        <v>0</v>
      </c>
      <c r="AK150" s="283">
        <v>0</v>
      </c>
      <c r="AL150" s="289"/>
      <c r="AM150" s="282">
        <v>0</v>
      </c>
      <c r="AN150" s="282">
        <v>0</v>
      </c>
      <c r="AO150" s="282">
        <v>0</v>
      </c>
      <c r="AP150" s="282">
        <v>0</v>
      </c>
      <c r="AQ150" s="283">
        <v>0</v>
      </c>
      <c r="AS150" s="282">
        <v>1744</v>
      </c>
      <c r="AT150" s="282">
        <v>1453.25</v>
      </c>
      <c r="AU150" s="282">
        <v>1430.25</v>
      </c>
      <c r="AV150" s="282">
        <v>1413.25</v>
      </c>
      <c r="AW150" s="283">
        <v>1380.25</v>
      </c>
      <c r="AX150" s="284"/>
      <c r="AY150" s="282">
        <v>1728.5</v>
      </c>
      <c r="AZ150" s="282">
        <v>1438.75</v>
      </c>
      <c r="BA150" s="282">
        <v>1410.25</v>
      </c>
      <c r="BB150" s="282">
        <v>1365.75</v>
      </c>
      <c r="BC150" s="283">
        <v>1295.75</v>
      </c>
    </row>
    <row r="151" spans="2:55" ht="13">
      <c r="B151" s="273" t="s">
        <v>65</v>
      </c>
      <c r="C151" s="286" t="s">
        <v>515</v>
      </c>
      <c r="D151" s="531">
        <v>429</v>
      </c>
      <c r="E151" s="532">
        <v>0</v>
      </c>
      <c r="F151" s="237" t="s">
        <v>195</v>
      </c>
      <c r="G151" s="314"/>
      <c r="I151" s="267">
        <v>39</v>
      </c>
      <c r="J151" s="267">
        <v>54</v>
      </c>
      <c r="K151" s="267">
        <v>386</v>
      </c>
      <c r="L151" s="267">
        <v>420</v>
      </c>
      <c r="M151" s="268">
        <v>453</v>
      </c>
      <c r="O151" s="267">
        <v>58</v>
      </c>
      <c r="P151" s="267">
        <v>83</v>
      </c>
      <c r="Q151" s="267">
        <v>428</v>
      </c>
      <c r="R151" s="267">
        <v>493</v>
      </c>
      <c r="S151" s="268">
        <v>578</v>
      </c>
      <c r="U151" s="267">
        <v>191</v>
      </c>
      <c r="V151" s="267">
        <v>211</v>
      </c>
      <c r="W151" s="267">
        <v>234</v>
      </c>
      <c r="X151" s="267">
        <v>251</v>
      </c>
      <c r="Y151" s="268">
        <v>284</v>
      </c>
      <c r="AA151" s="267">
        <v>206</v>
      </c>
      <c r="AB151" s="267">
        <v>225</v>
      </c>
      <c r="AC151" s="267">
        <v>254</v>
      </c>
      <c r="AD151" s="267">
        <v>298</v>
      </c>
      <c r="AE151" s="268">
        <v>368</v>
      </c>
      <c r="AG151" s="282">
        <v>0</v>
      </c>
      <c r="AH151" s="282">
        <v>0</v>
      </c>
      <c r="AI151" s="282">
        <v>0</v>
      </c>
      <c r="AJ151" s="282">
        <v>0</v>
      </c>
      <c r="AK151" s="283">
        <v>0</v>
      </c>
      <c r="AL151" s="289"/>
      <c r="AM151" s="282">
        <v>0</v>
      </c>
      <c r="AN151" s="282">
        <v>0</v>
      </c>
      <c r="AO151" s="282">
        <v>0</v>
      </c>
      <c r="AP151" s="282">
        <v>0</v>
      </c>
      <c r="AQ151" s="283">
        <v>0</v>
      </c>
      <c r="AS151" s="282">
        <v>238.36</v>
      </c>
      <c r="AT151" s="282">
        <v>218.36</v>
      </c>
      <c r="AU151" s="282">
        <v>195.3599999999999</v>
      </c>
      <c r="AV151" s="282">
        <v>178.36</v>
      </c>
      <c r="AW151" s="283">
        <v>145.36000000000001</v>
      </c>
      <c r="AX151" s="284"/>
      <c r="AY151" s="282">
        <v>222.86</v>
      </c>
      <c r="AZ151" s="282">
        <v>203.86</v>
      </c>
      <c r="BA151" s="282">
        <v>175.36</v>
      </c>
      <c r="BB151" s="282">
        <v>130.86000000000001</v>
      </c>
      <c r="BC151" s="283">
        <v>60.860000000000014</v>
      </c>
    </row>
    <row r="152" spans="2:55" ht="13">
      <c r="B152" s="280" t="s">
        <v>65</v>
      </c>
      <c r="C152" s="281" t="s">
        <v>516</v>
      </c>
      <c r="D152" s="529">
        <v>537</v>
      </c>
      <c r="E152" s="535">
        <v>0</v>
      </c>
      <c r="F152" s="239" t="s">
        <v>195</v>
      </c>
      <c r="G152" s="315"/>
      <c r="I152" s="282">
        <v>39</v>
      </c>
      <c r="J152" s="282">
        <v>54</v>
      </c>
      <c r="K152" s="282">
        <v>222</v>
      </c>
      <c r="L152" s="282">
        <v>256</v>
      </c>
      <c r="M152" s="283">
        <v>289</v>
      </c>
      <c r="O152" s="282">
        <v>58</v>
      </c>
      <c r="P152" s="282">
        <v>83</v>
      </c>
      <c r="Q152" s="282">
        <v>264</v>
      </c>
      <c r="R152" s="282">
        <v>329</v>
      </c>
      <c r="S152" s="283">
        <v>414</v>
      </c>
      <c r="U152" s="282">
        <v>52</v>
      </c>
      <c r="V152" s="282">
        <v>72</v>
      </c>
      <c r="W152" s="282">
        <v>192</v>
      </c>
      <c r="X152" s="282">
        <v>209</v>
      </c>
      <c r="Y152" s="283">
        <v>242</v>
      </c>
      <c r="AA152" s="282">
        <v>68</v>
      </c>
      <c r="AB152" s="282">
        <v>87</v>
      </c>
      <c r="AC152" s="282">
        <v>212</v>
      </c>
      <c r="AD152" s="282">
        <v>257</v>
      </c>
      <c r="AE152" s="283">
        <v>327</v>
      </c>
      <c r="AG152" s="282">
        <v>0</v>
      </c>
      <c r="AH152" s="282">
        <v>0</v>
      </c>
      <c r="AI152" s="282">
        <v>0</v>
      </c>
      <c r="AJ152" s="282">
        <v>0</v>
      </c>
      <c r="AK152" s="283">
        <v>0</v>
      </c>
      <c r="AL152" s="289"/>
      <c r="AM152" s="282">
        <v>0</v>
      </c>
      <c r="AN152" s="282">
        <v>0</v>
      </c>
      <c r="AO152" s="282">
        <v>0</v>
      </c>
      <c r="AP152" s="282">
        <v>0</v>
      </c>
      <c r="AQ152" s="283">
        <v>0</v>
      </c>
      <c r="AS152" s="282">
        <v>485</v>
      </c>
      <c r="AT152" s="282">
        <v>465</v>
      </c>
      <c r="AU152" s="282">
        <v>344.7999999999999</v>
      </c>
      <c r="AV152" s="282">
        <v>327.8</v>
      </c>
      <c r="AW152" s="283">
        <v>294.8</v>
      </c>
      <c r="AX152" s="284"/>
      <c r="AY152" s="282">
        <v>469.5</v>
      </c>
      <c r="AZ152" s="282">
        <v>450.5</v>
      </c>
      <c r="BA152" s="282">
        <v>324.8</v>
      </c>
      <c r="BB152" s="282">
        <v>280.3</v>
      </c>
      <c r="BC152" s="283">
        <v>210.3</v>
      </c>
    </row>
    <row r="153" spans="2:55" ht="13">
      <c r="B153" s="273" t="s">
        <v>65</v>
      </c>
      <c r="C153" s="286" t="s">
        <v>517</v>
      </c>
      <c r="D153" s="531">
        <v>702</v>
      </c>
      <c r="E153" s="532">
        <v>0</v>
      </c>
      <c r="F153" s="237" t="s">
        <v>195</v>
      </c>
      <c r="G153" s="314"/>
      <c r="I153" s="267">
        <v>42</v>
      </c>
      <c r="J153" s="267">
        <v>0</v>
      </c>
      <c r="K153" s="267">
        <v>0</v>
      </c>
      <c r="L153" s="267">
        <v>0</v>
      </c>
      <c r="M153" s="268">
        <v>0</v>
      </c>
      <c r="O153" s="267">
        <v>42</v>
      </c>
      <c r="P153" s="267">
        <v>0</v>
      </c>
      <c r="Q153" s="267">
        <v>0</v>
      </c>
      <c r="R153" s="267">
        <v>0</v>
      </c>
      <c r="S153" s="268">
        <v>0</v>
      </c>
      <c r="U153" s="267">
        <v>52</v>
      </c>
      <c r="V153" s="267">
        <v>72</v>
      </c>
      <c r="W153" s="267">
        <v>292</v>
      </c>
      <c r="X153" s="267">
        <v>309</v>
      </c>
      <c r="Y153" s="268">
        <v>342</v>
      </c>
      <c r="AA153" s="267">
        <v>68</v>
      </c>
      <c r="AB153" s="267">
        <v>87</v>
      </c>
      <c r="AC153" s="267">
        <v>312</v>
      </c>
      <c r="AD153" s="267">
        <v>357</v>
      </c>
      <c r="AE153" s="268">
        <v>427</v>
      </c>
      <c r="AG153" s="282">
        <v>0</v>
      </c>
      <c r="AH153" s="282">
        <v>0</v>
      </c>
      <c r="AI153" s="282">
        <v>-20</v>
      </c>
      <c r="AJ153" s="282">
        <v>-20</v>
      </c>
      <c r="AK153" s="283">
        <v>-20</v>
      </c>
      <c r="AL153" s="289"/>
      <c r="AM153" s="282">
        <v>0</v>
      </c>
      <c r="AN153" s="282">
        <v>0</v>
      </c>
      <c r="AO153" s="282">
        <v>-20</v>
      </c>
      <c r="AP153" s="282">
        <v>-20</v>
      </c>
      <c r="AQ153" s="283">
        <v>-20</v>
      </c>
      <c r="AS153" s="282">
        <v>650</v>
      </c>
      <c r="AT153" s="282">
        <v>630</v>
      </c>
      <c r="AU153" s="282">
        <v>409.7999999999999</v>
      </c>
      <c r="AV153" s="282">
        <v>392.8</v>
      </c>
      <c r="AW153" s="283">
        <v>359.8</v>
      </c>
      <c r="AX153" s="284"/>
      <c r="AY153" s="282">
        <v>634.5</v>
      </c>
      <c r="AZ153" s="282">
        <v>615.5</v>
      </c>
      <c r="BA153" s="282">
        <v>389.8</v>
      </c>
      <c r="BB153" s="282">
        <v>345.3</v>
      </c>
      <c r="BC153" s="283">
        <v>275.3</v>
      </c>
    </row>
    <row r="154" spans="2:55" ht="13">
      <c r="B154" s="280" t="s">
        <v>65</v>
      </c>
      <c r="C154" s="281" t="s">
        <v>417</v>
      </c>
      <c r="D154" s="529">
        <v>2727</v>
      </c>
      <c r="E154" s="535">
        <v>0</v>
      </c>
      <c r="F154" s="239" t="s">
        <v>195</v>
      </c>
      <c r="G154" s="315"/>
      <c r="I154" s="282">
        <v>59</v>
      </c>
      <c r="J154" s="282">
        <v>74</v>
      </c>
      <c r="K154" s="282">
        <v>98</v>
      </c>
      <c r="L154" s="282">
        <v>132</v>
      </c>
      <c r="M154" s="283">
        <v>165</v>
      </c>
      <c r="O154" s="282">
        <v>78</v>
      </c>
      <c r="P154" s="282">
        <v>103</v>
      </c>
      <c r="Q154" s="282">
        <v>139</v>
      </c>
      <c r="R154" s="282">
        <v>205</v>
      </c>
      <c r="S154" s="283">
        <v>290</v>
      </c>
      <c r="U154" s="282">
        <v>52</v>
      </c>
      <c r="V154" s="282">
        <v>72</v>
      </c>
      <c r="W154" s="282">
        <v>923</v>
      </c>
      <c r="X154" s="282">
        <v>940</v>
      </c>
      <c r="Y154" s="283">
        <v>973</v>
      </c>
      <c r="AA154" s="282">
        <v>68</v>
      </c>
      <c r="AB154" s="282">
        <v>87</v>
      </c>
      <c r="AC154" s="282">
        <v>943</v>
      </c>
      <c r="AD154" s="282">
        <v>988</v>
      </c>
      <c r="AE154" s="283">
        <v>1058</v>
      </c>
      <c r="AG154" s="282">
        <v>0</v>
      </c>
      <c r="AH154" s="282">
        <v>0</v>
      </c>
      <c r="AI154" s="282">
        <v>0</v>
      </c>
      <c r="AJ154" s="282">
        <v>0</v>
      </c>
      <c r="AK154" s="283">
        <v>0</v>
      </c>
      <c r="AL154" s="289"/>
      <c r="AM154" s="282">
        <v>0</v>
      </c>
      <c r="AN154" s="282">
        <v>0</v>
      </c>
      <c r="AO154" s="282">
        <v>0</v>
      </c>
      <c r="AP154" s="282">
        <v>0</v>
      </c>
      <c r="AQ154" s="283">
        <v>0</v>
      </c>
      <c r="AS154" s="282">
        <v>2675</v>
      </c>
      <c r="AT154" s="282">
        <v>2655</v>
      </c>
      <c r="AU154" s="282">
        <v>1803.8</v>
      </c>
      <c r="AV154" s="282">
        <v>1786.8</v>
      </c>
      <c r="AW154" s="283">
        <v>1753.8</v>
      </c>
      <c r="AX154" s="284"/>
      <c r="AY154" s="282">
        <v>2659.5</v>
      </c>
      <c r="AZ154" s="282">
        <v>2640.5</v>
      </c>
      <c r="BA154" s="282">
        <v>1783.8</v>
      </c>
      <c r="BB154" s="282">
        <v>1739.3</v>
      </c>
      <c r="BC154" s="283">
        <v>1669.3</v>
      </c>
    </row>
    <row r="155" spans="2:55" ht="13">
      <c r="B155" s="273" t="s">
        <v>65</v>
      </c>
      <c r="C155" s="286" t="s">
        <v>518</v>
      </c>
      <c r="D155" s="531">
        <v>1012</v>
      </c>
      <c r="E155" s="532">
        <v>0</v>
      </c>
      <c r="F155" s="237" t="s">
        <v>195</v>
      </c>
      <c r="G155" s="314"/>
      <c r="I155" s="267">
        <v>39</v>
      </c>
      <c r="J155" s="267">
        <v>54</v>
      </c>
      <c r="K155" s="267">
        <v>78</v>
      </c>
      <c r="L155" s="267">
        <v>112</v>
      </c>
      <c r="M155" s="268">
        <v>145</v>
      </c>
      <c r="O155" s="267">
        <v>59</v>
      </c>
      <c r="P155" s="267">
        <v>84</v>
      </c>
      <c r="Q155" s="267">
        <v>120</v>
      </c>
      <c r="R155" s="267">
        <v>185</v>
      </c>
      <c r="S155" s="268">
        <v>270</v>
      </c>
      <c r="U155" s="267">
        <v>52</v>
      </c>
      <c r="V155" s="267">
        <v>72</v>
      </c>
      <c r="W155" s="267">
        <v>359</v>
      </c>
      <c r="X155" s="267">
        <v>376</v>
      </c>
      <c r="Y155" s="268">
        <v>409</v>
      </c>
      <c r="AA155" s="267">
        <v>68</v>
      </c>
      <c r="AB155" s="267">
        <v>87</v>
      </c>
      <c r="AC155" s="267">
        <v>379</v>
      </c>
      <c r="AD155" s="267">
        <v>424</v>
      </c>
      <c r="AE155" s="268">
        <v>494</v>
      </c>
      <c r="AG155" s="282">
        <v>0</v>
      </c>
      <c r="AH155" s="282">
        <v>0</v>
      </c>
      <c r="AI155" s="282">
        <v>0</v>
      </c>
      <c r="AJ155" s="282">
        <v>0</v>
      </c>
      <c r="AK155" s="283">
        <v>0</v>
      </c>
      <c r="AL155" s="289"/>
      <c r="AM155" s="282">
        <v>0</v>
      </c>
      <c r="AN155" s="282">
        <v>0</v>
      </c>
      <c r="AO155" s="282">
        <v>0</v>
      </c>
      <c r="AP155" s="282">
        <v>0</v>
      </c>
      <c r="AQ155" s="283">
        <v>0</v>
      </c>
      <c r="AS155" s="282">
        <v>960</v>
      </c>
      <c r="AT155" s="282">
        <v>940</v>
      </c>
      <c r="AU155" s="282">
        <v>652.84999999999991</v>
      </c>
      <c r="AV155" s="282">
        <v>635.85</v>
      </c>
      <c r="AW155" s="283">
        <v>602.85</v>
      </c>
      <c r="AX155" s="284"/>
      <c r="AY155" s="282">
        <v>944.5</v>
      </c>
      <c r="AZ155" s="282">
        <v>925.5</v>
      </c>
      <c r="BA155" s="282">
        <v>632.85</v>
      </c>
      <c r="BB155" s="282">
        <v>588.35</v>
      </c>
      <c r="BC155" s="283">
        <v>518.35</v>
      </c>
    </row>
    <row r="156" spans="2:55" ht="13">
      <c r="B156" s="280" t="s">
        <v>180</v>
      </c>
      <c r="C156" s="281" t="s">
        <v>384</v>
      </c>
      <c r="D156" s="529">
        <v>162</v>
      </c>
      <c r="E156" s="535">
        <v>3.25</v>
      </c>
      <c r="F156" s="239" t="s">
        <v>190</v>
      </c>
      <c r="G156" s="315"/>
      <c r="I156" s="282">
        <v>68</v>
      </c>
      <c r="J156" s="282">
        <v>83</v>
      </c>
      <c r="K156" s="282">
        <v>107</v>
      </c>
      <c r="L156" s="282">
        <v>141</v>
      </c>
      <c r="M156" s="283">
        <v>174</v>
      </c>
      <c r="O156" s="282">
        <v>87</v>
      </c>
      <c r="P156" s="282">
        <v>112</v>
      </c>
      <c r="Q156" s="282">
        <v>148</v>
      </c>
      <c r="R156" s="282">
        <v>214</v>
      </c>
      <c r="S156" s="283">
        <v>299</v>
      </c>
      <c r="U156" s="282">
        <v>99</v>
      </c>
      <c r="V156" s="282">
        <v>119</v>
      </c>
      <c r="W156" s="282">
        <v>142</v>
      </c>
      <c r="X156" s="282">
        <v>159</v>
      </c>
      <c r="Y156" s="283">
        <v>192</v>
      </c>
      <c r="AA156" s="282">
        <v>114</v>
      </c>
      <c r="AB156" s="282">
        <v>133</v>
      </c>
      <c r="AC156" s="282">
        <v>162</v>
      </c>
      <c r="AD156" s="282">
        <v>206</v>
      </c>
      <c r="AE156" s="283">
        <v>276</v>
      </c>
      <c r="AG156" s="282">
        <v>0</v>
      </c>
      <c r="AH156" s="282">
        <v>0</v>
      </c>
      <c r="AI156" s="282">
        <v>0</v>
      </c>
      <c r="AJ156" s="282">
        <v>0</v>
      </c>
      <c r="AK156" s="283">
        <v>0</v>
      </c>
      <c r="AL156" s="289"/>
      <c r="AM156" s="282">
        <v>0</v>
      </c>
      <c r="AN156" s="282">
        <v>0</v>
      </c>
      <c r="AO156" s="282">
        <v>0</v>
      </c>
      <c r="AP156" s="282">
        <v>0</v>
      </c>
      <c r="AQ156" s="283">
        <v>0</v>
      </c>
      <c r="AS156" s="282">
        <v>63.25</v>
      </c>
      <c r="AT156" s="282">
        <v>43.25</v>
      </c>
      <c r="AU156" s="282">
        <v>20.249999999999886</v>
      </c>
      <c r="AV156" s="282">
        <v>3.25</v>
      </c>
      <c r="AW156" s="283">
        <v>-29.75</v>
      </c>
      <c r="AX156" s="284"/>
      <c r="AY156" s="282">
        <v>47.750000000000028</v>
      </c>
      <c r="AZ156" s="282">
        <v>28.75</v>
      </c>
      <c r="BA156" s="282">
        <v>0.25</v>
      </c>
      <c r="BB156" s="282">
        <v>-44.25</v>
      </c>
      <c r="BC156" s="283">
        <v>-114.25</v>
      </c>
    </row>
    <row r="157" spans="2:55" ht="13">
      <c r="B157" s="273" t="s">
        <v>180</v>
      </c>
      <c r="C157" s="286" t="s">
        <v>519</v>
      </c>
      <c r="D157" s="531">
        <v>161</v>
      </c>
      <c r="E157" s="532">
        <v>3.25</v>
      </c>
      <c r="F157" s="237" t="s">
        <v>190</v>
      </c>
      <c r="G157" s="314"/>
      <c r="I157" s="267">
        <v>39</v>
      </c>
      <c r="J157" s="267">
        <v>54</v>
      </c>
      <c r="K157" s="267">
        <v>78</v>
      </c>
      <c r="L157" s="267">
        <v>112</v>
      </c>
      <c r="M157" s="268">
        <v>145</v>
      </c>
      <c r="O157" s="267">
        <v>42</v>
      </c>
      <c r="P157" s="267">
        <v>67</v>
      </c>
      <c r="Q157" s="267">
        <v>120</v>
      </c>
      <c r="R157" s="267">
        <v>185</v>
      </c>
      <c r="S157" s="268">
        <v>270</v>
      </c>
      <c r="U157" s="267">
        <v>67</v>
      </c>
      <c r="V157" s="267">
        <v>87</v>
      </c>
      <c r="W157" s="267">
        <v>110</v>
      </c>
      <c r="X157" s="267">
        <v>127</v>
      </c>
      <c r="Y157" s="268">
        <v>160</v>
      </c>
      <c r="AA157" s="267">
        <v>82</v>
      </c>
      <c r="AB157" s="267">
        <v>101</v>
      </c>
      <c r="AC157" s="267">
        <v>130</v>
      </c>
      <c r="AD157" s="267">
        <v>174</v>
      </c>
      <c r="AE157" s="268">
        <v>244</v>
      </c>
      <c r="AG157" s="282">
        <v>0</v>
      </c>
      <c r="AH157" s="282">
        <v>0</v>
      </c>
      <c r="AI157" s="282">
        <v>0</v>
      </c>
      <c r="AJ157" s="282">
        <v>0</v>
      </c>
      <c r="AK157" s="283">
        <v>0</v>
      </c>
      <c r="AL157" s="289"/>
      <c r="AM157" s="282">
        <v>0</v>
      </c>
      <c r="AN157" s="282">
        <v>0</v>
      </c>
      <c r="AO157" s="282">
        <v>0</v>
      </c>
      <c r="AP157" s="282">
        <v>0</v>
      </c>
      <c r="AQ157" s="283">
        <v>0</v>
      </c>
      <c r="AS157" s="282">
        <v>94.25</v>
      </c>
      <c r="AT157" s="282">
        <v>74.25</v>
      </c>
      <c r="AU157" s="282">
        <v>51.249999999999886</v>
      </c>
      <c r="AV157" s="282">
        <v>34.25</v>
      </c>
      <c r="AW157" s="283">
        <v>1.25</v>
      </c>
      <c r="AX157" s="284"/>
      <c r="AY157" s="282">
        <v>78.750000000000028</v>
      </c>
      <c r="AZ157" s="282">
        <v>59.75</v>
      </c>
      <c r="BA157" s="282">
        <v>31.25</v>
      </c>
      <c r="BB157" s="282">
        <v>-13.25</v>
      </c>
      <c r="BC157" s="283">
        <v>-83.25</v>
      </c>
    </row>
    <row r="158" spans="2:55" ht="13">
      <c r="B158" s="280" t="s">
        <v>180</v>
      </c>
      <c r="C158" s="281" t="s">
        <v>558</v>
      </c>
      <c r="D158" s="529">
        <v>201</v>
      </c>
      <c r="E158" s="535">
        <v>3.25</v>
      </c>
      <c r="F158" s="239" t="s">
        <v>190</v>
      </c>
      <c r="G158" s="315"/>
      <c r="I158" s="282">
        <v>50</v>
      </c>
      <c r="J158" s="282">
        <v>65</v>
      </c>
      <c r="K158" s="282">
        <v>89</v>
      </c>
      <c r="L158" s="282">
        <v>123</v>
      </c>
      <c r="M158" s="283">
        <v>156</v>
      </c>
      <c r="O158" s="282">
        <v>58</v>
      </c>
      <c r="P158" s="282">
        <v>83</v>
      </c>
      <c r="Q158" s="282">
        <v>120</v>
      </c>
      <c r="R158" s="282">
        <v>185</v>
      </c>
      <c r="S158" s="283">
        <v>270</v>
      </c>
      <c r="U158" s="282">
        <v>66</v>
      </c>
      <c r="V158" s="282">
        <v>86</v>
      </c>
      <c r="W158" s="282">
        <v>109</v>
      </c>
      <c r="X158" s="282">
        <v>126</v>
      </c>
      <c r="Y158" s="283">
        <v>159</v>
      </c>
      <c r="AA158" s="282">
        <v>81</v>
      </c>
      <c r="AB158" s="282">
        <v>100</v>
      </c>
      <c r="AC158" s="282">
        <v>129</v>
      </c>
      <c r="AD158" s="282">
        <v>173</v>
      </c>
      <c r="AE158" s="283">
        <v>243</v>
      </c>
      <c r="AG158" s="282">
        <v>0</v>
      </c>
      <c r="AH158" s="282">
        <v>0</v>
      </c>
      <c r="AI158" s="282">
        <v>0</v>
      </c>
      <c r="AJ158" s="282">
        <v>0</v>
      </c>
      <c r="AK158" s="283">
        <v>0</v>
      </c>
      <c r="AL158" s="289"/>
      <c r="AM158" s="282">
        <v>0</v>
      </c>
      <c r="AN158" s="282">
        <v>0</v>
      </c>
      <c r="AO158" s="282">
        <v>0</v>
      </c>
      <c r="AP158" s="282">
        <v>0</v>
      </c>
      <c r="AQ158" s="283">
        <v>0</v>
      </c>
      <c r="AS158" s="282">
        <v>135.25</v>
      </c>
      <c r="AT158" s="282">
        <v>115.25</v>
      </c>
      <c r="AU158" s="282">
        <v>92.249999999999886</v>
      </c>
      <c r="AV158" s="282">
        <v>75.25</v>
      </c>
      <c r="AW158" s="283">
        <v>42.25</v>
      </c>
      <c r="AX158" s="284"/>
      <c r="AY158" s="282">
        <v>119.75000000000003</v>
      </c>
      <c r="AZ158" s="282">
        <v>100.75</v>
      </c>
      <c r="BA158" s="282">
        <v>72.25</v>
      </c>
      <c r="BB158" s="282">
        <v>27.75</v>
      </c>
      <c r="BC158" s="283">
        <v>-42.25</v>
      </c>
    </row>
    <row r="159" spans="2:55" ht="13">
      <c r="B159" s="273" t="s">
        <v>180</v>
      </c>
      <c r="C159" s="286" t="s">
        <v>520</v>
      </c>
      <c r="D159" s="531">
        <v>159</v>
      </c>
      <c r="E159" s="532">
        <v>0</v>
      </c>
      <c r="F159" s="237" t="s">
        <v>195</v>
      </c>
      <c r="G159" s="314"/>
      <c r="I159" s="267">
        <v>65</v>
      </c>
      <c r="J159" s="267">
        <v>80</v>
      </c>
      <c r="K159" s="267">
        <v>104</v>
      </c>
      <c r="L159" s="267">
        <v>138</v>
      </c>
      <c r="M159" s="268">
        <v>171</v>
      </c>
      <c r="O159" s="267">
        <v>58</v>
      </c>
      <c r="P159" s="267">
        <v>83</v>
      </c>
      <c r="Q159" s="267">
        <v>120</v>
      </c>
      <c r="R159" s="267">
        <v>185</v>
      </c>
      <c r="S159" s="268">
        <v>270</v>
      </c>
      <c r="U159" s="267">
        <v>52</v>
      </c>
      <c r="V159" s="267">
        <v>72</v>
      </c>
      <c r="W159" s="267">
        <v>95</v>
      </c>
      <c r="X159" s="267">
        <v>112</v>
      </c>
      <c r="Y159" s="268">
        <v>145</v>
      </c>
      <c r="AA159" s="267">
        <v>68</v>
      </c>
      <c r="AB159" s="267">
        <v>87</v>
      </c>
      <c r="AC159" s="267">
        <v>115</v>
      </c>
      <c r="AD159" s="267">
        <v>160</v>
      </c>
      <c r="AE159" s="268">
        <v>118</v>
      </c>
      <c r="AG159" s="282">
        <v>0</v>
      </c>
      <c r="AH159" s="282">
        <v>0</v>
      </c>
      <c r="AI159" s="282">
        <v>0</v>
      </c>
      <c r="AJ159" s="282">
        <v>0</v>
      </c>
      <c r="AK159" s="283">
        <v>0</v>
      </c>
      <c r="AL159" s="289"/>
      <c r="AM159" s="282">
        <v>0</v>
      </c>
      <c r="AN159" s="282">
        <v>0</v>
      </c>
      <c r="AO159" s="282">
        <v>0</v>
      </c>
      <c r="AP159" s="282">
        <v>0</v>
      </c>
      <c r="AQ159" s="283">
        <v>0</v>
      </c>
      <c r="AS159" s="282">
        <v>107</v>
      </c>
      <c r="AT159" s="282">
        <v>87</v>
      </c>
      <c r="AU159" s="282">
        <v>63.999999999999886</v>
      </c>
      <c r="AV159" s="282">
        <v>47</v>
      </c>
      <c r="AW159" s="283">
        <v>14</v>
      </c>
      <c r="AX159" s="284"/>
      <c r="AY159" s="282">
        <v>91.500000000000028</v>
      </c>
      <c r="AZ159" s="282">
        <v>72.5</v>
      </c>
      <c r="BA159" s="282">
        <v>44</v>
      </c>
      <c r="BB159" s="282">
        <v>-0.5</v>
      </c>
      <c r="BC159" s="283">
        <v>41.5</v>
      </c>
    </row>
    <row r="160" spans="2:55" ht="13">
      <c r="B160" s="280" t="s">
        <v>180</v>
      </c>
      <c r="C160" s="281" t="s">
        <v>428</v>
      </c>
      <c r="D160" s="529">
        <v>49</v>
      </c>
      <c r="E160" s="535">
        <v>1.1000000000000001</v>
      </c>
      <c r="F160" s="239" t="s">
        <v>4</v>
      </c>
      <c r="G160" s="315"/>
      <c r="I160" s="282">
        <v>39</v>
      </c>
      <c r="J160" s="282">
        <v>54</v>
      </c>
      <c r="K160" s="282">
        <v>78</v>
      </c>
      <c r="L160" s="282">
        <v>112</v>
      </c>
      <c r="M160" s="283">
        <v>145</v>
      </c>
      <c r="O160" s="282">
        <v>58</v>
      </c>
      <c r="P160" s="282">
        <v>83</v>
      </c>
      <c r="Q160" s="282">
        <v>120</v>
      </c>
      <c r="R160" s="282">
        <v>185</v>
      </c>
      <c r="S160" s="283">
        <v>270</v>
      </c>
      <c r="U160" s="282">
        <v>49</v>
      </c>
      <c r="V160" s="282">
        <v>49</v>
      </c>
      <c r="W160" s="282">
        <v>0</v>
      </c>
      <c r="X160" s="282">
        <v>0</v>
      </c>
      <c r="Y160" s="283">
        <v>0</v>
      </c>
      <c r="AA160" s="282">
        <v>49</v>
      </c>
      <c r="AB160" s="282">
        <v>0</v>
      </c>
      <c r="AC160" s="282">
        <v>0</v>
      </c>
      <c r="AD160" s="282">
        <v>0</v>
      </c>
      <c r="AE160" s="283">
        <v>0</v>
      </c>
      <c r="AG160" s="282">
        <v>0</v>
      </c>
      <c r="AH160" s="282">
        <v>0</v>
      </c>
      <c r="AI160" s="282">
        <v>0</v>
      </c>
      <c r="AJ160" s="282">
        <v>0</v>
      </c>
      <c r="AK160" s="283">
        <v>0</v>
      </c>
      <c r="AL160" s="289"/>
      <c r="AM160" s="282">
        <v>0</v>
      </c>
      <c r="AN160" s="282">
        <v>0</v>
      </c>
      <c r="AO160" s="282">
        <v>0</v>
      </c>
      <c r="AP160" s="282">
        <v>0</v>
      </c>
      <c r="AQ160" s="283">
        <v>0</v>
      </c>
      <c r="AS160" s="282">
        <v>0</v>
      </c>
      <c r="AT160" s="282">
        <v>0</v>
      </c>
      <c r="AU160" s="282" t="s">
        <v>15</v>
      </c>
      <c r="AV160" s="282" t="s">
        <v>15</v>
      </c>
      <c r="AW160" s="283" t="s">
        <v>15</v>
      </c>
      <c r="AX160" s="284"/>
      <c r="AY160" s="282">
        <v>0</v>
      </c>
      <c r="AZ160" s="282" t="s">
        <v>15</v>
      </c>
      <c r="BA160" s="282" t="s">
        <v>15</v>
      </c>
      <c r="BB160" s="282" t="s">
        <v>15</v>
      </c>
      <c r="BC160" s="283" t="s">
        <v>15</v>
      </c>
    </row>
    <row r="161" spans="2:55" ht="13">
      <c r="B161" s="273" t="s">
        <v>180</v>
      </c>
      <c r="C161" s="286" t="s">
        <v>467</v>
      </c>
      <c r="D161" s="531">
        <v>60</v>
      </c>
      <c r="E161" s="532">
        <v>1.1000000000000001</v>
      </c>
      <c r="F161" s="237" t="s">
        <v>4</v>
      </c>
      <c r="G161" s="314"/>
      <c r="I161" s="267">
        <v>39</v>
      </c>
      <c r="J161" s="267">
        <v>54</v>
      </c>
      <c r="K161" s="267">
        <v>184</v>
      </c>
      <c r="L161" s="267">
        <v>218</v>
      </c>
      <c r="M161" s="268">
        <v>251</v>
      </c>
      <c r="O161" s="267">
        <v>58</v>
      </c>
      <c r="P161" s="267">
        <v>83</v>
      </c>
      <c r="Q161" s="267">
        <v>226</v>
      </c>
      <c r="R161" s="267">
        <v>291</v>
      </c>
      <c r="S161" s="268">
        <v>376</v>
      </c>
      <c r="U161" s="267">
        <v>60</v>
      </c>
      <c r="V161" s="267">
        <v>60</v>
      </c>
      <c r="W161" s="267">
        <v>0</v>
      </c>
      <c r="X161" s="267">
        <v>0</v>
      </c>
      <c r="Y161" s="268">
        <v>0</v>
      </c>
      <c r="AA161" s="267">
        <v>60</v>
      </c>
      <c r="AB161" s="267">
        <v>0</v>
      </c>
      <c r="AC161" s="267">
        <v>0</v>
      </c>
      <c r="AD161" s="267">
        <v>0</v>
      </c>
      <c r="AE161" s="268">
        <v>0</v>
      </c>
      <c r="AG161" s="282">
        <v>0</v>
      </c>
      <c r="AH161" s="282">
        <v>0</v>
      </c>
      <c r="AI161" s="282">
        <v>0</v>
      </c>
      <c r="AJ161" s="282">
        <v>0</v>
      </c>
      <c r="AK161" s="283">
        <v>0</v>
      </c>
      <c r="AL161" s="289"/>
      <c r="AM161" s="282">
        <v>0</v>
      </c>
      <c r="AN161" s="282">
        <v>0</v>
      </c>
      <c r="AO161" s="282">
        <v>0</v>
      </c>
      <c r="AP161" s="282">
        <v>0</v>
      </c>
      <c r="AQ161" s="283">
        <v>0</v>
      </c>
      <c r="AS161" s="282">
        <v>0</v>
      </c>
      <c r="AT161" s="282">
        <v>0</v>
      </c>
      <c r="AU161" s="282" t="s">
        <v>15</v>
      </c>
      <c r="AV161" s="282" t="s">
        <v>15</v>
      </c>
      <c r="AW161" s="283" t="s">
        <v>15</v>
      </c>
      <c r="AX161" s="284"/>
      <c r="AY161" s="282">
        <v>0</v>
      </c>
      <c r="AZ161" s="282" t="s">
        <v>15</v>
      </c>
      <c r="BA161" s="282" t="s">
        <v>15</v>
      </c>
      <c r="BB161" s="282" t="s">
        <v>15</v>
      </c>
      <c r="BC161" s="283" t="s">
        <v>15</v>
      </c>
    </row>
    <row r="162" spans="2:55" ht="13">
      <c r="B162" s="280" t="s">
        <v>180</v>
      </c>
      <c r="C162" s="281" t="s">
        <v>429</v>
      </c>
      <c r="D162" s="529">
        <v>132</v>
      </c>
      <c r="E162" s="535">
        <v>3.75</v>
      </c>
      <c r="F162" s="239" t="s">
        <v>191</v>
      </c>
      <c r="G162" s="315"/>
      <c r="I162" s="282">
        <v>39</v>
      </c>
      <c r="J162" s="282">
        <v>54</v>
      </c>
      <c r="K162" s="282">
        <v>78</v>
      </c>
      <c r="L162" s="282">
        <v>112</v>
      </c>
      <c r="M162" s="283">
        <v>145</v>
      </c>
      <c r="O162" s="282">
        <v>58</v>
      </c>
      <c r="P162" s="282">
        <v>83</v>
      </c>
      <c r="Q162" s="282">
        <v>120</v>
      </c>
      <c r="R162" s="282">
        <v>185</v>
      </c>
      <c r="S162" s="283">
        <v>270</v>
      </c>
      <c r="U162" s="282">
        <v>52</v>
      </c>
      <c r="V162" s="282">
        <v>72</v>
      </c>
      <c r="W162" s="282">
        <v>95</v>
      </c>
      <c r="X162" s="282">
        <v>112</v>
      </c>
      <c r="Y162" s="283">
        <v>145</v>
      </c>
      <c r="AA162" s="282">
        <v>68</v>
      </c>
      <c r="AB162" s="282">
        <v>87</v>
      </c>
      <c r="AC162" s="282">
        <v>115</v>
      </c>
      <c r="AD162" s="282">
        <v>160</v>
      </c>
      <c r="AE162" s="283">
        <v>230</v>
      </c>
      <c r="AG162" s="282">
        <v>0</v>
      </c>
      <c r="AH162" s="282">
        <v>0</v>
      </c>
      <c r="AI162" s="282">
        <v>0</v>
      </c>
      <c r="AJ162" s="282">
        <v>0</v>
      </c>
      <c r="AK162" s="283">
        <v>0</v>
      </c>
      <c r="AL162" s="289"/>
      <c r="AM162" s="282">
        <v>0</v>
      </c>
      <c r="AN162" s="282">
        <v>0</v>
      </c>
      <c r="AO162" s="282">
        <v>0</v>
      </c>
      <c r="AP162" s="282">
        <v>0</v>
      </c>
      <c r="AQ162" s="283">
        <v>0</v>
      </c>
      <c r="AS162" s="282">
        <v>80</v>
      </c>
      <c r="AT162" s="282">
        <v>60</v>
      </c>
      <c r="AU162" s="282">
        <v>36.999999999999886</v>
      </c>
      <c r="AV162" s="282">
        <v>20</v>
      </c>
      <c r="AW162" s="283">
        <v>-13</v>
      </c>
      <c r="AX162" s="284"/>
      <c r="AY162" s="282">
        <v>64.500000000000028</v>
      </c>
      <c r="AZ162" s="282">
        <v>45.5</v>
      </c>
      <c r="BA162" s="282">
        <v>17</v>
      </c>
      <c r="BB162" s="282">
        <v>-27.5</v>
      </c>
      <c r="BC162" s="283">
        <v>-97.5</v>
      </c>
    </row>
    <row r="163" spans="2:55" ht="13">
      <c r="B163" s="273" t="s">
        <v>181</v>
      </c>
      <c r="C163" s="286" t="s">
        <v>484</v>
      </c>
      <c r="D163" s="531">
        <v>1072</v>
      </c>
      <c r="E163" s="532">
        <v>3.25</v>
      </c>
      <c r="F163" s="237" t="s">
        <v>190</v>
      </c>
      <c r="G163" s="314"/>
      <c r="I163" s="267">
        <v>73</v>
      </c>
      <c r="J163" s="267">
        <v>88</v>
      </c>
      <c r="K163" s="267">
        <v>112</v>
      </c>
      <c r="L163" s="267">
        <v>146</v>
      </c>
      <c r="M163" s="268">
        <v>179</v>
      </c>
      <c r="O163" s="267">
        <v>92</v>
      </c>
      <c r="P163" s="267">
        <v>117</v>
      </c>
      <c r="Q163" s="267">
        <v>153</v>
      </c>
      <c r="R163" s="267">
        <v>219</v>
      </c>
      <c r="S163" s="268">
        <v>304</v>
      </c>
      <c r="U163" s="267">
        <v>52</v>
      </c>
      <c r="V163" s="267">
        <v>522</v>
      </c>
      <c r="W163" s="267">
        <v>545</v>
      </c>
      <c r="X163" s="267">
        <v>562</v>
      </c>
      <c r="Y163" s="268">
        <v>595</v>
      </c>
      <c r="AA163" s="267">
        <v>68</v>
      </c>
      <c r="AB163" s="267">
        <v>537</v>
      </c>
      <c r="AC163" s="267">
        <v>565</v>
      </c>
      <c r="AD163" s="267">
        <v>610</v>
      </c>
      <c r="AE163" s="268">
        <v>680</v>
      </c>
      <c r="AG163" s="282">
        <v>0</v>
      </c>
      <c r="AH163" s="282">
        <v>0</v>
      </c>
      <c r="AI163" s="282">
        <v>0</v>
      </c>
      <c r="AJ163" s="282">
        <v>0</v>
      </c>
      <c r="AK163" s="283">
        <v>0</v>
      </c>
      <c r="AL163" s="289"/>
      <c r="AM163" s="282">
        <v>0</v>
      </c>
      <c r="AN163" s="282">
        <v>0</v>
      </c>
      <c r="AO163" s="282">
        <v>0</v>
      </c>
      <c r="AP163" s="282">
        <v>0</v>
      </c>
      <c r="AQ163" s="283">
        <v>0</v>
      </c>
      <c r="AS163" s="282">
        <v>1020</v>
      </c>
      <c r="AT163" s="282">
        <v>549.51</v>
      </c>
      <c r="AU163" s="282">
        <v>526.50999999999988</v>
      </c>
      <c r="AV163" s="282">
        <v>509.51</v>
      </c>
      <c r="AW163" s="283">
        <v>476.51</v>
      </c>
      <c r="AX163" s="284"/>
      <c r="AY163" s="282">
        <v>1004.5</v>
      </c>
      <c r="AZ163" s="282">
        <v>535.01</v>
      </c>
      <c r="BA163" s="282">
        <v>506.51</v>
      </c>
      <c r="BB163" s="282">
        <v>462.01</v>
      </c>
      <c r="BC163" s="283">
        <v>392.01</v>
      </c>
    </row>
    <row r="164" spans="2:55" ht="13">
      <c r="B164" s="280" t="s">
        <v>181</v>
      </c>
      <c r="C164" s="281" t="s">
        <v>501</v>
      </c>
      <c r="D164" s="529">
        <v>1402</v>
      </c>
      <c r="E164" s="535">
        <v>3.25</v>
      </c>
      <c r="F164" s="239" t="s">
        <v>190</v>
      </c>
      <c r="G164" s="315"/>
      <c r="I164" s="282">
        <v>73</v>
      </c>
      <c r="J164" s="282">
        <v>88</v>
      </c>
      <c r="K164" s="282">
        <v>112</v>
      </c>
      <c r="L164" s="282">
        <v>146</v>
      </c>
      <c r="M164" s="283">
        <v>179</v>
      </c>
      <c r="O164" s="282">
        <v>92</v>
      </c>
      <c r="P164" s="282">
        <v>117</v>
      </c>
      <c r="Q164" s="282">
        <v>153</v>
      </c>
      <c r="R164" s="282">
        <v>219</v>
      </c>
      <c r="S164" s="283">
        <v>304</v>
      </c>
      <c r="U164" s="282">
        <v>52</v>
      </c>
      <c r="V164" s="282">
        <v>592</v>
      </c>
      <c r="W164" s="282">
        <v>615</v>
      </c>
      <c r="X164" s="282">
        <v>632</v>
      </c>
      <c r="Y164" s="283">
        <v>665</v>
      </c>
      <c r="AA164" s="282">
        <v>68</v>
      </c>
      <c r="AB164" s="282">
        <v>606</v>
      </c>
      <c r="AC164" s="282">
        <v>635</v>
      </c>
      <c r="AD164" s="282">
        <v>679</v>
      </c>
      <c r="AE164" s="283">
        <v>749</v>
      </c>
      <c r="AG164" s="282">
        <v>0</v>
      </c>
      <c r="AH164" s="282">
        <v>0</v>
      </c>
      <c r="AI164" s="282">
        <v>0</v>
      </c>
      <c r="AJ164" s="282">
        <v>0</v>
      </c>
      <c r="AK164" s="283">
        <v>0</v>
      </c>
      <c r="AL164" s="289"/>
      <c r="AM164" s="282">
        <v>0</v>
      </c>
      <c r="AN164" s="282">
        <v>0</v>
      </c>
      <c r="AO164" s="282">
        <v>0</v>
      </c>
      <c r="AP164" s="282">
        <v>0</v>
      </c>
      <c r="AQ164" s="283">
        <v>0</v>
      </c>
      <c r="AS164" s="282">
        <v>1350</v>
      </c>
      <c r="AT164" s="282">
        <v>810.08999999999992</v>
      </c>
      <c r="AU164" s="282">
        <v>787.08999999999992</v>
      </c>
      <c r="AV164" s="282">
        <v>770.08999999999992</v>
      </c>
      <c r="AW164" s="283">
        <v>737.08999999999992</v>
      </c>
      <c r="AX164" s="284"/>
      <c r="AY164" s="282">
        <v>1334.5</v>
      </c>
      <c r="AZ164" s="282">
        <v>795.58999999999992</v>
      </c>
      <c r="BA164" s="282">
        <v>767.08999999999992</v>
      </c>
      <c r="BB164" s="282">
        <v>722.58999999999992</v>
      </c>
      <c r="BC164" s="283">
        <v>652.58999999999992</v>
      </c>
    </row>
    <row r="165" spans="2:55" ht="13">
      <c r="B165" s="273" t="s">
        <v>181</v>
      </c>
      <c r="C165" s="286" t="s">
        <v>603</v>
      </c>
      <c r="D165" s="531">
        <v>174</v>
      </c>
      <c r="E165" s="532">
        <v>3.25</v>
      </c>
      <c r="F165" s="237" t="s">
        <v>190</v>
      </c>
      <c r="G165" s="314"/>
      <c r="I165" s="267">
        <v>39</v>
      </c>
      <c r="J165" s="267">
        <v>54</v>
      </c>
      <c r="K165" s="267">
        <v>164</v>
      </c>
      <c r="L165" s="267">
        <v>198</v>
      </c>
      <c r="M165" s="268">
        <v>231</v>
      </c>
      <c r="O165" s="267">
        <v>144</v>
      </c>
      <c r="P165" s="267">
        <v>169</v>
      </c>
      <c r="Q165" s="267">
        <v>205</v>
      </c>
      <c r="R165" s="267">
        <v>271</v>
      </c>
      <c r="S165" s="268">
        <v>356</v>
      </c>
      <c r="U165" s="267">
        <v>116</v>
      </c>
      <c r="V165" s="267">
        <v>136</v>
      </c>
      <c r="W165" s="267">
        <v>159</v>
      </c>
      <c r="X165" s="267">
        <v>176</v>
      </c>
      <c r="Y165" s="268">
        <v>209</v>
      </c>
      <c r="AA165" s="267">
        <v>132</v>
      </c>
      <c r="AB165" s="267">
        <v>151</v>
      </c>
      <c r="AC165" s="267">
        <v>179</v>
      </c>
      <c r="AD165" s="267">
        <v>224</v>
      </c>
      <c r="AE165" s="268">
        <v>294</v>
      </c>
      <c r="AG165" s="282">
        <v>0</v>
      </c>
      <c r="AH165" s="282">
        <v>0</v>
      </c>
      <c r="AI165" s="282">
        <v>0</v>
      </c>
      <c r="AJ165" s="282">
        <v>0</v>
      </c>
      <c r="AK165" s="283">
        <v>0</v>
      </c>
      <c r="AL165" s="289"/>
      <c r="AM165" s="282">
        <v>0</v>
      </c>
      <c r="AN165" s="282">
        <v>0</v>
      </c>
      <c r="AO165" s="282">
        <v>0</v>
      </c>
      <c r="AP165" s="282">
        <v>0</v>
      </c>
      <c r="AQ165" s="283">
        <v>0</v>
      </c>
      <c r="AS165" s="282">
        <v>57.680000000000007</v>
      </c>
      <c r="AT165" s="282">
        <v>37.680000000000007</v>
      </c>
      <c r="AU165" s="282">
        <v>14.679999999999893</v>
      </c>
      <c r="AV165" s="282">
        <v>-2.3199999999999932</v>
      </c>
      <c r="AW165" s="283">
        <v>-35.319999999999993</v>
      </c>
      <c r="AX165" s="284"/>
      <c r="AY165" s="282">
        <v>42.180000000000035</v>
      </c>
      <c r="AZ165" s="282">
        <v>23.180000000000007</v>
      </c>
      <c r="BA165" s="282">
        <v>-5.3199999999999932</v>
      </c>
      <c r="BB165" s="282">
        <v>-49.819999999999993</v>
      </c>
      <c r="BC165" s="283">
        <v>-119.82</v>
      </c>
    </row>
    <row r="166" spans="2:55" ht="13">
      <c r="B166" s="280" t="s">
        <v>181</v>
      </c>
      <c r="C166" s="281" t="s">
        <v>604</v>
      </c>
      <c r="D166" s="529">
        <v>638</v>
      </c>
      <c r="E166" s="535">
        <v>3.25</v>
      </c>
      <c r="F166" s="239" t="s">
        <v>190</v>
      </c>
      <c r="G166" s="315"/>
      <c r="I166" s="282">
        <v>63</v>
      </c>
      <c r="J166" s="282">
        <v>78</v>
      </c>
      <c r="K166" s="282">
        <v>102</v>
      </c>
      <c r="L166" s="282">
        <v>136</v>
      </c>
      <c r="M166" s="283">
        <v>169</v>
      </c>
      <c r="O166" s="282">
        <v>92</v>
      </c>
      <c r="P166" s="282">
        <v>118</v>
      </c>
      <c r="Q166" s="282">
        <v>154</v>
      </c>
      <c r="R166" s="282">
        <v>209</v>
      </c>
      <c r="S166" s="283">
        <v>294</v>
      </c>
      <c r="U166" s="282">
        <v>52</v>
      </c>
      <c r="V166" s="282">
        <v>268</v>
      </c>
      <c r="W166" s="282">
        <v>291</v>
      </c>
      <c r="X166" s="282">
        <v>308</v>
      </c>
      <c r="Y166" s="283">
        <v>341</v>
      </c>
      <c r="AA166" s="282">
        <v>68</v>
      </c>
      <c r="AB166" s="282">
        <v>283</v>
      </c>
      <c r="AC166" s="282">
        <v>311</v>
      </c>
      <c r="AD166" s="282">
        <v>356</v>
      </c>
      <c r="AE166" s="283">
        <v>426</v>
      </c>
      <c r="AG166" s="282">
        <v>0</v>
      </c>
      <c r="AH166" s="282">
        <v>0</v>
      </c>
      <c r="AI166" s="282">
        <v>0</v>
      </c>
      <c r="AJ166" s="282">
        <v>0</v>
      </c>
      <c r="AK166" s="283">
        <v>0</v>
      </c>
      <c r="AL166" s="289"/>
      <c r="AM166" s="282">
        <v>0</v>
      </c>
      <c r="AN166" s="282">
        <v>0</v>
      </c>
      <c r="AO166" s="282">
        <v>0</v>
      </c>
      <c r="AP166" s="282">
        <v>0</v>
      </c>
      <c r="AQ166" s="283">
        <v>0</v>
      </c>
      <c r="AS166" s="282">
        <v>586</v>
      </c>
      <c r="AT166" s="282">
        <v>369.57000000000005</v>
      </c>
      <c r="AU166" s="282">
        <v>346.56999999999994</v>
      </c>
      <c r="AV166" s="282">
        <v>329.57000000000005</v>
      </c>
      <c r="AW166" s="283">
        <v>296.57000000000005</v>
      </c>
      <c r="AX166" s="284"/>
      <c r="AY166" s="282">
        <v>570.5</v>
      </c>
      <c r="AZ166" s="282">
        <v>355.07000000000005</v>
      </c>
      <c r="BA166" s="282">
        <v>326.57000000000005</v>
      </c>
      <c r="BB166" s="282">
        <v>282.07000000000005</v>
      </c>
      <c r="BC166" s="283">
        <v>212.07000000000005</v>
      </c>
    </row>
    <row r="167" spans="2:55" ht="13">
      <c r="B167" s="273" t="s">
        <v>181</v>
      </c>
      <c r="C167" s="286" t="s">
        <v>605</v>
      </c>
      <c r="D167" s="531">
        <v>801</v>
      </c>
      <c r="E167" s="532">
        <v>3.25</v>
      </c>
      <c r="F167" s="237" t="s">
        <v>190</v>
      </c>
      <c r="G167" s="314"/>
      <c r="I167" s="267">
        <v>95</v>
      </c>
      <c r="J167" s="267">
        <v>110</v>
      </c>
      <c r="K167" s="267">
        <v>134</v>
      </c>
      <c r="L167" s="267">
        <v>168</v>
      </c>
      <c r="M167" s="268">
        <v>201</v>
      </c>
      <c r="O167" s="267">
        <v>113</v>
      </c>
      <c r="P167" s="267">
        <v>139</v>
      </c>
      <c r="Q167" s="267">
        <v>175</v>
      </c>
      <c r="R167" s="267">
        <v>241</v>
      </c>
      <c r="S167" s="268">
        <v>326</v>
      </c>
      <c r="U167" s="267">
        <v>52</v>
      </c>
      <c r="V167" s="267">
        <v>324</v>
      </c>
      <c r="W167" s="267">
        <v>347</v>
      </c>
      <c r="X167" s="267">
        <v>364</v>
      </c>
      <c r="Y167" s="268">
        <v>397</v>
      </c>
      <c r="AA167" s="267">
        <v>68</v>
      </c>
      <c r="AB167" s="267">
        <v>339</v>
      </c>
      <c r="AC167" s="267">
        <v>367</v>
      </c>
      <c r="AD167" s="267">
        <v>412</v>
      </c>
      <c r="AE167" s="268">
        <v>482</v>
      </c>
      <c r="AG167" s="282">
        <v>0</v>
      </c>
      <c r="AH167" s="282">
        <v>0</v>
      </c>
      <c r="AI167" s="282">
        <v>0</v>
      </c>
      <c r="AJ167" s="282">
        <v>0</v>
      </c>
      <c r="AK167" s="283">
        <v>0</v>
      </c>
      <c r="AL167" s="289"/>
      <c r="AM167" s="282">
        <v>0</v>
      </c>
      <c r="AN167" s="282">
        <v>0</v>
      </c>
      <c r="AO167" s="282">
        <v>0</v>
      </c>
      <c r="AP167" s="282">
        <v>0</v>
      </c>
      <c r="AQ167" s="283">
        <v>0</v>
      </c>
      <c r="AS167" s="282">
        <v>749</v>
      </c>
      <c r="AT167" s="282">
        <v>476.67999999999995</v>
      </c>
      <c r="AU167" s="282">
        <v>453.67999999999984</v>
      </c>
      <c r="AV167" s="282">
        <v>436.67999999999995</v>
      </c>
      <c r="AW167" s="283">
        <v>403.67999999999995</v>
      </c>
      <c r="AX167" s="284"/>
      <c r="AY167" s="282">
        <v>733.5</v>
      </c>
      <c r="AZ167" s="282">
        <v>462.17999999999995</v>
      </c>
      <c r="BA167" s="282">
        <v>433.67999999999995</v>
      </c>
      <c r="BB167" s="282">
        <v>389.17999999999995</v>
      </c>
      <c r="BC167" s="283">
        <v>319.17999999999995</v>
      </c>
    </row>
    <row r="168" spans="2:55" ht="13">
      <c r="B168" s="280" t="s">
        <v>181</v>
      </c>
      <c r="C168" s="281" t="s">
        <v>606</v>
      </c>
      <c r="D168" s="529">
        <v>895</v>
      </c>
      <c r="E168" s="535">
        <v>3.25</v>
      </c>
      <c r="F168" s="239" t="s">
        <v>190</v>
      </c>
      <c r="G168" s="315"/>
      <c r="I168" s="282">
        <v>85</v>
      </c>
      <c r="J168" s="282">
        <v>127</v>
      </c>
      <c r="K168" s="282">
        <v>0</v>
      </c>
      <c r="L168" s="282">
        <v>0</v>
      </c>
      <c r="M168" s="283">
        <v>0</v>
      </c>
      <c r="O168" s="282">
        <v>85</v>
      </c>
      <c r="P168" s="282">
        <v>127</v>
      </c>
      <c r="Q168" s="282">
        <v>0</v>
      </c>
      <c r="R168" s="282">
        <v>0</v>
      </c>
      <c r="S168" s="283">
        <v>0</v>
      </c>
      <c r="U168" s="282">
        <v>52</v>
      </c>
      <c r="V168" s="282">
        <v>412</v>
      </c>
      <c r="W168" s="282">
        <v>435</v>
      </c>
      <c r="X168" s="282">
        <v>452</v>
      </c>
      <c r="Y168" s="283">
        <v>485</v>
      </c>
      <c r="AA168" s="282">
        <v>68</v>
      </c>
      <c r="AB168" s="282">
        <v>426</v>
      </c>
      <c r="AC168" s="282">
        <v>455</v>
      </c>
      <c r="AD168" s="282">
        <v>499</v>
      </c>
      <c r="AE168" s="283">
        <v>569</v>
      </c>
      <c r="AG168" s="282">
        <v>0</v>
      </c>
      <c r="AH168" s="282">
        <v>0</v>
      </c>
      <c r="AI168" s="282">
        <v>0</v>
      </c>
      <c r="AJ168" s="282">
        <v>0</v>
      </c>
      <c r="AK168" s="283">
        <v>0</v>
      </c>
      <c r="AL168" s="289"/>
      <c r="AM168" s="282">
        <v>0</v>
      </c>
      <c r="AN168" s="282">
        <v>0</v>
      </c>
      <c r="AO168" s="282">
        <v>0</v>
      </c>
      <c r="AP168" s="282">
        <v>0</v>
      </c>
      <c r="AQ168" s="283">
        <v>0</v>
      </c>
      <c r="AS168" s="282">
        <v>843</v>
      </c>
      <c r="AT168" s="282">
        <v>483.08000000000004</v>
      </c>
      <c r="AU168" s="282">
        <v>460.07999999999993</v>
      </c>
      <c r="AV168" s="282">
        <v>443.08000000000004</v>
      </c>
      <c r="AW168" s="283">
        <v>410.08000000000004</v>
      </c>
      <c r="AX168" s="284"/>
      <c r="AY168" s="282">
        <v>827.5</v>
      </c>
      <c r="AZ168" s="282">
        <v>468.58000000000004</v>
      </c>
      <c r="BA168" s="282">
        <v>440.08000000000004</v>
      </c>
      <c r="BB168" s="282">
        <v>395.58000000000004</v>
      </c>
      <c r="BC168" s="283">
        <v>325.58000000000004</v>
      </c>
    </row>
    <row r="169" spans="2:55" ht="13">
      <c r="B169" s="273" t="s">
        <v>181</v>
      </c>
      <c r="C169" s="286" t="s">
        <v>521</v>
      </c>
      <c r="D169" s="531">
        <v>298</v>
      </c>
      <c r="E169" s="532">
        <v>0</v>
      </c>
      <c r="F169" s="237" t="s">
        <v>195</v>
      </c>
      <c r="G169" s="314"/>
      <c r="I169" s="267">
        <v>62</v>
      </c>
      <c r="J169" s="267">
        <v>112</v>
      </c>
      <c r="K169" s="267">
        <v>0</v>
      </c>
      <c r="L169" s="267">
        <v>0</v>
      </c>
      <c r="M169" s="268">
        <v>0</v>
      </c>
      <c r="O169" s="267">
        <v>62</v>
      </c>
      <c r="P169" s="267">
        <v>112</v>
      </c>
      <c r="Q169" s="267">
        <v>0</v>
      </c>
      <c r="R169" s="267">
        <v>0</v>
      </c>
      <c r="S169" s="268">
        <v>0</v>
      </c>
      <c r="U169" s="267">
        <v>103</v>
      </c>
      <c r="V169" s="267">
        <v>123</v>
      </c>
      <c r="W169" s="267">
        <v>146</v>
      </c>
      <c r="X169" s="267">
        <v>163</v>
      </c>
      <c r="Y169" s="268">
        <v>196</v>
      </c>
      <c r="AA169" s="267">
        <v>118</v>
      </c>
      <c r="AB169" s="267">
        <v>137</v>
      </c>
      <c r="AC169" s="267">
        <v>166</v>
      </c>
      <c r="AD169" s="267">
        <v>210</v>
      </c>
      <c r="AE169" s="268">
        <v>271</v>
      </c>
      <c r="AG169" s="282">
        <v>0</v>
      </c>
      <c r="AH169" s="282">
        <v>0</v>
      </c>
      <c r="AI169" s="282">
        <v>0</v>
      </c>
      <c r="AJ169" s="282">
        <v>0</v>
      </c>
      <c r="AK169" s="283">
        <v>0</v>
      </c>
      <c r="AL169" s="289"/>
      <c r="AM169" s="282">
        <v>0</v>
      </c>
      <c r="AN169" s="282">
        <v>0</v>
      </c>
      <c r="AO169" s="282">
        <v>0</v>
      </c>
      <c r="AP169" s="282">
        <v>0</v>
      </c>
      <c r="AQ169" s="283">
        <v>0</v>
      </c>
      <c r="AS169" s="282">
        <v>195.4</v>
      </c>
      <c r="AT169" s="282">
        <v>175.4</v>
      </c>
      <c r="AU169" s="282">
        <v>152.39999999999989</v>
      </c>
      <c r="AV169" s="282">
        <v>135.4</v>
      </c>
      <c r="AW169" s="283">
        <v>102.4</v>
      </c>
      <c r="AX169" s="284"/>
      <c r="AY169" s="282">
        <v>179.90000000000003</v>
      </c>
      <c r="AZ169" s="282">
        <v>160.9</v>
      </c>
      <c r="BA169" s="282">
        <v>132.4</v>
      </c>
      <c r="BB169" s="282">
        <v>87.9</v>
      </c>
      <c r="BC169" s="283">
        <v>26.799999999999955</v>
      </c>
    </row>
    <row r="170" spans="2:55" ht="13">
      <c r="B170" s="280" t="s">
        <v>181</v>
      </c>
      <c r="C170" s="281" t="s">
        <v>530</v>
      </c>
      <c r="D170" s="529">
        <v>445</v>
      </c>
      <c r="E170" s="535">
        <v>0</v>
      </c>
      <c r="F170" s="239" t="s">
        <v>195</v>
      </c>
      <c r="G170" s="315"/>
      <c r="I170" s="282">
        <v>39</v>
      </c>
      <c r="J170" s="282">
        <v>54</v>
      </c>
      <c r="K170" s="282">
        <v>204</v>
      </c>
      <c r="L170" s="282">
        <v>238</v>
      </c>
      <c r="M170" s="283">
        <v>271</v>
      </c>
      <c r="O170" s="282">
        <v>184</v>
      </c>
      <c r="P170" s="282">
        <v>209</v>
      </c>
      <c r="Q170" s="282">
        <v>246</v>
      </c>
      <c r="R170" s="282">
        <v>311</v>
      </c>
      <c r="S170" s="283">
        <v>396</v>
      </c>
      <c r="U170" s="282">
        <v>98</v>
      </c>
      <c r="V170" s="282">
        <v>118</v>
      </c>
      <c r="W170" s="282">
        <v>141</v>
      </c>
      <c r="X170" s="282">
        <v>158</v>
      </c>
      <c r="Y170" s="283">
        <v>191</v>
      </c>
      <c r="AA170" s="282">
        <v>114</v>
      </c>
      <c r="AB170" s="282">
        <v>133</v>
      </c>
      <c r="AC170" s="282">
        <v>161</v>
      </c>
      <c r="AD170" s="282">
        <v>206</v>
      </c>
      <c r="AE170" s="283">
        <v>276</v>
      </c>
      <c r="AG170" s="282">
        <v>0</v>
      </c>
      <c r="AH170" s="282">
        <v>0</v>
      </c>
      <c r="AI170" s="282">
        <v>0</v>
      </c>
      <c r="AJ170" s="282">
        <v>0</v>
      </c>
      <c r="AK170" s="283">
        <v>0</v>
      </c>
      <c r="AL170" s="289"/>
      <c r="AM170" s="282">
        <v>0</v>
      </c>
      <c r="AN170" s="282">
        <v>0</v>
      </c>
      <c r="AO170" s="282">
        <v>0</v>
      </c>
      <c r="AP170" s="282">
        <v>0</v>
      </c>
      <c r="AQ170" s="283">
        <v>0</v>
      </c>
      <c r="AS170" s="282">
        <v>346.77000000000004</v>
      </c>
      <c r="AT170" s="282">
        <v>326.77000000000004</v>
      </c>
      <c r="AU170" s="282">
        <v>303.76999999999992</v>
      </c>
      <c r="AV170" s="282">
        <v>286.77000000000004</v>
      </c>
      <c r="AW170" s="283">
        <v>253.77000000000004</v>
      </c>
      <c r="AX170" s="284"/>
      <c r="AY170" s="282">
        <v>331.27000000000004</v>
      </c>
      <c r="AZ170" s="282">
        <v>312.27000000000004</v>
      </c>
      <c r="BA170" s="282">
        <v>283.77000000000004</v>
      </c>
      <c r="BB170" s="282">
        <v>239.27000000000004</v>
      </c>
      <c r="BC170" s="283">
        <v>169.27000000000004</v>
      </c>
    </row>
    <row r="171" spans="2:55" ht="13">
      <c r="B171" s="273" t="s">
        <v>181</v>
      </c>
      <c r="C171" s="286" t="s">
        <v>522</v>
      </c>
      <c r="D171" s="531">
        <v>577</v>
      </c>
      <c r="E171" s="532">
        <v>0</v>
      </c>
      <c r="F171" s="237" t="s">
        <v>195</v>
      </c>
      <c r="G171" s="314"/>
      <c r="I171" s="267">
        <v>39</v>
      </c>
      <c r="J171" s="267">
        <v>54</v>
      </c>
      <c r="K171" s="267">
        <v>244</v>
      </c>
      <c r="L171" s="267">
        <v>278</v>
      </c>
      <c r="M171" s="268">
        <v>311</v>
      </c>
      <c r="O171" s="267">
        <v>58</v>
      </c>
      <c r="P171" s="267">
        <v>83</v>
      </c>
      <c r="Q171" s="267">
        <v>285</v>
      </c>
      <c r="R171" s="267">
        <v>351</v>
      </c>
      <c r="S171" s="268">
        <v>436</v>
      </c>
      <c r="U171" s="267">
        <v>52</v>
      </c>
      <c r="V171" s="267">
        <v>72</v>
      </c>
      <c r="W171" s="267">
        <v>212</v>
      </c>
      <c r="X171" s="267">
        <v>229</v>
      </c>
      <c r="Y171" s="268">
        <v>262</v>
      </c>
      <c r="AA171" s="267">
        <v>68</v>
      </c>
      <c r="AB171" s="267">
        <v>87</v>
      </c>
      <c r="AC171" s="267">
        <v>232</v>
      </c>
      <c r="AD171" s="267">
        <v>276</v>
      </c>
      <c r="AE171" s="268">
        <v>346</v>
      </c>
      <c r="AG171" s="282">
        <v>0</v>
      </c>
      <c r="AH171" s="282">
        <v>0</v>
      </c>
      <c r="AI171" s="282">
        <v>0</v>
      </c>
      <c r="AJ171" s="282">
        <v>0</v>
      </c>
      <c r="AK171" s="283">
        <v>0</v>
      </c>
      <c r="AL171" s="289"/>
      <c r="AM171" s="282">
        <v>0</v>
      </c>
      <c r="AN171" s="282">
        <v>0</v>
      </c>
      <c r="AO171" s="282">
        <v>0</v>
      </c>
      <c r="AP171" s="282">
        <v>0</v>
      </c>
      <c r="AQ171" s="283">
        <v>0</v>
      </c>
      <c r="AS171" s="282">
        <v>525</v>
      </c>
      <c r="AT171" s="282">
        <v>505</v>
      </c>
      <c r="AU171" s="282">
        <v>365.33999999999992</v>
      </c>
      <c r="AV171" s="282">
        <v>348.34000000000003</v>
      </c>
      <c r="AW171" s="283">
        <v>315.34000000000003</v>
      </c>
      <c r="AX171" s="284"/>
      <c r="AY171" s="282">
        <v>509.5</v>
      </c>
      <c r="AZ171" s="282">
        <v>490.5</v>
      </c>
      <c r="BA171" s="282">
        <v>345.34000000000003</v>
      </c>
      <c r="BB171" s="282">
        <v>300.84000000000003</v>
      </c>
      <c r="BC171" s="283">
        <v>230.84000000000003</v>
      </c>
    </row>
    <row r="172" spans="2:55" ht="13">
      <c r="B172" s="280" t="s">
        <v>181</v>
      </c>
      <c r="C172" s="281" t="s">
        <v>451</v>
      </c>
      <c r="D172" s="529">
        <v>459</v>
      </c>
      <c r="E172" s="535">
        <v>0</v>
      </c>
      <c r="F172" s="239" t="s">
        <v>464</v>
      </c>
      <c r="G172" s="315"/>
      <c r="I172" s="282">
        <v>39</v>
      </c>
      <c r="J172" s="282">
        <v>54</v>
      </c>
      <c r="K172" s="282">
        <v>275</v>
      </c>
      <c r="L172" s="282">
        <v>309</v>
      </c>
      <c r="M172" s="283">
        <v>342</v>
      </c>
      <c r="O172" s="282">
        <v>58</v>
      </c>
      <c r="P172" s="282">
        <v>83</v>
      </c>
      <c r="Q172" s="282">
        <v>317</v>
      </c>
      <c r="R172" s="282">
        <v>382</v>
      </c>
      <c r="S172" s="283">
        <v>467</v>
      </c>
      <c r="U172" s="282">
        <v>243</v>
      </c>
      <c r="V172" s="282">
        <v>263</v>
      </c>
      <c r="W172" s="282">
        <v>286</v>
      </c>
      <c r="X172" s="282">
        <v>303</v>
      </c>
      <c r="Y172" s="283">
        <v>336</v>
      </c>
      <c r="AA172" s="282">
        <v>258</v>
      </c>
      <c r="AB172" s="282">
        <v>277</v>
      </c>
      <c r="AC172" s="282">
        <v>306</v>
      </c>
      <c r="AD172" s="282">
        <v>350</v>
      </c>
      <c r="AE172" s="283">
        <v>420</v>
      </c>
      <c r="AG172" s="282">
        <v>0</v>
      </c>
      <c r="AH172" s="282">
        <v>0</v>
      </c>
      <c r="AI172" s="282">
        <v>0</v>
      </c>
      <c r="AJ172" s="282">
        <v>0</v>
      </c>
      <c r="AK172" s="283">
        <v>0</v>
      </c>
      <c r="AL172" s="289"/>
      <c r="AM172" s="282">
        <v>0</v>
      </c>
      <c r="AN172" s="282">
        <v>0</v>
      </c>
      <c r="AO172" s="282">
        <v>0</v>
      </c>
      <c r="AP172" s="282">
        <v>0</v>
      </c>
      <c r="AQ172" s="283">
        <v>0</v>
      </c>
      <c r="AS172" s="282">
        <v>216.11</v>
      </c>
      <c r="AT172" s="282">
        <v>196.11</v>
      </c>
      <c r="AU172" s="282">
        <v>173.1099999999999</v>
      </c>
      <c r="AV172" s="282">
        <v>156.11000000000001</v>
      </c>
      <c r="AW172" s="283">
        <v>123.11000000000001</v>
      </c>
      <c r="AX172" s="284"/>
      <c r="AY172" s="282">
        <v>200.61</v>
      </c>
      <c r="AZ172" s="282">
        <v>181.61</v>
      </c>
      <c r="BA172" s="282">
        <v>153.11000000000001</v>
      </c>
      <c r="BB172" s="282">
        <v>108.61000000000001</v>
      </c>
      <c r="BC172" s="283">
        <v>38.610000000000014</v>
      </c>
    </row>
    <row r="173" spans="2:55" ht="13">
      <c r="B173" s="273" t="s">
        <v>181</v>
      </c>
      <c r="C173" s="286" t="s">
        <v>559</v>
      </c>
      <c r="D173" s="531">
        <v>516</v>
      </c>
      <c r="E173" s="532">
        <v>0</v>
      </c>
      <c r="F173" s="237" t="s">
        <v>464</v>
      </c>
      <c r="G173" s="314"/>
      <c r="I173" s="267">
        <v>39</v>
      </c>
      <c r="J173" s="267">
        <v>54</v>
      </c>
      <c r="K173" s="267">
        <v>328</v>
      </c>
      <c r="L173" s="267">
        <v>362</v>
      </c>
      <c r="M173" s="268">
        <v>395</v>
      </c>
      <c r="O173" s="267">
        <v>58</v>
      </c>
      <c r="P173" s="267">
        <v>83</v>
      </c>
      <c r="Q173" s="267">
        <v>369</v>
      </c>
      <c r="R173" s="267">
        <v>435</v>
      </c>
      <c r="S173" s="268">
        <v>520</v>
      </c>
      <c r="U173" s="267">
        <v>218</v>
      </c>
      <c r="V173" s="267">
        <v>238</v>
      </c>
      <c r="W173" s="267">
        <v>261</v>
      </c>
      <c r="X173" s="267">
        <v>278</v>
      </c>
      <c r="Y173" s="268">
        <v>311</v>
      </c>
      <c r="AA173" s="267">
        <v>234</v>
      </c>
      <c r="AB173" s="267">
        <v>253</v>
      </c>
      <c r="AC173" s="267">
        <v>281</v>
      </c>
      <c r="AD173" s="267">
        <v>326</v>
      </c>
      <c r="AE173" s="268">
        <v>396</v>
      </c>
      <c r="AG173" s="282">
        <v>0</v>
      </c>
      <c r="AH173" s="282">
        <v>0</v>
      </c>
      <c r="AI173" s="282">
        <v>0</v>
      </c>
      <c r="AJ173" s="282">
        <v>0</v>
      </c>
      <c r="AK173" s="283">
        <v>0</v>
      </c>
      <c r="AL173" s="289"/>
      <c r="AM173" s="282">
        <v>0</v>
      </c>
      <c r="AN173" s="282">
        <v>0</v>
      </c>
      <c r="AO173" s="282">
        <v>0</v>
      </c>
      <c r="AP173" s="282">
        <v>0</v>
      </c>
      <c r="AQ173" s="283">
        <v>0</v>
      </c>
      <c r="AS173" s="282">
        <v>297.89999999999998</v>
      </c>
      <c r="AT173" s="282">
        <v>277.89999999999998</v>
      </c>
      <c r="AU173" s="282">
        <v>254.89999999999986</v>
      </c>
      <c r="AV173" s="282">
        <v>237.89999999999998</v>
      </c>
      <c r="AW173" s="283">
        <v>204.89999999999998</v>
      </c>
      <c r="AX173" s="284"/>
      <c r="AY173" s="282">
        <v>282.39999999999998</v>
      </c>
      <c r="AZ173" s="282">
        <v>263.39999999999998</v>
      </c>
      <c r="BA173" s="282">
        <v>234.89999999999998</v>
      </c>
      <c r="BB173" s="282">
        <v>190.39999999999998</v>
      </c>
      <c r="BC173" s="283">
        <v>120.39999999999998</v>
      </c>
    </row>
    <row r="174" spans="2:55" ht="13">
      <c r="B174" s="280" t="s">
        <v>181</v>
      </c>
      <c r="C174" s="281" t="s">
        <v>541</v>
      </c>
      <c r="D174" s="529">
        <v>647</v>
      </c>
      <c r="E174" s="535">
        <v>3.75</v>
      </c>
      <c r="F174" s="239" t="s">
        <v>191</v>
      </c>
      <c r="G174" s="315"/>
      <c r="I174" s="282">
        <v>39</v>
      </c>
      <c r="J174" s="282">
        <v>54</v>
      </c>
      <c r="K174" s="282">
        <v>267</v>
      </c>
      <c r="L174" s="282">
        <v>301</v>
      </c>
      <c r="M174" s="283">
        <v>334</v>
      </c>
      <c r="O174" s="282">
        <v>58</v>
      </c>
      <c r="P174" s="282">
        <v>83</v>
      </c>
      <c r="Q174" s="282">
        <v>308</v>
      </c>
      <c r="R174" s="282">
        <v>374</v>
      </c>
      <c r="S174" s="283">
        <v>459</v>
      </c>
      <c r="U174" s="282">
        <v>52</v>
      </c>
      <c r="V174" s="282">
        <v>299</v>
      </c>
      <c r="W174" s="282">
        <v>322</v>
      </c>
      <c r="X174" s="282">
        <v>339</v>
      </c>
      <c r="Y174" s="283">
        <v>372</v>
      </c>
      <c r="AA174" s="282">
        <v>68</v>
      </c>
      <c r="AB174" s="282">
        <v>313</v>
      </c>
      <c r="AC174" s="282">
        <v>342</v>
      </c>
      <c r="AD174" s="282">
        <v>386</v>
      </c>
      <c r="AE174" s="283">
        <v>456</v>
      </c>
      <c r="AG174" s="282">
        <v>0</v>
      </c>
      <c r="AH174" s="282">
        <v>0</v>
      </c>
      <c r="AI174" s="282">
        <v>0</v>
      </c>
      <c r="AJ174" s="282">
        <v>0</v>
      </c>
      <c r="AK174" s="283">
        <v>0</v>
      </c>
      <c r="AL174" s="289"/>
      <c r="AM174" s="282">
        <v>0</v>
      </c>
      <c r="AN174" s="282">
        <v>0</v>
      </c>
      <c r="AO174" s="282">
        <v>0</v>
      </c>
      <c r="AP174" s="282">
        <v>0</v>
      </c>
      <c r="AQ174" s="283">
        <v>0</v>
      </c>
      <c r="AS174" s="282">
        <v>595</v>
      </c>
      <c r="AT174" s="282">
        <v>348.11</v>
      </c>
      <c r="AU174" s="282">
        <v>325.1099999999999</v>
      </c>
      <c r="AV174" s="282">
        <v>308.11</v>
      </c>
      <c r="AW174" s="283">
        <v>275.11</v>
      </c>
      <c r="AX174" s="284"/>
      <c r="AY174" s="282">
        <v>579.5</v>
      </c>
      <c r="AZ174" s="282">
        <v>333.61</v>
      </c>
      <c r="BA174" s="282">
        <v>305.11</v>
      </c>
      <c r="BB174" s="282">
        <v>260.61</v>
      </c>
      <c r="BC174" s="283">
        <v>190.61</v>
      </c>
    </row>
    <row r="175" spans="2:55" ht="13">
      <c r="B175" s="273" t="s">
        <v>181</v>
      </c>
      <c r="C175" s="286" t="s">
        <v>430</v>
      </c>
      <c r="D175" s="531">
        <v>208</v>
      </c>
      <c r="E175" s="532">
        <v>3.75</v>
      </c>
      <c r="F175" s="237" t="s">
        <v>191</v>
      </c>
      <c r="G175" s="314"/>
      <c r="I175" s="267">
        <v>39</v>
      </c>
      <c r="J175" s="267">
        <v>54</v>
      </c>
      <c r="K175" s="267">
        <v>312</v>
      </c>
      <c r="L175" s="267">
        <v>346</v>
      </c>
      <c r="M175" s="268">
        <v>379</v>
      </c>
      <c r="O175" s="267">
        <v>58</v>
      </c>
      <c r="P175" s="267">
        <v>83</v>
      </c>
      <c r="Q175" s="267">
        <v>354</v>
      </c>
      <c r="R175" s="267">
        <v>419</v>
      </c>
      <c r="S175" s="268">
        <v>504</v>
      </c>
      <c r="U175" s="267">
        <v>87</v>
      </c>
      <c r="V175" s="267">
        <v>107</v>
      </c>
      <c r="W175" s="267">
        <v>130</v>
      </c>
      <c r="X175" s="267">
        <v>147</v>
      </c>
      <c r="Y175" s="268">
        <v>180</v>
      </c>
      <c r="AA175" s="267">
        <v>102</v>
      </c>
      <c r="AB175" s="267">
        <v>121</v>
      </c>
      <c r="AC175" s="267">
        <v>150</v>
      </c>
      <c r="AD175" s="267">
        <v>194</v>
      </c>
      <c r="AE175" s="268">
        <v>264</v>
      </c>
      <c r="AG175" s="282">
        <v>0</v>
      </c>
      <c r="AH175" s="282">
        <v>0</v>
      </c>
      <c r="AI175" s="282">
        <v>0</v>
      </c>
      <c r="AJ175" s="282">
        <v>0</v>
      </c>
      <c r="AK175" s="283">
        <v>0</v>
      </c>
      <c r="AL175" s="289"/>
      <c r="AM175" s="282">
        <v>0</v>
      </c>
      <c r="AN175" s="282">
        <v>0</v>
      </c>
      <c r="AO175" s="282">
        <v>0</v>
      </c>
      <c r="AP175" s="282">
        <v>0</v>
      </c>
      <c r="AQ175" s="283">
        <v>0</v>
      </c>
      <c r="AS175" s="282">
        <v>121.21000000000001</v>
      </c>
      <c r="AT175" s="282">
        <v>101.21000000000001</v>
      </c>
      <c r="AU175" s="282">
        <v>78.209999999999894</v>
      </c>
      <c r="AV175" s="282">
        <v>61.210000000000008</v>
      </c>
      <c r="AW175" s="283">
        <v>28.210000000000008</v>
      </c>
      <c r="AX175" s="284"/>
      <c r="AY175" s="282">
        <v>105.71000000000004</v>
      </c>
      <c r="AZ175" s="282">
        <v>86.710000000000008</v>
      </c>
      <c r="BA175" s="282">
        <v>58.210000000000008</v>
      </c>
      <c r="BB175" s="282">
        <v>13.710000000000008</v>
      </c>
      <c r="BC175" s="283">
        <v>-56.289999999999992</v>
      </c>
    </row>
    <row r="176" spans="2:55" ht="13">
      <c r="B176" s="280" t="s">
        <v>181</v>
      </c>
      <c r="C176" s="281" t="s">
        <v>452</v>
      </c>
      <c r="D176" s="529">
        <v>174</v>
      </c>
      <c r="E176" s="535">
        <v>3.25</v>
      </c>
      <c r="F176" s="239" t="s">
        <v>190</v>
      </c>
      <c r="G176" s="315"/>
      <c r="I176" s="282">
        <v>39</v>
      </c>
      <c r="J176" s="282">
        <v>54</v>
      </c>
      <c r="K176" s="282">
        <v>155</v>
      </c>
      <c r="L176" s="282">
        <v>189</v>
      </c>
      <c r="M176" s="283">
        <v>222</v>
      </c>
      <c r="O176" s="282">
        <v>58</v>
      </c>
      <c r="P176" s="282">
        <v>83</v>
      </c>
      <c r="Q176" s="282">
        <v>197</v>
      </c>
      <c r="R176" s="282">
        <v>262</v>
      </c>
      <c r="S176" s="283">
        <v>347</v>
      </c>
      <c r="U176" s="282">
        <v>113</v>
      </c>
      <c r="V176" s="282">
        <v>133</v>
      </c>
      <c r="W176" s="282">
        <v>156</v>
      </c>
      <c r="X176" s="282">
        <v>173</v>
      </c>
      <c r="Y176" s="283">
        <v>206</v>
      </c>
      <c r="AA176" s="282">
        <v>129</v>
      </c>
      <c r="AB176" s="282">
        <v>148</v>
      </c>
      <c r="AC176" s="282">
        <v>176</v>
      </c>
      <c r="AD176" s="282">
        <v>221</v>
      </c>
      <c r="AE176" s="283">
        <v>291</v>
      </c>
      <c r="AG176" s="282">
        <v>0</v>
      </c>
      <c r="AH176" s="282">
        <v>0</v>
      </c>
      <c r="AI176" s="282">
        <v>0</v>
      </c>
      <c r="AJ176" s="282">
        <v>0</v>
      </c>
      <c r="AK176" s="283">
        <v>0</v>
      </c>
      <c r="AL176" s="289"/>
      <c r="AM176" s="282">
        <v>0</v>
      </c>
      <c r="AN176" s="282">
        <v>0</v>
      </c>
      <c r="AO176" s="282">
        <v>0</v>
      </c>
      <c r="AP176" s="282">
        <v>0</v>
      </c>
      <c r="AQ176" s="283">
        <v>0</v>
      </c>
      <c r="AS176" s="282">
        <v>60.650000000000006</v>
      </c>
      <c r="AT176" s="282">
        <v>40.650000000000006</v>
      </c>
      <c r="AU176" s="282">
        <v>17.649999999999892</v>
      </c>
      <c r="AV176" s="282">
        <v>0.65000000000000568</v>
      </c>
      <c r="AW176" s="283">
        <v>-32.349999999999994</v>
      </c>
      <c r="AX176" s="284"/>
      <c r="AY176" s="282">
        <v>45.150000000000034</v>
      </c>
      <c r="AZ176" s="282">
        <v>26.150000000000006</v>
      </c>
      <c r="BA176" s="282">
        <v>-2.3499999999999943</v>
      </c>
      <c r="BB176" s="282">
        <v>-46.849999999999994</v>
      </c>
      <c r="BC176" s="283">
        <v>-116.85</v>
      </c>
    </row>
    <row r="177" spans="2:55" ht="13">
      <c r="B177" s="273" t="s">
        <v>181</v>
      </c>
      <c r="C177" s="286" t="s">
        <v>542</v>
      </c>
      <c r="D177" s="532">
        <v>205</v>
      </c>
      <c r="E177" s="532">
        <v>3.25</v>
      </c>
      <c r="F177" s="237" t="s">
        <v>190</v>
      </c>
      <c r="G177" s="314"/>
      <c r="I177" s="267">
        <v>68</v>
      </c>
      <c r="J177" s="267">
        <v>83</v>
      </c>
      <c r="K177" s="267">
        <v>107</v>
      </c>
      <c r="L177" s="267">
        <v>141</v>
      </c>
      <c r="M177" s="268">
        <v>174</v>
      </c>
      <c r="O177" s="267">
        <v>87</v>
      </c>
      <c r="P177" s="267">
        <v>113</v>
      </c>
      <c r="Q177" s="267">
        <v>149</v>
      </c>
      <c r="R177" s="267">
        <v>214</v>
      </c>
      <c r="S177" s="268">
        <v>300</v>
      </c>
      <c r="U177" s="267">
        <v>137</v>
      </c>
      <c r="V177" s="267">
        <v>157</v>
      </c>
      <c r="W177" s="267">
        <v>180</v>
      </c>
      <c r="X177" s="267">
        <v>197</v>
      </c>
      <c r="Y177" s="268">
        <v>230</v>
      </c>
      <c r="AA177" s="267">
        <v>152</v>
      </c>
      <c r="AB177" s="267">
        <v>171</v>
      </c>
      <c r="AC177" s="267">
        <v>200</v>
      </c>
      <c r="AD177" s="267">
        <v>244</v>
      </c>
      <c r="AE177" s="268">
        <v>314</v>
      </c>
      <c r="AG177" s="282">
        <v>0</v>
      </c>
      <c r="AH177" s="282">
        <v>0</v>
      </c>
      <c r="AI177" s="282">
        <v>0</v>
      </c>
      <c r="AJ177" s="282">
        <v>0</v>
      </c>
      <c r="AK177" s="283">
        <v>0</v>
      </c>
      <c r="AL177" s="289"/>
      <c r="AM177" s="282">
        <v>0</v>
      </c>
      <c r="AN177" s="282">
        <v>0</v>
      </c>
      <c r="AO177" s="282">
        <v>0</v>
      </c>
      <c r="AP177" s="282">
        <v>0</v>
      </c>
      <c r="AQ177" s="283">
        <v>0</v>
      </c>
      <c r="AS177" s="282">
        <v>68.25</v>
      </c>
      <c r="AT177" s="282">
        <v>48.25</v>
      </c>
      <c r="AU177" s="282">
        <v>25.249999999999886</v>
      </c>
      <c r="AV177" s="282">
        <v>8.25</v>
      </c>
      <c r="AW177" s="283">
        <v>-24.75</v>
      </c>
      <c r="AX177" s="284"/>
      <c r="AY177" s="282">
        <v>52.750000000000028</v>
      </c>
      <c r="AZ177" s="282">
        <v>33.75</v>
      </c>
      <c r="BA177" s="282">
        <v>5.25</v>
      </c>
      <c r="BB177" s="282">
        <v>-39.25</v>
      </c>
      <c r="BC177" s="283">
        <v>-109.25</v>
      </c>
    </row>
    <row r="178" spans="2:55" ht="13">
      <c r="B178" s="280" t="s">
        <v>181</v>
      </c>
      <c r="C178" s="281" t="s">
        <v>468</v>
      </c>
      <c r="D178" s="529">
        <v>326</v>
      </c>
      <c r="E178" s="535">
        <v>3.25</v>
      </c>
      <c r="F178" s="239" t="s">
        <v>190</v>
      </c>
      <c r="G178" s="315"/>
      <c r="I178" s="282">
        <v>62</v>
      </c>
      <c r="J178" s="282">
        <v>77</v>
      </c>
      <c r="K178" s="282">
        <v>101</v>
      </c>
      <c r="L178" s="282">
        <v>135</v>
      </c>
      <c r="M178" s="283">
        <v>168</v>
      </c>
      <c r="O178" s="282">
        <v>94</v>
      </c>
      <c r="P178" s="282">
        <v>120</v>
      </c>
      <c r="Q178" s="282">
        <v>156</v>
      </c>
      <c r="R178" s="282">
        <v>221</v>
      </c>
      <c r="S178" s="283">
        <v>306</v>
      </c>
      <c r="U178" s="282">
        <v>198</v>
      </c>
      <c r="V178" s="282">
        <v>218</v>
      </c>
      <c r="W178" s="282">
        <v>241</v>
      </c>
      <c r="X178" s="282">
        <v>258</v>
      </c>
      <c r="Y178" s="283">
        <v>291</v>
      </c>
      <c r="AA178" s="282">
        <v>213</v>
      </c>
      <c r="AB178" s="282">
        <v>232</v>
      </c>
      <c r="AC178" s="282">
        <v>261</v>
      </c>
      <c r="AD178" s="282">
        <v>305</v>
      </c>
      <c r="AE178" s="283">
        <v>375</v>
      </c>
      <c r="AG178" s="282">
        <v>-10</v>
      </c>
      <c r="AH178" s="282">
        <v>-10</v>
      </c>
      <c r="AI178" s="282">
        <v>-10</v>
      </c>
      <c r="AJ178" s="282">
        <v>-10</v>
      </c>
      <c r="AK178" s="283">
        <v>-10</v>
      </c>
      <c r="AL178" s="289"/>
      <c r="AM178" s="282">
        <v>-10</v>
      </c>
      <c r="AN178" s="282">
        <v>-10</v>
      </c>
      <c r="AO178" s="282">
        <v>-10</v>
      </c>
      <c r="AP178" s="282">
        <v>-10</v>
      </c>
      <c r="AQ178" s="283">
        <v>-10</v>
      </c>
      <c r="AS178" s="282">
        <v>128.36000000000001</v>
      </c>
      <c r="AT178" s="282">
        <v>108.36000000000001</v>
      </c>
      <c r="AU178" s="282">
        <v>85.3599999999999</v>
      </c>
      <c r="AV178" s="282">
        <v>68.360000000000014</v>
      </c>
      <c r="AW178" s="283">
        <v>35.360000000000014</v>
      </c>
      <c r="AX178" s="284"/>
      <c r="AY178" s="282">
        <v>112.86000000000001</v>
      </c>
      <c r="AZ178" s="282">
        <v>93.860000000000014</v>
      </c>
      <c r="BA178" s="282">
        <v>65.360000000000014</v>
      </c>
      <c r="BB178" s="282">
        <v>20.860000000000014</v>
      </c>
      <c r="BC178" s="283">
        <v>-49.139999999999986</v>
      </c>
    </row>
    <row r="179" spans="2:55" ht="13">
      <c r="B179" s="285" t="s">
        <v>181</v>
      </c>
      <c r="C179" s="286" t="s">
        <v>469</v>
      </c>
      <c r="D179" s="531">
        <v>420</v>
      </c>
      <c r="E179" s="532">
        <v>3.25</v>
      </c>
      <c r="F179" s="237" t="s">
        <v>190</v>
      </c>
      <c r="G179" s="314"/>
      <c r="I179" s="267">
        <v>62</v>
      </c>
      <c r="J179" s="267">
        <v>77</v>
      </c>
      <c r="K179" s="267">
        <v>101</v>
      </c>
      <c r="L179" s="267">
        <v>135</v>
      </c>
      <c r="M179" s="268">
        <v>168</v>
      </c>
      <c r="O179" s="267">
        <v>80</v>
      </c>
      <c r="P179" s="267">
        <v>106</v>
      </c>
      <c r="Q179" s="267">
        <v>142</v>
      </c>
      <c r="R179" s="267">
        <v>208</v>
      </c>
      <c r="S179" s="268">
        <v>293</v>
      </c>
      <c r="U179" s="267">
        <v>209</v>
      </c>
      <c r="V179" s="267">
        <v>229</v>
      </c>
      <c r="W179" s="267">
        <v>252</v>
      </c>
      <c r="X179" s="267">
        <v>269</v>
      </c>
      <c r="Y179" s="268">
        <v>302</v>
      </c>
      <c r="AA179" s="267">
        <v>225</v>
      </c>
      <c r="AB179" s="267">
        <v>244</v>
      </c>
      <c r="AC179" s="267">
        <v>272</v>
      </c>
      <c r="AD179" s="267">
        <v>317</v>
      </c>
      <c r="AE179" s="268">
        <v>387</v>
      </c>
      <c r="AG179" s="282">
        <v>0</v>
      </c>
      <c r="AH179" s="282">
        <v>0</v>
      </c>
      <c r="AI179" s="282">
        <v>0</v>
      </c>
      <c r="AJ179" s="282">
        <v>0</v>
      </c>
      <c r="AK179" s="283">
        <v>0</v>
      </c>
      <c r="AL179" s="289"/>
      <c r="AM179" s="282">
        <v>0</v>
      </c>
      <c r="AN179" s="282">
        <v>0</v>
      </c>
      <c r="AO179" s="282">
        <v>0</v>
      </c>
      <c r="AP179" s="282">
        <v>0</v>
      </c>
      <c r="AQ179" s="283">
        <v>0</v>
      </c>
      <c r="AS179" s="282">
        <v>211</v>
      </c>
      <c r="AT179" s="282">
        <v>191</v>
      </c>
      <c r="AU179" s="282">
        <v>167.99999999999989</v>
      </c>
      <c r="AV179" s="282">
        <v>151</v>
      </c>
      <c r="AW179" s="283">
        <v>118</v>
      </c>
      <c r="AX179" s="284"/>
      <c r="AY179" s="282">
        <v>195.5</v>
      </c>
      <c r="AZ179" s="282">
        <v>176.5</v>
      </c>
      <c r="BA179" s="282">
        <v>148</v>
      </c>
      <c r="BB179" s="282">
        <v>103.5</v>
      </c>
      <c r="BC179" s="283">
        <v>33.5</v>
      </c>
    </row>
    <row r="180" spans="2:55" ht="13">
      <c r="B180" s="280" t="s">
        <v>181</v>
      </c>
      <c r="C180" s="118" t="s">
        <v>637</v>
      </c>
      <c r="D180" s="529">
        <v>323</v>
      </c>
      <c r="E180" s="535">
        <v>3.25</v>
      </c>
      <c r="F180" s="239" t="s">
        <v>190</v>
      </c>
      <c r="H180" s="113"/>
      <c r="I180" s="282">
        <v>78</v>
      </c>
      <c r="J180" s="282">
        <v>93</v>
      </c>
      <c r="K180" s="282">
        <v>117</v>
      </c>
      <c r="L180" s="282">
        <v>151</v>
      </c>
      <c r="M180" s="283">
        <v>184</v>
      </c>
      <c r="O180" s="282">
        <v>97</v>
      </c>
      <c r="P180" s="282">
        <v>123</v>
      </c>
      <c r="Q180" s="282">
        <v>159</v>
      </c>
      <c r="R180" s="282">
        <v>224</v>
      </c>
      <c r="S180" s="283">
        <v>310</v>
      </c>
      <c r="U180" s="282">
        <v>163</v>
      </c>
      <c r="V180" s="282">
        <v>183</v>
      </c>
      <c r="W180" s="282">
        <v>206</v>
      </c>
      <c r="X180" s="282">
        <v>223</v>
      </c>
      <c r="Y180" s="283">
        <v>256</v>
      </c>
      <c r="AA180" s="282">
        <v>179</v>
      </c>
      <c r="AB180" s="282">
        <v>198</v>
      </c>
      <c r="AC180" s="282">
        <v>226</v>
      </c>
      <c r="AD180" s="282">
        <v>271</v>
      </c>
      <c r="AE180" s="283">
        <v>341</v>
      </c>
      <c r="AG180" s="282" t="e">
        <v>#N/A</v>
      </c>
      <c r="AH180" s="282" t="e">
        <v>#N/A</v>
      </c>
      <c r="AI180" s="282" t="e">
        <v>#N/A</v>
      </c>
      <c r="AJ180" s="282" t="e">
        <v>#N/A</v>
      </c>
      <c r="AK180" s="283" t="e">
        <v>#N/A</v>
      </c>
      <c r="AL180" s="289"/>
      <c r="AM180" s="282" t="e">
        <v>#N/A</v>
      </c>
      <c r="AN180" s="282" t="e">
        <v>#N/A</v>
      </c>
      <c r="AO180" s="282" t="e">
        <v>#N/A</v>
      </c>
      <c r="AP180" s="282" t="e">
        <v>#N/A</v>
      </c>
      <c r="AQ180" s="283" t="e">
        <v>#N/A</v>
      </c>
      <c r="AS180" s="282">
        <v>159.65</v>
      </c>
      <c r="AT180" s="282">
        <v>139.65</v>
      </c>
      <c r="AU180" s="282">
        <v>116.64999999999989</v>
      </c>
      <c r="AV180" s="282">
        <v>99.65</v>
      </c>
      <c r="AW180" s="283">
        <v>66.650000000000006</v>
      </c>
      <c r="AX180" s="284"/>
      <c r="AY180" s="282">
        <v>144.15000000000003</v>
      </c>
      <c r="AZ180" s="282">
        <v>125.15</v>
      </c>
      <c r="BA180" s="282">
        <v>96.65</v>
      </c>
      <c r="BB180" s="282">
        <v>52.150000000000006</v>
      </c>
      <c r="BC180" s="283">
        <v>-17.849999999999994</v>
      </c>
    </row>
    <row r="181" spans="2:55" ht="13.5" customHeight="1">
      <c r="B181" s="285" t="s">
        <v>181</v>
      </c>
      <c r="C181" s="286" t="s">
        <v>624</v>
      </c>
      <c r="D181" s="531">
        <v>415</v>
      </c>
      <c r="E181" s="532">
        <v>3.25</v>
      </c>
      <c r="F181" s="237" t="s">
        <v>190</v>
      </c>
      <c r="I181" s="267">
        <v>39</v>
      </c>
      <c r="J181" s="267">
        <v>54</v>
      </c>
      <c r="K181" s="267">
        <v>78</v>
      </c>
      <c r="L181" s="267">
        <v>112</v>
      </c>
      <c r="M181" s="268">
        <v>145</v>
      </c>
      <c r="O181" s="267">
        <v>58</v>
      </c>
      <c r="P181" s="267">
        <v>83</v>
      </c>
      <c r="Q181" s="267">
        <v>120</v>
      </c>
      <c r="R181" s="267">
        <v>185</v>
      </c>
      <c r="S181" s="268">
        <v>270</v>
      </c>
      <c r="U181" s="267">
        <v>169</v>
      </c>
      <c r="V181" s="267">
        <v>189</v>
      </c>
      <c r="W181" s="267">
        <v>212</v>
      </c>
      <c r="X181" s="267">
        <v>229</v>
      </c>
      <c r="Y181" s="268">
        <v>262</v>
      </c>
      <c r="AA181" s="267">
        <v>184</v>
      </c>
      <c r="AB181" s="267">
        <v>203</v>
      </c>
      <c r="AC181" s="267">
        <v>232</v>
      </c>
      <c r="AD181" s="267">
        <v>276</v>
      </c>
      <c r="AE181" s="268">
        <v>346</v>
      </c>
      <c r="AG181" s="282">
        <v>0</v>
      </c>
      <c r="AH181" s="282">
        <v>0</v>
      </c>
      <c r="AI181" s="282">
        <v>0</v>
      </c>
      <c r="AJ181" s="282">
        <v>0</v>
      </c>
      <c r="AK181" s="283">
        <v>0</v>
      </c>
      <c r="AL181" s="289"/>
      <c r="AM181" s="282">
        <v>0</v>
      </c>
      <c r="AN181" s="282">
        <v>0</v>
      </c>
      <c r="AO181" s="282">
        <v>0</v>
      </c>
      <c r="AP181" s="282">
        <v>0</v>
      </c>
      <c r="AQ181" s="283">
        <v>0</v>
      </c>
      <c r="AS181" s="282">
        <v>246.06</v>
      </c>
      <c r="AT181" s="282">
        <v>226.06</v>
      </c>
      <c r="AU181" s="282">
        <v>203.05999999999989</v>
      </c>
      <c r="AV181" s="282">
        <v>186.06</v>
      </c>
      <c r="AW181" s="283">
        <v>153.06</v>
      </c>
      <c r="AX181" s="284"/>
      <c r="AY181" s="282">
        <v>230.56</v>
      </c>
      <c r="AZ181" s="282">
        <v>211.56</v>
      </c>
      <c r="BA181" s="282">
        <v>183.06</v>
      </c>
      <c r="BB181" s="282">
        <v>138.56</v>
      </c>
      <c r="BC181" s="283">
        <v>68.56</v>
      </c>
    </row>
    <row r="182" spans="2:55" ht="13.5" customHeight="1">
      <c r="B182" s="280" t="s">
        <v>181</v>
      </c>
      <c r="C182" s="281" t="s">
        <v>625</v>
      </c>
      <c r="D182" s="529">
        <v>516</v>
      </c>
      <c r="E182" s="535">
        <v>3.25</v>
      </c>
      <c r="F182" s="239" t="s">
        <v>190</v>
      </c>
      <c r="I182" s="267"/>
      <c r="J182" s="267"/>
      <c r="K182" s="267"/>
      <c r="L182" s="267"/>
      <c r="M182" s="268"/>
      <c r="O182" s="267"/>
      <c r="P182" s="267"/>
      <c r="Q182" s="267"/>
      <c r="R182" s="267"/>
      <c r="S182" s="268"/>
      <c r="U182" s="282">
        <v>199</v>
      </c>
      <c r="V182" s="282">
        <v>219</v>
      </c>
      <c r="W182" s="282">
        <v>242</v>
      </c>
      <c r="X182" s="282">
        <v>259</v>
      </c>
      <c r="Y182" s="283">
        <v>292</v>
      </c>
      <c r="AA182" s="282">
        <v>214</v>
      </c>
      <c r="AB182" s="282">
        <v>233</v>
      </c>
      <c r="AC182" s="282">
        <v>262</v>
      </c>
      <c r="AD182" s="282">
        <v>306</v>
      </c>
      <c r="AE182" s="283">
        <v>376</v>
      </c>
      <c r="AG182" s="282">
        <v>-10</v>
      </c>
      <c r="AH182" s="282">
        <v>-10</v>
      </c>
      <c r="AI182" s="282">
        <v>-10</v>
      </c>
      <c r="AJ182" s="282">
        <v>-10</v>
      </c>
      <c r="AK182" s="283">
        <v>-10</v>
      </c>
      <c r="AL182" s="289"/>
      <c r="AM182" s="282">
        <v>-10</v>
      </c>
      <c r="AN182" s="282">
        <v>-10</v>
      </c>
      <c r="AO182" s="282">
        <v>-10</v>
      </c>
      <c r="AP182" s="282">
        <v>-10</v>
      </c>
      <c r="AQ182" s="283">
        <v>-10</v>
      </c>
      <c r="AS182" s="282">
        <v>317.45999999999998</v>
      </c>
      <c r="AT182" s="282">
        <v>297.45999999999998</v>
      </c>
      <c r="AU182" s="282">
        <v>274.45999999999987</v>
      </c>
      <c r="AV182" s="282">
        <v>257.45999999999998</v>
      </c>
      <c r="AW182" s="283">
        <v>224.45999999999998</v>
      </c>
      <c r="AX182" s="284"/>
      <c r="AY182" s="282">
        <v>301.95999999999998</v>
      </c>
      <c r="AZ182" s="282">
        <v>282.95999999999998</v>
      </c>
      <c r="BA182" s="282">
        <v>254.45999999999998</v>
      </c>
      <c r="BB182" s="282">
        <v>209.95999999999998</v>
      </c>
      <c r="BC182" s="283">
        <v>139.95999999999998</v>
      </c>
    </row>
    <row r="183" spans="2:55" ht="13.5" customHeight="1">
      <c r="B183" s="285" t="s">
        <v>181</v>
      </c>
      <c r="C183" s="286" t="s">
        <v>543</v>
      </c>
      <c r="D183" s="531">
        <v>327</v>
      </c>
      <c r="E183" s="532">
        <v>3.75</v>
      </c>
      <c r="F183" s="237" t="s">
        <v>191</v>
      </c>
      <c r="I183" s="267"/>
      <c r="J183" s="267"/>
      <c r="K183" s="267"/>
      <c r="L183" s="267"/>
      <c r="M183" s="268"/>
      <c r="O183" s="267"/>
      <c r="P183" s="267"/>
      <c r="Q183" s="267"/>
      <c r="R183" s="267"/>
      <c r="S183" s="268"/>
      <c r="U183" s="267">
        <v>138</v>
      </c>
      <c r="V183" s="267">
        <v>158</v>
      </c>
      <c r="W183" s="267">
        <v>181</v>
      </c>
      <c r="X183" s="267">
        <v>198</v>
      </c>
      <c r="Y183" s="268">
        <v>231</v>
      </c>
      <c r="AA183" s="267">
        <v>154</v>
      </c>
      <c r="AB183" s="267">
        <v>173</v>
      </c>
      <c r="AC183" s="267">
        <v>201</v>
      </c>
      <c r="AD183" s="267">
        <v>246</v>
      </c>
      <c r="AE183" s="268">
        <v>316</v>
      </c>
      <c r="AG183" s="282">
        <v>0</v>
      </c>
      <c r="AH183" s="282">
        <v>0</v>
      </c>
      <c r="AI183" s="282">
        <v>0</v>
      </c>
      <c r="AJ183" s="282">
        <v>0</v>
      </c>
      <c r="AK183" s="283">
        <v>0</v>
      </c>
      <c r="AL183" s="289"/>
      <c r="AM183" s="282">
        <v>0</v>
      </c>
      <c r="AN183" s="282">
        <v>0</v>
      </c>
      <c r="AO183" s="282">
        <v>0</v>
      </c>
      <c r="AP183" s="282">
        <v>0</v>
      </c>
      <c r="AQ183" s="283">
        <v>0</v>
      </c>
      <c r="AS183" s="282">
        <v>188.86</v>
      </c>
      <c r="AT183" s="282">
        <v>168.86</v>
      </c>
      <c r="AU183" s="282">
        <v>145.8599999999999</v>
      </c>
      <c r="AV183" s="282">
        <v>128.86000000000001</v>
      </c>
      <c r="AW183" s="283">
        <v>95.860000000000014</v>
      </c>
      <c r="AX183" s="284"/>
      <c r="AY183" s="282">
        <v>173.36</v>
      </c>
      <c r="AZ183" s="282">
        <v>154.36000000000001</v>
      </c>
      <c r="BA183" s="282">
        <v>125.86000000000001</v>
      </c>
      <c r="BB183" s="282">
        <v>81.360000000000014</v>
      </c>
      <c r="BC183" s="283">
        <v>11.360000000000014</v>
      </c>
    </row>
    <row r="184" spans="2:55" ht="13.5" customHeight="1">
      <c r="B184" s="280" t="s">
        <v>181</v>
      </c>
      <c r="C184" s="281" t="s">
        <v>560</v>
      </c>
      <c r="D184" s="529">
        <v>167</v>
      </c>
      <c r="E184" s="535">
        <v>3.75</v>
      </c>
      <c r="F184" s="239" t="s">
        <v>191</v>
      </c>
      <c r="I184" s="267"/>
      <c r="J184" s="267"/>
      <c r="K184" s="267"/>
      <c r="L184" s="267"/>
      <c r="M184" s="268"/>
      <c r="O184" s="267"/>
      <c r="P184" s="267"/>
      <c r="Q184" s="267"/>
      <c r="R184" s="267"/>
      <c r="S184" s="268"/>
      <c r="U184" s="282">
        <v>87</v>
      </c>
      <c r="V184" s="282">
        <v>107</v>
      </c>
      <c r="W184" s="282">
        <v>130</v>
      </c>
      <c r="X184" s="282">
        <v>147</v>
      </c>
      <c r="Y184" s="283">
        <v>180</v>
      </c>
      <c r="AA184" s="282">
        <v>103</v>
      </c>
      <c r="AB184" s="282">
        <v>122</v>
      </c>
      <c r="AC184" s="282">
        <v>150</v>
      </c>
      <c r="AD184" s="282">
        <v>195</v>
      </c>
      <c r="AE184" s="283">
        <v>265</v>
      </c>
      <c r="AG184" s="282">
        <v>-5</v>
      </c>
      <c r="AH184" s="282">
        <v>-5</v>
      </c>
      <c r="AI184" s="282">
        <v>-5</v>
      </c>
      <c r="AJ184" s="282">
        <v>-5</v>
      </c>
      <c r="AK184" s="283">
        <v>-5</v>
      </c>
      <c r="AL184" s="289"/>
      <c r="AM184" s="282">
        <v>0</v>
      </c>
      <c r="AN184" s="282">
        <v>0</v>
      </c>
      <c r="AO184" s="282">
        <v>0</v>
      </c>
      <c r="AP184" s="282">
        <v>0</v>
      </c>
      <c r="AQ184" s="283">
        <v>0</v>
      </c>
      <c r="AS184" s="282">
        <v>79.89</v>
      </c>
      <c r="AT184" s="282">
        <v>59.89</v>
      </c>
      <c r="AU184" s="282">
        <v>36.889999999999887</v>
      </c>
      <c r="AV184" s="282">
        <v>19.89</v>
      </c>
      <c r="AW184" s="283">
        <v>-13.11</v>
      </c>
      <c r="AX184" s="284"/>
      <c r="AY184" s="282">
        <v>64.390000000000029</v>
      </c>
      <c r="AZ184" s="282">
        <v>45.39</v>
      </c>
      <c r="BA184" s="282">
        <v>16.89</v>
      </c>
      <c r="BB184" s="282">
        <v>-27.61</v>
      </c>
      <c r="BC184" s="283">
        <v>-97.61</v>
      </c>
    </row>
    <row r="185" spans="2:55" ht="13.5" customHeight="1">
      <c r="B185" s="285" t="s">
        <v>181</v>
      </c>
      <c r="C185" s="286" t="s">
        <v>523</v>
      </c>
      <c r="D185" s="531">
        <v>165</v>
      </c>
      <c r="E185" s="532">
        <v>0</v>
      </c>
      <c r="F185" s="237" t="s">
        <v>195</v>
      </c>
      <c r="I185" s="267"/>
      <c r="J185" s="267"/>
      <c r="K185" s="267"/>
      <c r="L185" s="267"/>
      <c r="M185" s="268"/>
      <c r="O185" s="267"/>
      <c r="P185" s="267"/>
      <c r="Q185" s="267"/>
      <c r="R185" s="267"/>
      <c r="S185" s="268"/>
      <c r="U185" s="267">
        <v>52</v>
      </c>
      <c r="V185" s="267">
        <v>72</v>
      </c>
      <c r="W185" s="267">
        <v>95</v>
      </c>
      <c r="X185" s="267">
        <v>112</v>
      </c>
      <c r="Y185" s="268">
        <v>145</v>
      </c>
      <c r="AA185" s="267">
        <v>68</v>
      </c>
      <c r="AB185" s="267">
        <v>87</v>
      </c>
      <c r="AC185" s="267">
        <v>115</v>
      </c>
      <c r="AD185" s="267">
        <v>159</v>
      </c>
      <c r="AE185" s="268">
        <v>117</v>
      </c>
      <c r="AG185" s="282">
        <v>0</v>
      </c>
      <c r="AH185" s="282">
        <v>0</v>
      </c>
      <c r="AI185" s="282">
        <v>0</v>
      </c>
      <c r="AJ185" s="282">
        <v>0</v>
      </c>
      <c r="AK185" s="283">
        <v>0</v>
      </c>
      <c r="AL185" s="289"/>
      <c r="AM185" s="282">
        <v>0</v>
      </c>
      <c r="AN185" s="282">
        <v>0</v>
      </c>
      <c r="AO185" s="282">
        <v>0</v>
      </c>
      <c r="AP185" s="282">
        <v>0</v>
      </c>
      <c r="AQ185" s="283">
        <v>0</v>
      </c>
      <c r="AS185" s="282">
        <v>113</v>
      </c>
      <c r="AT185" s="282">
        <v>93</v>
      </c>
      <c r="AU185" s="282">
        <v>69.999999999999886</v>
      </c>
      <c r="AV185" s="282">
        <v>53</v>
      </c>
      <c r="AW185" s="283">
        <v>20</v>
      </c>
      <c r="AX185" s="284"/>
      <c r="AY185" s="282">
        <v>97.500000000000028</v>
      </c>
      <c r="AZ185" s="282">
        <v>78.5</v>
      </c>
      <c r="BA185" s="282">
        <v>50</v>
      </c>
      <c r="BB185" s="282">
        <v>5.9499999999999886</v>
      </c>
      <c r="BC185" s="283">
        <v>47.949999999999989</v>
      </c>
    </row>
    <row r="186" spans="2:55" ht="13.5" customHeight="1">
      <c r="B186" s="280" t="s">
        <v>298</v>
      </c>
      <c r="C186" s="281" t="s">
        <v>583</v>
      </c>
      <c r="D186" s="529">
        <v>148</v>
      </c>
      <c r="E186" s="535">
        <v>3.25</v>
      </c>
      <c r="F186" s="239" t="s">
        <v>190</v>
      </c>
      <c r="I186" s="267"/>
      <c r="J186" s="267"/>
      <c r="K186" s="267"/>
      <c r="L186" s="267"/>
      <c r="M186" s="268"/>
      <c r="O186" s="267"/>
      <c r="P186" s="267"/>
      <c r="Q186" s="267"/>
      <c r="R186" s="267"/>
      <c r="S186" s="268"/>
      <c r="U186" s="282">
        <v>82</v>
      </c>
      <c r="V186" s="282">
        <v>102</v>
      </c>
      <c r="W186" s="282">
        <v>125</v>
      </c>
      <c r="X186" s="282">
        <v>142</v>
      </c>
      <c r="Y186" s="283">
        <v>175</v>
      </c>
      <c r="AA186" s="282">
        <v>97</v>
      </c>
      <c r="AB186" s="282">
        <v>116</v>
      </c>
      <c r="AC186" s="282">
        <v>145</v>
      </c>
      <c r="AD186" s="282">
        <v>189</v>
      </c>
      <c r="AE186" s="283">
        <v>259</v>
      </c>
      <c r="AG186" s="282">
        <v>0</v>
      </c>
      <c r="AH186" s="282">
        <v>0</v>
      </c>
      <c r="AI186" s="282">
        <v>0</v>
      </c>
      <c r="AJ186" s="282">
        <v>0</v>
      </c>
      <c r="AK186" s="283">
        <v>0</v>
      </c>
      <c r="AL186" s="289"/>
      <c r="AM186" s="282">
        <v>0</v>
      </c>
      <c r="AN186" s="282">
        <v>0</v>
      </c>
      <c r="AO186" s="282">
        <v>0</v>
      </c>
      <c r="AP186" s="282">
        <v>0</v>
      </c>
      <c r="AQ186" s="283">
        <v>0</v>
      </c>
      <c r="AS186" s="282">
        <v>66.25</v>
      </c>
      <c r="AT186" s="282">
        <v>46.25</v>
      </c>
      <c r="AU186" s="282">
        <v>23.249999999999886</v>
      </c>
      <c r="AV186" s="282">
        <v>6.25</v>
      </c>
      <c r="AW186" s="283">
        <v>-26.75</v>
      </c>
      <c r="AX186" s="284"/>
      <c r="AY186" s="282">
        <v>50.750000000000028</v>
      </c>
      <c r="AZ186" s="282">
        <v>31.75</v>
      </c>
      <c r="BA186" s="282">
        <v>3.25</v>
      </c>
      <c r="BB186" s="282">
        <v>-41.25</v>
      </c>
      <c r="BC186" s="283">
        <v>-111.25</v>
      </c>
    </row>
    <row r="187" spans="2:55" ht="13.5" customHeight="1" thickBot="1">
      <c r="B187" s="285" t="s">
        <v>286</v>
      </c>
      <c r="C187" s="286" t="s">
        <v>561</v>
      </c>
      <c r="D187" s="531">
        <v>0</v>
      </c>
      <c r="E187" s="532">
        <v>0</v>
      </c>
      <c r="F187" s="237" t="s">
        <v>15</v>
      </c>
      <c r="I187" s="267"/>
      <c r="J187" s="267"/>
      <c r="K187" s="267"/>
      <c r="L187" s="267"/>
      <c r="M187" s="268"/>
      <c r="O187" s="267"/>
      <c r="P187" s="267"/>
      <c r="Q187" s="267"/>
      <c r="R187" s="267"/>
      <c r="S187" s="268"/>
      <c r="U187" s="267">
        <v>0</v>
      </c>
      <c r="V187" s="267">
        <v>30</v>
      </c>
      <c r="W187" s="267">
        <v>50</v>
      </c>
      <c r="X187" s="267">
        <v>70</v>
      </c>
      <c r="Y187" s="268">
        <v>80</v>
      </c>
      <c r="AA187" s="267">
        <v>20</v>
      </c>
      <c r="AB187" s="267">
        <v>60</v>
      </c>
      <c r="AC187" s="267">
        <v>95</v>
      </c>
      <c r="AD187" s="267">
        <v>120</v>
      </c>
      <c r="AE187" s="268">
        <v>170</v>
      </c>
      <c r="AG187" s="282">
        <v>0</v>
      </c>
      <c r="AH187" s="282">
        <v>0</v>
      </c>
      <c r="AI187" s="282">
        <v>0</v>
      </c>
      <c r="AJ187" s="282">
        <v>0</v>
      </c>
      <c r="AK187" s="283">
        <v>0</v>
      </c>
      <c r="AL187" s="289"/>
      <c r="AM187" s="282">
        <v>0</v>
      </c>
      <c r="AN187" s="282">
        <v>0</v>
      </c>
      <c r="AO187" s="282">
        <v>0</v>
      </c>
      <c r="AP187" s="282">
        <v>0</v>
      </c>
      <c r="AQ187" s="283">
        <v>0</v>
      </c>
      <c r="AS187" s="282">
        <v>0</v>
      </c>
      <c r="AT187" s="282">
        <v>0</v>
      </c>
      <c r="AU187" s="282">
        <v>-50</v>
      </c>
      <c r="AV187" s="282">
        <v>-70</v>
      </c>
      <c r="AW187" s="283">
        <v>-80</v>
      </c>
      <c r="AX187" s="284"/>
      <c r="AY187" s="282">
        <v>-20</v>
      </c>
      <c r="AZ187" s="282">
        <v>-60</v>
      </c>
      <c r="BA187" s="282">
        <v>-95</v>
      </c>
      <c r="BB187" s="282">
        <v>-120</v>
      </c>
      <c r="BC187" s="283">
        <v>-170</v>
      </c>
    </row>
    <row r="188" spans="2:55" ht="13.5" customHeight="1">
      <c r="B188" s="521"/>
      <c r="C188" s="521"/>
      <c r="D188" s="521"/>
      <c r="E188" s="521"/>
      <c r="F188" s="521"/>
      <c r="I188" s="267"/>
      <c r="J188" s="267"/>
      <c r="K188" s="267"/>
      <c r="L188" s="267"/>
      <c r="M188" s="268"/>
      <c r="O188" s="267"/>
      <c r="P188" s="267"/>
      <c r="Q188" s="267"/>
      <c r="R188" s="267"/>
      <c r="S188" s="268"/>
      <c r="U188" s="521"/>
      <c r="V188" s="521"/>
      <c r="W188" s="521"/>
      <c r="X188" s="521"/>
      <c r="Y188" s="521"/>
      <c r="AA188" s="521"/>
      <c r="AB188" s="521"/>
      <c r="AC188" s="521"/>
      <c r="AD188" s="521"/>
      <c r="AE188" s="521"/>
      <c r="AG188" s="521"/>
      <c r="AH188" s="521"/>
      <c r="AI188" s="521"/>
      <c r="AJ188" s="521"/>
      <c r="AK188" s="521"/>
      <c r="AL188" s="150"/>
      <c r="AM188" s="521"/>
      <c r="AN188" s="521"/>
      <c r="AO188" s="521"/>
      <c r="AP188" s="521"/>
      <c r="AQ188" s="521"/>
      <c r="AS188" s="521"/>
      <c r="AT188" s="521"/>
      <c r="AU188" s="521"/>
      <c r="AV188" s="521"/>
      <c r="AW188" s="521"/>
      <c r="AX188" s="150"/>
      <c r="AY188" s="521"/>
      <c r="AZ188" s="521"/>
      <c r="BA188" s="521"/>
      <c r="BB188" s="521"/>
      <c r="BC188" s="521"/>
    </row>
    <row r="189" spans="2:55" ht="13.5" customHeight="1">
      <c r="I189" s="267"/>
      <c r="J189" s="267"/>
      <c r="K189" s="267"/>
      <c r="L189" s="267"/>
      <c r="M189" s="268"/>
      <c r="O189" s="267"/>
      <c r="P189" s="267"/>
      <c r="Q189" s="267"/>
      <c r="R189" s="267"/>
      <c r="S189" s="268"/>
      <c r="AL189" s="150"/>
      <c r="AX189" s="150"/>
    </row>
    <row r="190" spans="2:55" ht="13.5" customHeight="1">
      <c r="I190" s="267"/>
      <c r="J190" s="267"/>
      <c r="K190" s="267"/>
      <c r="L190" s="267"/>
      <c r="M190" s="268"/>
      <c r="O190" s="267"/>
      <c r="P190" s="267"/>
      <c r="Q190" s="267"/>
      <c r="R190" s="267"/>
      <c r="S190" s="268"/>
      <c r="AL190" s="150"/>
      <c r="AX190" s="150"/>
    </row>
    <row r="191" spans="2:55" ht="13.5" customHeight="1">
      <c r="I191" s="267"/>
      <c r="J191" s="267"/>
      <c r="K191" s="267"/>
      <c r="L191" s="267"/>
      <c r="M191" s="268"/>
      <c r="O191" s="267"/>
      <c r="P191" s="267"/>
      <c r="Q191" s="267"/>
      <c r="R191" s="267"/>
      <c r="S191" s="268"/>
      <c r="AL191" s="150"/>
      <c r="AX191" s="150"/>
    </row>
    <row r="192" spans="2:55" ht="13.5" customHeight="1">
      <c r="I192" s="267"/>
      <c r="J192" s="267"/>
      <c r="K192" s="267"/>
      <c r="L192" s="267"/>
      <c r="M192" s="268"/>
      <c r="O192" s="267"/>
      <c r="P192" s="267"/>
      <c r="Q192" s="267"/>
      <c r="R192" s="267"/>
      <c r="S192" s="268"/>
      <c r="AL192" s="150"/>
      <c r="AX192" s="150"/>
    </row>
    <row r="193" spans="8:50" ht="13.5" customHeight="1">
      <c r="I193" s="267"/>
      <c r="J193" s="267"/>
      <c r="K193" s="267"/>
      <c r="L193" s="267"/>
      <c r="M193" s="268"/>
      <c r="O193" s="267"/>
      <c r="P193" s="267"/>
      <c r="Q193" s="267"/>
      <c r="R193" s="267"/>
      <c r="S193" s="268"/>
      <c r="AL193" s="150"/>
      <c r="AX193" s="150"/>
    </row>
    <row r="194" spans="8:50" ht="13.5" customHeight="1">
      <c r="I194" s="267"/>
      <c r="J194" s="267"/>
      <c r="K194" s="267"/>
      <c r="L194" s="267"/>
      <c r="M194" s="268"/>
      <c r="O194" s="267"/>
      <c r="P194" s="267"/>
      <c r="Q194" s="267"/>
      <c r="R194" s="267"/>
      <c r="S194" s="268"/>
      <c r="AL194" s="150"/>
      <c r="AX194" s="150"/>
    </row>
    <row r="195" spans="8:50" ht="13.5" customHeight="1">
      <c r="I195" s="267"/>
      <c r="J195" s="267"/>
      <c r="K195" s="267"/>
      <c r="L195" s="267"/>
      <c r="M195" s="268"/>
      <c r="O195" s="267"/>
      <c r="P195" s="267"/>
      <c r="Q195" s="267"/>
      <c r="R195" s="267"/>
      <c r="S195" s="268"/>
      <c r="AL195" s="150"/>
      <c r="AX195" s="150"/>
    </row>
    <row r="196" spans="8:50" ht="13.5" customHeight="1">
      <c r="I196" s="267"/>
      <c r="J196" s="267"/>
      <c r="K196" s="267"/>
      <c r="L196" s="267"/>
      <c r="M196" s="268"/>
      <c r="O196" s="267"/>
      <c r="P196" s="267"/>
      <c r="Q196" s="267"/>
      <c r="R196" s="267"/>
      <c r="S196" s="268"/>
      <c r="AL196" s="150"/>
      <c r="AX196" s="150"/>
    </row>
    <row r="197" spans="8:50" ht="13.5" customHeight="1">
      <c r="I197" s="267"/>
      <c r="J197" s="267"/>
      <c r="K197" s="267"/>
      <c r="L197" s="267"/>
      <c r="M197" s="268"/>
      <c r="O197" s="267"/>
      <c r="P197" s="267"/>
      <c r="Q197" s="267"/>
      <c r="R197" s="267"/>
      <c r="S197" s="268"/>
      <c r="AL197" s="150"/>
      <c r="AX197" s="150"/>
    </row>
    <row r="198" spans="8:50" ht="13.5" customHeight="1">
      <c r="I198" s="267"/>
      <c r="J198" s="267"/>
      <c r="K198" s="267"/>
      <c r="L198" s="267"/>
      <c r="M198" s="268"/>
      <c r="O198" s="267"/>
      <c r="P198" s="267"/>
      <c r="Q198" s="267"/>
      <c r="R198" s="267"/>
      <c r="S198" s="268"/>
      <c r="AL198" s="150"/>
      <c r="AX198" s="150"/>
    </row>
    <row r="199" spans="8:50" ht="13.5" customHeight="1">
      <c r="I199" s="267"/>
      <c r="J199" s="267"/>
      <c r="K199" s="267"/>
      <c r="L199" s="267"/>
      <c r="M199" s="268"/>
      <c r="O199" s="267"/>
      <c r="P199" s="267"/>
      <c r="Q199" s="267"/>
      <c r="R199" s="267"/>
      <c r="S199" s="268"/>
      <c r="AL199" s="150"/>
      <c r="AX199" s="150"/>
    </row>
    <row r="200" spans="8:50" ht="13.5" customHeight="1">
      <c r="I200" s="267"/>
      <c r="J200" s="267"/>
      <c r="K200" s="267"/>
      <c r="L200" s="267"/>
      <c r="M200" s="268"/>
      <c r="O200" s="267"/>
      <c r="P200" s="267"/>
      <c r="Q200" s="267"/>
      <c r="R200" s="267"/>
      <c r="S200" s="268"/>
      <c r="AL200" s="150"/>
      <c r="AX200" s="150"/>
    </row>
    <row r="201" spans="8:50" ht="13.5" customHeight="1">
      <c r="H201" s="113"/>
      <c r="N201" s="113"/>
      <c r="AL201" s="150"/>
      <c r="AX201" s="150"/>
    </row>
    <row r="202" spans="8:50" ht="13.5" customHeight="1">
      <c r="H202" s="113"/>
      <c r="N202" s="113"/>
      <c r="AL202" s="150"/>
      <c r="AX202" s="150"/>
    </row>
    <row r="203" spans="8:50" ht="13.5" customHeight="1">
      <c r="H203" s="113"/>
      <c r="N203" s="113"/>
      <c r="AL203" s="150"/>
      <c r="AX203" s="150"/>
    </row>
    <row r="204" spans="8:50" ht="13.5" customHeight="1">
      <c r="H204" s="113"/>
      <c r="N204" s="113"/>
      <c r="AL204" s="150"/>
      <c r="AX204" s="150"/>
    </row>
    <row r="205" spans="8:50" ht="13.5" customHeight="1">
      <c r="H205" s="113"/>
      <c r="N205" s="113"/>
      <c r="AL205" s="150"/>
      <c r="AX205" s="150"/>
    </row>
    <row r="206" spans="8:50" ht="13.5" customHeight="1">
      <c r="H206" s="113"/>
      <c r="N206" s="113"/>
      <c r="AL206" s="150"/>
      <c r="AX206" s="150"/>
    </row>
    <row r="207" spans="8:50" ht="13.5" customHeight="1">
      <c r="H207" s="113"/>
      <c r="N207" s="113"/>
      <c r="AL207" s="150"/>
      <c r="AX207" s="150"/>
    </row>
    <row r="208" spans="8:50" ht="13.5" customHeight="1">
      <c r="H208" s="113"/>
      <c r="N208" s="113"/>
      <c r="AL208" s="150"/>
      <c r="AX208" s="150"/>
    </row>
    <row r="209" spans="8:50" ht="13.5" customHeight="1">
      <c r="H209" s="113"/>
      <c r="N209" s="113"/>
      <c r="AL209" s="150"/>
      <c r="AX209" s="150"/>
    </row>
    <row r="210" spans="8:50" ht="15" customHeight="1">
      <c r="H210" s="113"/>
      <c r="N210" s="113"/>
      <c r="AL210" s="150"/>
      <c r="AX210" s="150"/>
    </row>
    <row r="211" spans="8:50" ht="15" customHeight="1">
      <c r="I211" s="267"/>
      <c r="J211" s="267"/>
      <c r="K211" s="267"/>
      <c r="L211" s="267"/>
      <c r="M211" s="268"/>
      <c r="O211" s="267"/>
      <c r="P211" s="267"/>
      <c r="Q211" s="267"/>
      <c r="R211" s="267"/>
      <c r="S211" s="268"/>
      <c r="AL211" s="150"/>
      <c r="AX211" s="150"/>
    </row>
    <row r="212" spans="8:50" ht="15" customHeight="1">
      <c r="I212" s="267"/>
      <c r="J212" s="267"/>
      <c r="K212" s="267"/>
      <c r="L212" s="267"/>
      <c r="M212" s="268"/>
      <c r="O212" s="267"/>
      <c r="P212" s="267"/>
      <c r="Q212" s="267"/>
      <c r="R212" s="267"/>
      <c r="S212" s="268"/>
      <c r="AL212" s="150"/>
      <c r="AX212" s="150"/>
    </row>
    <row r="213" spans="8:50" ht="15" customHeight="1">
      <c r="I213" s="267"/>
      <c r="J213" s="267"/>
      <c r="K213" s="267"/>
      <c r="L213" s="267"/>
      <c r="M213" s="268"/>
      <c r="O213" s="267"/>
      <c r="P213" s="267"/>
      <c r="Q213" s="267"/>
      <c r="R213" s="267"/>
      <c r="S213" s="268"/>
      <c r="AL213" s="150"/>
      <c r="AX213" s="150"/>
    </row>
    <row r="214" spans="8:50" ht="15" customHeight="1">
      <c r="I214" s="267">
        <v>152</v>
      </c>
      <c r="J214" s="267">
        <v>167</v>
      </c>
      <c r="K214" s="267">
        <v>191</v>
      </c>
      <c r="L214" s="267">
        <v>225</v>
      </c>
      <c r="M214" s="268">
        <v>258</v>
      </c>
      <c r="O214" s="267">
        <v>170</v>
      </c>
      <c r="P214" s="267">
        <v>196</v>
      </c>
      <c r="Q214" s="267">
        <v>232</v>
      </c>
      <c r="R214" s="267">
        <v>298</v>
      </c>
      <c r="S214" s="268">
        <v>383</v>
      </c>
      <c r="AL214" s="150"/>
      <c r="AX214" s="150"/>
    </row>
    <row r="215" spans="8:50" ht="15" customHeight="1">
      <c r="I215" s="267">
        <v>130</v>
      </c>
      <c r="J215" s="267">
        <v>145</v>
      </c>
      <c r="K215" s="267">
        <v>169</v>
      </c>
      <c r="L215" s="267">
        <v>203</v>
      </c>
      <c r="M215" s="268">
        <v>236</v>
      </c>
      <c r="O215" s="267">
        <v>149</v>
      </c>
      <c r="P215" s="267">
        <v>174</v>
      </c>
      <c r="Q215" s="267">
        <v>210</v>
      </c>
      <c r="R215" s="267">
        <v>276</v>
      </c>
      <c r="S215" s="268">
        <v>361</v>
      </c>
      <c r="AL215" s="150"/>
      <c r="AX215" s="150"/>
    </row>
    <row r="216" spans="8:50" ht="15" customHeight="1">
      <c r="I216" s="267">
        <v>39</v>
      </c>
      <c r="J216" s="267">
        <v>54</v>
      </c>
      <c r="K216" s="267">
        <v>115</v>
      </c>
      <c r="L216" s="267">
        <v>149</v>
      </c>
      <c r="M216" s="268">
        <v>182</v>
      </c>
      <c r="O216" s="267">
        <v>58</v>
      </c>
      <c r="P216" s="267">
        <v>83</v>
      </c>
      <c r="Q216" s="267">
        <v>156</v>
      </c>
      <c r="R216" s="267">
        <v>222</v>
      </c>
      <c r="S216" s="268">
        <v>307</v>
      </c>
      <c r="AL216" s="150"/>
      <c r="AX216" s="150"/>
    </row>
    <row r="217" spans="8:50" ht="15" customHeight="1">
      <c r="I217" s="267">
        <v>39</v>
      </c>
      <c r="J217" s="267">
        <v>54</v>
      </c>
      <c r="K217" s="267">
        <v>78</v>
      </c>
      <c r="L217" s="267">
        <v>112</v>
      </c>
      <c r="M217" s="268">
        <v>145</v>
      </c>
      <c r="O217" s="267">
        <v>58</v>
      </c>
      <c r="P217" s="267">
        <v>83</v>
      </c>
      <c r="Q217" s="267">
        <v>120</v>
      </c>
      <c r="R217" s="267">
        <v>185</v>
      </c>
      <c r="S217" s="268">
        <v>270</v>
      </c>
      <c r="AL217" s="150"/>
      <c r="AX217" s="150"/>
    </row>
    <row r="218" spans="8:50" ht="15" customHeight="1">
      <c r="I218" s="267"/>
      <c r="J218" s="267"/>
      <c r="K218" s="267"/>
      <c r="L218" s="267"/>
      <c r="M218" s="268"/>
      <c r="O218" s="267"/>
      <c r="P218" s="267"/>
      <c r="Q218" s="267"/>
      <c r="R218" s="267"/>
      <c r="S218" s="268"/>
      <c r="AL218" s="150"/>
      <c r="AX218" s="150"/>
    </row>
    <row r="219" spans="8:50" ht="15" customHeight="1">
      <c r="I219" s="267"/>
      <c r="J219" s="267"/>
      <c r="K219" s="267"/>
      <c r="L219" s="267"/>
      <c r="M219" s="268"/>
      <c r="O219" s="267"/>
      <c r="P219" s="267"/>
      <c r="Q219" s="267"/>
      <c r="R219" s="267"/>
      <c r="S219" s="268"/>
      <c r="AL219" s="150"/>
      <c r="AX219" s="150"/>
    </row>
    <row r="220" spans="8:50" ht="15" customHeight="1">
      <c r="I220" s="267"/>
      <c r="J220" s="267"/>
      <c r="K220" s="267"/>
      <c r="L220" s="267"/>
      <c r="M220" s="268"/>
      <c r="O220" s="267"/>
      <c r="P220" s="267"/>
      <c r="Q220" s="267"/>
      <c r="R220" s="267"/>
      <c r="S220" s="268"/>
      <c r="AL220" s="150"/>
      <c r="AX220" s="150"/>
    </row>
    <row r="221" spans="8:50" ht="15" customHeight="1">
      <c r="I221" s="267"/>
      <c r="J221" s="267"/>
      <c r="K221" s="267"/>
      <c r="L221" s="267"/>
      <c r="M221" s="268"/>
      <c r="O221" s="267"/>
      <c r="P221" s="267"/>
      <c r="Q221" s="267"/>
      <c r="R221" s="267"/>
      <c r="S221" s="268"/>
      <c r="AL221" s="150"/>
      <c r="AX221" s="150"/>
    </row>
    <row r="222" spans="8:50" ht="15" customHeight="1">
      <c r="I222" s="267"/>
      <c r="J222" s="267"/>
      <c r="K222" s="267"/>
      <c r="L222" s="267"/>
      <c r="M222" s="268"/>
      <c r="O222" s="267"/>
      <c r="P222" s="267"/>
      <c r="Q222" s="267"/>
      <c r="R222" s="267"/>
      <c r="S222" s="268"/>
      <c r="AL222" s="150"/>
      <c r="AX222" s="150"/>
    </row>
    <row r="223" spans="8:50" ht="15" customHeight="1">
      <c r="I223" s="267"/>
      <c r="J223" s="267"/>
      <c r="K223" s="267"/>
      <c r="L223" s="267"/>
      <c r="M223" s="268"/>
      <c r="O223" s="267"/>
      <c r="P223" s="267"/>
      <c r="Q223" s="267"/>
      <c r="R223" s="267"/>
      <c r="S223" s="268"/>
      <c r="AL223" s="150"/>
      <c r="AX223" s="150"/>
    </row>
    <row r="224" spans="8:50" ht="15" customHeight="1">
      <c r="I224" s="267"/>
      <c r="J224" s="267"/>
      <c r="K224" s="267"/>
      <c r="L224" s="267"/>
      <c r="M224" s="268"/>
      <c r="O224" s="267"/>
      <c r="P224" s="267"/>
      <c r="Q224" s="267"/>
      <c r="R224" s="267"/>
      <c r="S224" s="268"/>
      <c r="AL224" s="150"/>
      <c r="AX224" s="150"/>
    </row>
    <row r="225" spans="9:50" ht="15" customHeight="1">
      <c r="I225" s="267"/>
      <c r="J225" s="267"/>
      <c r="K225" s="267"/>
      <c r="L225" s="267"/>
      <c r="M225" s="268"/>
      <c r="O225" s="267"/>
      <c r="P225" s="267"/>
      <c r="Q225" s="267"/>
      <c r="R225" s="267"/>
      <c r="S225" s="268"/>
      <c r="AL225" s="150"/>
      <c r="AX225" s="150"/>
    </row>
    <row r="226" spans="9:50" ht="15" customHeight="1">
      <c r="I226" s="267"/>
      <c r="J226" s="267"/>
      <c r="K226" s="267"/>
      <c r="L226" s="267"/>
      <c r="M226" s="268"/>
      <c r="O226" s="267"/>
      <c r="P226" s="267"/>
      <c r="Q226" s="267"/>
      <c r="R226" s="267"/>
      <c r="S226" s="268"/>
      <c r="AL226" s="150"/>
      <c r="AX226" s="150"/>
    </row>
    <row r="227" spans="9:50" ht="15" customHeight="1">
      <c r="I227" s="267"/>
      <c r="J227" s="267"/>
      <c r="K227" s="267"/>
      <c r="L227" s="267"/>
      <c r="M227" s="268"/>
      <c r="O227" s="267"/>
      <c r="P227" s="267"/>
      <c r="Q227" s="267"/>
      <c r="R227" s="267"/>
      <c r="S227" s="268"/>
      <c r="AL227" s="150"/>
      <c r="AX227" s="150"/>
    </row>
    <row r="228" spans="9:50" ht="15" customHeight="1">
      <c r="I228" s="267"/>
      <c r="J228" s="267"/>
      <c r="K228" s="267"/>
      <c r="L228" s="267"/>
      <c r="M228" s="268"/>
      <c r="O228" s="267"/>
      <c r="P228" s="267"/>
      <c r="Q228" s="267"/>
      <c r="R228" s="267"/>
      <c r="S228" s="268"/>
      <c r="AL228" s="150"/>
      <c r="AX228" s="150"/>
    </row>
    <row r="229" spans="9:50" ht="15" customHeight="1">
      <c r="I229" s="267"/>
      <c r="J229" s="267"/>
      <c r="K229" s="267"/>
      <c r="L229" s="267"/>
      <c r="M229" s="268"/>
      <c r="O229" s="267"/>
      <c r="P229" s="267"/>
      <c r="Q229" s="267"/>
      <c r="R229" s="267"/>
      <c r="S229" s="268"/>
      <c r="AL229" s="150"/>
      <c r="AX229" s="150"/>
    </row>
    <row r="230" spans="9:50" ht="15" customHeight="1">
      <c r="I230" s="267"/>
      <c r="J230" s="267"/>
      <c r="K230" s="267"/>
      <c r="L230" s="267"/>
      <c r="M230" s="268"/>
      <c r="O230" s="267"/>
      <c r="P230" s="267"/>
      <c r="Q230" s="267"/>
      <c r="R230" s="267"/>
      <c r="S230" s="268"/>
      <c r="AL230" s="150"/>
      <c r="AX230" s="150"/>
    </row>
    <row r="231" spans="9:50" ht="15" customHeight="1">
      <c r="I231" s="267"/>
      <c r="J231" s="267"/>
      <c r="K231" s="267"/>
      <c r="L231" s="267"/>
      <c r="M231" s="268"/>
      <c r="O231" s="267"/>
      <c r="P231" s="267"/>
      <c r="Q231" s="267"/>
      <c r="R231" s="267"/>
      <c r="S231" s="268"/>
      <c r="AL231" s="150"/>
      <c r="AX231" s="150"/>
    </row>
    <row r="232" spans="9:50" ht="15" customHeight="1">
      <c r="I232" s="267"/>
      <c r="J232" s="267"/>
      <c r="K232" s="267"/>
      <c r="L232" s="267"/>
      <c r="M232" s="268"/>
      <c r="O232" s="267"/>
      <c r="P232" s="267"/>
      <c r="Q232" s="267"/>
      <c r="R232" s="267"/>
      <c r="S232" s="268"/>
      <c r="AL232" s="150"/>
      <c r="AX232" s="150"/>
    </row>
    <row r="233" spans="9:50" ht="15" customHeight="1">
      <c r="I233" s="267"/>
      <c r="J233" s="267"/>
      <c r="K233" s="267"/>
      <c r="L233" s="267"/>
      <c r="M233" s="268"/>
      <c r="O233" s="267"/>
      <c r="P233" s="267"/>
      <c r="Q233" s="267"/>
      <c r="R233" s="267"/>
      <c r="S233" s="268"/>
      <c r="AL233" s="150"/>
      <c r="AX233" s="150"/>
    </row>
    <row r="234" spans="9:50" ht="15" customHeight="1">
      <c r="I234" s="267"/>
      <c r="J234" s="267"/>
      <c r="K234" s="267"/>
      <c r="L234" s="267"/>
      <c r="M234" s="268"/>
      <c r="O234" s="267"/>
      <c r="P234" s="267"/>
      <c r="Q234" s="267"/>
      <c r="R234" s="267"/>
      <c r="S234" s="268"/>
      <c r="AL234" s="150"/>
      <c r="AX234" s="150"/>
    </row>
    <row r="235" spans="9:50" ht="15" customHeight="1">
      <c r="I235" s="267"/>
      <c r="J235" s="267"/>
      <c r="K235" s="267"/>
      <c r="L235" s="267"/>
      <c r="M235" s="268"/>
      <c r="O235" s="267"/>
      <c r="P235" s="267"/>
      <c r="Q235" s="267"/>
      <c r="R235" s="267"/>
      <c r="S235" s="268"/>
      <c r="AL235" s="150"/>
      <c r="AX235" s="150"/>
    </row>
    <row r="236" spans="9:50" ht="15" customHeight="1">
      <c r="I236" s="267"/>
      <c r="J236" s="267"/>
      <c r="K236" s="267"/>
      <c r="L236" s="267"/>
      <c r="M236" s="268"/>
      <c r="O236" s="267"/>
      <c r="P236" s="267"/>
      <c r="Q236" s="267"/>
      <c r="R236" s="267"/>
      <c r="S236" s="268"/>
      <c r="AL236" s="150"/>
      <c r="AX236" s="150"/>
    </row>
    <row r="237" spans="9:50" ht="15" customHeight="1">
      <c r="I237" s="267"/>
      <c r="J237" s="267"/>
      <c r="K237" s="267"/>
      <c r="L237" s="267"/>
      <c r="M237" s="268"/>
      <c r="O237" s="267"/>
      <c r="P237" s="267"/>
      <c r="Q237" s="267"/>
      <c r="R237" s="267"/>
      <c r="S237" s="268"/>
      <c r="AL237" s="150"/>
      <c r="AX237" s="150"/>
    </row>
    <row r="238" spans="9:50" ht="15" customHeight="1">
      <c r="I238" s="267"/>
      <c r="J238" s="267"/>
      <c r="K238" s="267"/>
      <c r="L238" s="267"/>
      <c r="M238" s="268"/>
      <c r="O238" s="267"/>
      <c r="P238" s="267"/>
      <c r="Q238" s="267"/>
      <c r="R238" s="267"/>
      <c r="S238" s="268"/>
      <c r="AL238" s="150"/>
      <c r="AX238" s="150"/>
    </row>
    <row r="239" spans="9:50" ht="15" customHeight="1">
      <c r="I239" s="267"/>
      <c r="J239" s="267"/>
      <c r="K239" s="267"/>
      <c r="L239" s="267"/>
      <c r="M239" s="268"/>
      <c r="O239" s="267"/>
      <c r="P239" s="267"/>
      <c r="Q239" s="267"/>
      <c r="R239" s="267"/>
      <c r="S239" s="268"/>
      <c r="AL239" s="150"/>
      <c r="AX239" s="150"/>
    </row>
    <row r="240" spans="9:50" ht="15" customHeight="1">
      <c r="I240" s="267"/>
      <c r="J240" s="267"/>
      <c r="K240" s="267"/>
      <c r="L240" s="267"/>
      <c r="M240" s="268"/>
      <c r="O240" s="267"/>
      <c r="P240" s="267"/>
      <c r="Q240" s="267"/>
      <c r="R240" s="267"/>
      <c r="S240" s="268"/>
      <c r="AL240" s="150"/>
      <c r="AX240" s="150"/>
    </row>
    <row r="241" spans="9:50" ht="15" customHeight="1">
      <c r="I241" s="267"/>
      <c r="J241" s="267"/>
      <c r="K241" s="267"/>
      <c r="L241" s="267"/>
      <c r="M241" s="268"/>
      <c r="O241" s="267"/>
      <c r="P241" s="267"/>
      <c r="Q241" s="267"/>
      <c r="R241" s="267"/>
      <c r="S241" s="268"/>
      <c r="AL241" s="150"/>
      <c r="AX241" s="150"/>
    </row>
    <row r="242" spans="9:50" ht="15" customHeight="1">
      <c r="I242" s="267"/>
      <c r="J242" s="267"/>
      <c r="K242" s="267"/>
      <c r="L242" s="267"/>
      <c r="M242" s="268"/>
      <c r="O242" s="267"/>
      <c r="P242" s="267"/>
      <c r="Q242" s="267"/>
      <c r="R242" s="267"/>
      <c r="S242" s="268"/>
      <c r="AL242" s="150"/>
      <c r="AX242" s="150"/>
    </row>
    <row r="243" spans="9:50" ht="15" customHeight="1">
      <c r="I243" s="267"/>
      <c r="J243" s="267"/>
      <c r="K243" s="267"/>
      <c r="L243" s="267"/>
      <c r="M243" s="268"/>
      <c r="O243" s="267"/>
      <c r="P243" s="267"/>
      <c r="Q243" s="267"/>
      <c r="R243" s="267"/>
      <c r="S243" s="268"/>
      <c r="AL243" s="150"/>
      <c r="AX243" s="150"/>
    </row>
    <row r="244" spans="9:50" ht="15" customHeight="1">
      <c r="I244" s="282"/>
      <c r="J244" s="282"/>
      <c r="K244" s="282"/>
      <c r="L244" s="282"/>
      <c r="M244" s="283"/>
      <c r="O244" s="282"/>
      <c r="P244" s="282"/>
      <c r="Q244" s="282"/>
      <c r="R244" s="282"/>
      <c r="S244" s="283"/>
      <c r="AL244" s="150"/>
      <c r="AX244" s="150"/>
    </row>
    <row r="245" spans="9:50" ht="15" customHeight="1">
      <c r="I245" s="267"/>
      <c r="J245" s="267"/>
      <c r="K245" s="267"/>
      <c r="L245" s="267"/>
      <c r="M245" s="268"/>
      <c r="O245" s="267"/>
      <c r="P245" s="267"/>
      <c r="Q245" s="267"/>
      <c r="R245" s="267"/>
      <c r="S245" s="268"/>
      <c r="AL245" s="150"/>
      <c r="AX245" s="150"/>
    </row>
    <row r="246" spans="9:50" ht="15" customHeight="1">
      <c r="I246" s="282"/>
      <c r="J246" s="282"/>
      <c r="K246" s="282"/>
      <c r="L246" s="282"/>
      <c r="M246" s="283"/>
      <c r="O246" s="282"/>
      <c r="P246" s="282"/>
      <c r="Q246" s="282"/>
      <c r="R246" s="282"/>
      <c r="S246" s="283"/>
      <c r="AL246" s="150"/>
      <c r="AX246" s="150"/>
    </row>
    <row r="247" spans="9:50" ht="15" customHeight="1">
      <c r="I247" s="267"/>
      <c r="J247" s="267"/>
      <c r="K247" s="267"/>
      <c r="L247" s="267"/>
      <c r="M247" s="268"/>
      <c r="O247" s="267"/>
      <c r="P247" s="267"/>
      <c r="Q247" s="267"/>
      <c r="R247" s="267"/>
      <c r="S247" s="268"/>
      <c r="AL247" s="150"/>
      <c r="AX247" s="150"/>
    </row>
    <row r="248" spans="9:50" ht="15" customHeight="1">
      <c r="I248" s="282"/>
      <c r="J248" s="282"/>
      <c r="K248" s="282"/>
      <c r="L248" s="282"/>
      <c r="M248" s="283"/>
      <c r="O248" s="282"/>
      <c r="P248" s="282"/>
      <c r="Q248" s="282"/>
      <c r="R248" s="282"/>
      <c r="S248" s="283"/>
      <c r="AL248" s="150"/>
      <c r="AX248" s="150"/>
    </row>
    <row r="249" spans="9:50" ht="15" customHeight="1">
      <c r="I249" s="267"/>
      <c r="J249" s="267"/>
      <c r="K249" s="267"/>
      <c r="L249" s="267"/>
      <c r="M249" s="268"/>
      <c r="O249" s="267"/>
      <c r="P249" s="267"/>
      <c r="Q249" s="267"/>
      <c r="R249" s="267"/>
      <c r="S249" s="268"/>
      <c r="AL249" s="150"/>
      <c r="AX249" s="150"/>
    </row>
    <row r="250" spans="9:50" ht="15" customHeight="1">
      <c r="I250" s="282"/>
      <c r="J250" s="282"/>
      <c r="K250" s="282"/>
      <c r="L250" s="282"/>
      <c r="M250" s="283"/>
      <c r="O250" s="282"/>
      <c r="P250" s="282"/>
      <c r="Q250" s="282"/>
      <c r="R250" s="282"/>
      <c r="S250" s="283"/>
      <c r="AL250" s="150"/>
      <c r="AX250" s="150"/>
    </row>
    <row r="251" spans="9:50" ht="15" customHeight="1">
      <c r="I251" s="267"/>
      <c r="J251" s="267"/>
      <c r="K251" s="267"/>
      <c r="L251" s="267"/>
      <c r="M251" s="268"/>
      <c r="O251" s="267"/>
      <c r="P251" s="267"/>
      <c r="Q251" s="267"/>
      <c r="R251" s="267"/>
      <c r="S251" s="268"/>
      <c r="AL251" s="150"/>
      <c r="AX251" s="150"/>
    </row>
    <row r="252" spans="9:50" ht="15" customHeight="1">
      <c r="I252" s="282"/>
      <c r="J252" s="282"/>
      <c r="K252" s="282"/>
      <c r="L252" s="282"/>
      <c r="M252" s="283"/>
      <c r="O252" s="282"/>
      <c r="P252" s="282"/>
      <c r="Q252" s="282"/>
      <c r="R252" s="282"/>
      <c r="S252" s="283"/>
      <c r="AL252" s="150"/>
      <c r="AX252" s="150"/>
    </row>
    <row r="253" spans="9:50" ht="15" customHeight="1">
      <c r="I253" s="267"/>
      <c r="J253" s="267"/>
      <c r="K253" s="267"/>
      <c r="L253" s="267"/>
      <c r="M253" s="268"/>
      <c r="O253" s="267"/>
      <c r="P253" s="267"/>
      <c r="Q253" s="267"/>
      <c r="R253" s="267"/>
      <c r="S253" s="268"/>
      <c r="AL253" s="150"/>
      <c r="AX253" s="150"/>
    </row>
    <row r="254" spans="9:50" ht="15" customHeight="1">
      <c r="I254" s="282"/>
      <c r="J254" s="282"/>
      <c r="K254" s="282"/>
      <c r="L254" s="282"/>
      <c r="M254" s="283"/>
      <c r="O254" s="282"/>
      <c r="P254" s="282"/>
      <c r="Q254" s="282"/>
      <c r="R254" s="282"/>
      <c r="S254" s="283"/>
      <c r="AL254" s="150"/>
      <c r="AX254" s="150"/>
    </row>
    <row r="255" spans="9:50" ht="15" customHeight="1">
      <c r="I255" s="267"/>
      <c r="J255" s="267"/>
      <c r="K255" s="267"/>
      <c r="L255" s="267"/>
      <c r="M255" s="268"/>
      <c r="O255" s="267"/>
      <c r="P255" s="267"/>
      <c r="Q255" s="267"/>
      <c r="R255" s="267"/>
      <c r="S255" s="268"/>
      <c r="AL255" s="150"/>
      <c r="AX255" s="150"/>
    </row>
    <row r="256" spans="9:50" ht="15" customHeight="1">
      <c r="I256" s="282"/>
      <c r="J256" s="282"/>
      <c r="K256" s="282"/>
      <c r="L256" s="282"/>
      <c r="M256" s="283"/>
      <c r="O256" s="282"/>
      <c r="P256" s="282"/>
      <c r="Q256" s="282"/>
      <c r="R256" s="282"/>
      <c r="S256" s="283"/>
      <c r="AL256" s="150"/>
      <c r="AX256" s="150"/>
    </row>
    <row r="257" spans="2:50" ht="15" customHeight="1">
      <c r="I257" s="267"/>
      <c r="J257" s="267"/>
      <c r="K257" s="267"/>
      <c r="L257" s="267"/>
      <c r="M257" s="268"/>
      <c r="O257" s="267"/>
      <c r="P257" s="267"/>
      <c r="Q257" s="267"/>
      <c r="R257" s="267"/>
      <c r="S257" s="268"/>
      <c r="AL257" s="150"/>
      <c r="AX257" s="150"/>
    </row>
    <row r="258" spans="2:50" ht="15" customHeight="1">
      <c r="B258" s="280"/>
      <c r="C258" s="281"/>
      <c r="D258" s="145"/>
      <c r="E258" s="317"/>
      <c r="F258" s="239"/>
      <c r="G258" s="315"/>
      <c r="I258" s="282"/>
      <c r="J258" s="282"/>
      <c r="K258" s="282"/>
      <c r="L258" s="282"/>
      <c r="M258" s="283"/>
      <c r="O258" s="282"/>
      <c r="P258" s="282"/>
      <c r="Q258" s="282"/>
      <c r="R258" s="282"/>
      <c r="S258" s="283"/>
      <c r="AL258" s="150"/>
      <c r="AX258" s="150"/>
    </row>
    <row r="259" spans="2:50" ht="15" customHeight="1">
      <c r="B259" s="273"/>
      <c r="C259" s="286"/>
      <c r="D259" s="146"/>
      <c r="E259" s="318"/>
      <c r="F259" s="237"/>
      <c r="G259" s="314"/>
      <c r="I259" s="267"/>
      <c r="J259" s="267"/>
      <c r="K259" s="267"/>
      <c r="L259" s="267"/>
      <c r="M259" s="268"/>
      <c r="O259" s="267"/>
      <c r="P259" s="267"/>
      <c r="Q259" s="267"/>
      <c r="R259" s="267"/>
      <c r="S259" s="268"/>
      <c r="AL259" s="150"/>
      <c r="AX259" s="150"/>
    </row>
    <row r="260" spans="2:50" ht="15" customHeight="1">
      <c r="B260" s="280"/>
      <c r="C260" s="281"/>
      <c r="D260" s="145"/>
      <c r="E260" s="317"/>
      <c r="F260" s="239"/>
      <c r="G260" s="315"/>
      <c r="I260" s="282"/>
      <c r="J260" s="282"/>
      <c r="K260" s="282"/>
      <c r="L260" s="282"/>
      <c r="M260" s="283"/>
      <c r="O260" s="282"/>
      <c r="P260" s="282"/>
      <c r="Q260" s="282"/>
      <c r="R260" s="282"/>
      <c r="S260" s="283"/>
      <c r="AL260" s="150"/>
      <c r="AX260" s="150"/>
    </row>
    <row r="261" spans="2:50" ht="15" customHeight="1">
      <c r="B261" s="273"/>
      <c r="C261" s="286"/>
      <c r="D261" s="146"/>
      <c r="E261" s="318"/>
      <c r="F261" s="237"/>
      <c r="G261" s="314"/>
      <c r="I261" s="267"/>
      <c r="J261" s="267"/>
      <c r="K261" s="267"/>
      <c r="L261" s="267"/>
      <c r="M261" s="268"/>
      <c r="O261" s="267"/>
      <c r="P261" s="267"/>
      <c r="Q261" s="267"/>
      <c r="R261" s="267"/>
      <c r="S261" s="268"/>
      <c r="AL261" s="150"/>
      <c r="AX261" s="150"/>
    </row>
    <row r="262" spans="2:50" ht="15" customHeight="1">
      <c r="B262" s="280"/>
      <c r="C262" s="281"/>
      <c r="D262" s="145"/>
      <c r="E262" s="317"/>
      <c r="F262" s="239"/>
      <c r="G262" s="315"/>
      <c r="I262" s="282"/>
      <c r="J262" s="282"/>
      <c r="K262" s="282"/>
      <c r="L262" s="282"/>
      <c r="M262" s="283"/>
      <c r="O262" s="282"/>
      <c r="P262" s="282"/>
      <c r="Q262" s="282"/>
      <c r="R262" s="282"/>
      <c r="S262" s="283"/>
      <c r="AL262" s="150"/>
      <c r="AX262" s="150"/>
    </row>
    <row r="263" spans="2:50" ht="15" customHeight="1">
      <c r="B263" s="273"/>
      <c r="C263" s="286"/>
      <c r="D263" s="146"/>
      <c r="E263" s="318"/>
      <c r="F263" s="237"/>
      <c r="G263" s="314"/>
      <c r="I263" s="267"/>
      <c r="J263" s="267"/>
      <c r="K263" s="267"/>
      <c r="L263" s="267"/>
      <c r="M263" s="268"/>
      <c r="O263" s="267"/>
      <c r="P263" s="267"/>
      <c r="Q263" s="267"/>
      <c r="R263" s="267"/>
      <c r="S263" s="268"/>
      <c r="AL263" s="150"/>
      <c r="AX263" s="150"/>
    </row>
    <row r="264" spans="2:50" ht="15" customHeight="1">
      <c r="B264" s="280"/>
      <c r="C264" s="281"/>
      <c r="D264" s="145"/>
      <c r="E264" s="317"/>
      <c r="F264" s="239"/>
      <c r="G264" s="315"/>
      <c r="I264" s="282"/>
      <c r="J264" s="282"/>
      <c r="K264" s="282"/>
      <c r="L264" s="282"/>
      <c r="M264" s="283"/>
      <c r="O264" s="282"/>
      <c r="P264" s="282"/>
      <c r="Q264" s="282"/>
      <c r="R264" s="282"/>
      <c r="S264" s="283"/>
      <c r="AL264" s="150"/>
      <c r="AX264" s="150"/>
    </row>
    <row r="265" spans="2:50" ht="15" customHeight="1">
      <c r="B265" s="273"/>
      <c r="C265" s="286"/>
      <c r="D265" s="146"/>
      <c r="E265" s="318"/>
      <c r="F265" s="237"/>
      <c r="G265" s="314"/>
      <c r="I265" s="267"/>
      <c r="J265" s="267"/>
      <c r="K265" s="267"/>
      <c r="L265" s="267"/>
      <c r="M265" s="268"/>
      <c r="O265" s="267"/>
      <c r="P265" s="267"/>
      <c r="Q265" s="267"/>
      <c r="R265" s="267"/>
      <c r="S265" s="268"/>
      <c r="AL265" s="150"/>
      <c r="AX265" s="150"/>
    </row>
    <row r="266" spans="2:50" ht="15" customHeight="1">
      <c r="B266" s="280"/>
      <c r="C266" s="281"/>
      <c r="D266" s="145"/>
      <c r="E266" s="317"/>
      <c r="F266" s="239"/>
      <c r="G266" s="315"/>
      <c r="I266" s="282"/>
      <c r="J266" s="282"/>
      <c r="K266" s="282"/>
      <c r="L266" s="282"/>
      <c r="M266" s="283"/>
      <c r="O266" s="282"/>
      <c r="P266" s="282"/>
      <c r="Q266" s="282"/>
      <c r="R266" s="282"/>
      <c r="S266" s="283"/>
      <c r="AL266" s="150"/>
      <c r="AX266" s="150"/>
    </row>
    <row r="267" spans="2:50" ht="15" customHeight="1">
      <c r="B267" s="273"/>
      <c r="C267" s="286"/>
      <c r="D267" s="146"/>
      <c r="E267" s="318"/>
      <c r="F267" s="237"/>
      <c r="G267" s="314"/>
      <c r="I267" s="267"/>
      <c r="J267" s="267"/>
      <c r="K267" s="267"/>
      <c r="L267" s="267"/>
      <c r="M267" s="268"/>
      <c r="O267" s="267"/>
      <c r="P267" s="267"/>
      <c r="Q267" s="267"/>
      <c r="R267" s="267"/>
      <c r="S267" s="268"/>
      <c r="AL267" s="150"/>
      <c r="AX267" s="150"/>
    </row>
    <row r="268" spans="2:50" ht="15" customHeight="1">
      <c r="B268" s="280"/>
      <c r="C268" s="281"/>
      <c r="D268" s="145"/>
      <c r="E268" s="317"/>
      <c r="F268" s="239"/>
      <c r="G268" s="315"/>
      <c r="I268" s="282"/>
      <c r="J268" s="282"/>
      <c r="K268" s="282"/>
      <c r="L268" s="282"/>
      <c r="M268" s="283"/>
      <c r="O268" s="282"/>
      <c r="P268" s="282"/>
      <c r="Q268" s="282"/>
      <c r="R268" s="282"/>
      <c r="S268" s="283"/>
      <c r="AL268" s="150"/>
      <c r="AX268" s="150"/>
    </row>
    <row r="269" spans="2:50" ht="15" customHeight="1">
      <c r="B269" s="273"/>
      <c r="C269" s="286"/>
      <c r="D269" s="146"/>
      <c r="E269" s="318"/>
      <c r="F269" s="237"/>
      <c r="G269" s="314"/>
      <c r="I269" s="267"/>
      <c r="J269" s="267"/>
      <c r="K269" s="267"/>
      <c r="L269" s="267"/>
      <c r="M269" s="268"/>
      <c r="O269" s="267"/>
      <c r="P269" s="267"/>
      <c r="Q269" s="267"/>
      <c r="R269" s="267"/>
      <c r="S269" s="268"/>
      <c r="AL269" s="150"/>
      <c r="AX269" s="150"/>
    </row>
    <row r="270" spans="2:50" ht="15" customHeight="1">
      <c r="B270" s="280"/>
      <c r="C270" s="281"/>
      <c r="D270" s="145"/>
      <c r="E270" s="317"/>
      <c r="F270" s="239"/>
      <c r="G270" s="315"/>
      <c r="I270" s="282"/>
      <c r="J270" s="282"/>
      <c r="K270" s="282"/>
      <c r="L270" s="282"/>
      <c r="M270" s="283"/>
      <c r="O270" s="282"/>
      <c r="P270" s="282"/>
      <c r="Q270" s="282"/>
      <c r="R270" s="282"/>
      <c r="S270" s="283"/>
      <c r="AL270" s="150"/>
      <c r="AX270" s="150"/>
    </row>
    <row r="271" spans="2:50" ht="15" customHeight="1">
      <c r="B271" s="273"/>
      <c r="C271" s="286"/>
      <c r="D271" s="146"/>
      <c r="E271" s="318"/>
      <c r="F271" s="237"/>
      <c r="G271" s="314"/>
      <c r="I271" s="267"/>
      <c r="J271" s="267"/>
      <c r="K271" s="267"/>
      <c r="L271" s="267"/>
      <c r="M271" s="268"/>
      <c r="O271" s="267"/>
      <c r="P271" s="267"/>
      <c r="Q271" s="267"/>
      <c r="R271" s="267"/>
      <c r="S271" s="268"/>
      <c r="AL271" s="150"/>
      <c r="AX271" s="150"/>
    </row>
    <row r="272" spans="2:50" ht="15" customHeight="1">
      <c r="B272" s="280"/>
      <c r="C272" s="281"/>
      <c r="D272" s="145"/>
      <c r="E272" s="317"/>
      <c r="F272" s="239"/>
      <c r="G272" s="315"/>
      <c r="I272" s="282"/>
      <c r="J272" s="282"/>
      <c r="K272" s="282"/>
      <c r="L272" s="282"/>
      <c r="M272" s="283"/>
      <c r="O272" s="282"/>
      <c r="P272" s="282"/>
      <c r="Q272" s="282"/>
      <c r="R272" s="282"/>
      <c r="S272" s="283"/>
      <c r="AL272" s="150"/>
      <c r="AX272" s="150"/>
    </row>
    <row r="273" spans="2:50" ht="15" customHeight="1">
      <c r="B273" s="273"/>
      <c r="C273" s="286"/>
      <c r="D273" s="146"/>
      <c r="E273" s="318"/>
      <c r="F273" s="237"/>
      <c r="G273" s="314"/>
      <c r="I273" s="267"/>
      <c r="J273" s="267"/>
      <c r="K273" s="267"/>
      <c r="L273" s="267"/>
      <c r="M273" s="268"/>
      <c r="O273" s="267"/>
      <c r="P273" s="267"/>
      <c r="Q273" s="267"/>
      <c r="R273" s="267"/>
      <c r="S273" s="268"/>
      <c r="AL273" s="150"/>
      <c r="AX273" s="150"/>
    </row>
    <row r="274" spans="2:50" ht="15" customHeight="1">
      <c r="B274" s="280"/>
      <c r="C274" s="281"/>
      <c r="D274" s="145"/>
      <c r="E274" s="317"/>
      <c r="F274" s="239"/>
      <c r="G274" s="315"/>
      <c r="I274" s="282"/>
      <c r="J274" s="282"/>
      <c r="K274" s="282"/>
      <c r="L274" s="282"/>
      <c r="M274" s="283"/>
      <c r="O274" s="282"/>
      <c r="P274" s="282"/>
      <c r="Q274" s="282"/>
      <c r="R274" s="282"/>
      <c r="S274" s="283"/>
      <c r="AL274" s="150"/>
      <c r="AX274" s="150"/>
    </row>
    <row r="275" spans="2:50" ht="15" customHeight="1">
      <c r="B275" s="273"/>
      <c r="C275" s="286"/>
      <c r="D275" s="146"/>
      <c r="E275" s="318"/>
      <c r="F275" s="237"/>
      <c r="G275" s="314"/>
      <c r="I275" s="267"/>
      <c r="J275" s="267"/>
      <c r="K275" s="267"/>
      <c r="L275" s="267"/>
      <c r="M275" s="268"/>
      <c r="O275" s="267"/>
      <c r="P275" s="267"/>
      <c r="Q275" s="267"/>
      <c r="R275" s="267"/>
      <c r="S275" s="268"/>
      <c r="AL275" s="150"/>
      <c r="AX275" s="150"/>
    </row>
    <row r="276" spans="2:50" ht="15" customHeight="1">
      <c r="B276" s="280"/>
      <c r="C276" s="281"/>
      <c r="D276" s="145"/>
      <c r="E276" s="317"/>
      <c r="F276" s="239"/>
      <c r="G276" s="315"/>
      <c r="I276" s="282"/>
      <c r="J276" s="282"/>
      <c r="K276" s="282"/>
      <c r="L276" s="282"/>
      <c r="M276" s="283"/>
      <c r="O276" s="282"/>
      <c r="P276" s="282"/>
      <c r="Q276" s="282"/>
      <c r="R276" s="282"/>
      <c r="S276" s="283"/>
      <c r="AL276" s="150"/>
      <c r="AX276" s="150"/>
    </row>
    <row r="277" spans="2:50" ht="15" customHeight="1">
      <c r="B277" s="273"/>
      <c r="C277" s="286"/>
      <c r="D277" s="146"/>
      <c r="E277" s="318"/>
      <c r="F277" s="237"/>
      <c r="G277" s="314"/>
      <c r="I277" s="267"/>
      <c r="J277" s="267"/>
      <c r="K277" s="267"/>
      <c r="L277" s="267"/>
      <c r="M277" s="268"/>
      <c r="O277" s="267"/>
      <c r="P277" s="267"/>
      <c r="Q277" s="267"/>
      <c r="R277" s="267"/>
      <c r="S277" s="268"/>
      <c r="AL277" s="150"/>
      <c r="AX277" s="150"/>
    </row>
    <row r="278" spans="2:50" ht="15" customHeight="1">
      <c r="B278" s="280"/>
      <c r="C278" s="281"/>
      <c r="D278" s="145"/>
      <c r="E278" s="317"/>
      <c r="F278" s="239"/>
      <c r="G278" s="315"/>
      <c r="I278" s="282"/>
      <c r="J278" s="282"/>
      <c r="K278" s="282"/>
      <c r="L278" s="282"/>
      <c r="M278" s="283"/>
      <c r="O278" s="282"/>
      <c r="P278" s="282"/>
      <c r="Q278" s="282"/>
      <c r="R278" s="282"/>
      <c r="S278" s="283"/>
      <c r="AL278" s="150"/>
      <c r="AX278" s="150"/>
    </row>
    <row r="279" spans="2:50" ht="15" customHeight="1">
      <c r="B279" s="273"/>
      <c r="C279" s="286"/>
      <c r="D279" s="146"/>
      <c r="E279" s="318"/>
      <c r="F279" s="237"/>
      <c r="G279" s="314"/>
      <c r="I279" s="267"/>
      <c r="J279" s="267"/>
      <c r="K279" s="267"/>
      <c r="L279" s="267"/>
      <c r="M279" s="268"/>
      <c r="O279" s="267"/>
      <c r="P279" s="267"/>
      <c r="Q279" s="267"/>
      <c r="R279" s="267"/>
      <c r="S279" s="268"/>
      <c r="AL279" s="150"/>
      <c r="AX279" s="150"/>
    </row>
    <row r="280" spans="2:50" ht="15" customHeight="1">
      <c r="B280" s="280"/>
      <c r="C280" s="281"/>
      <c r="D280" s="145"/>
      <c r="E280" s="317"/>
      <c r="F280" s="239"/>
      <c r="G280" s="315"/>
      <c r="I280" s="282"/>
      <c r="J280" s="282"/>
      <c r="K280" s="282"/>
      <c r="L280" s="282"/>
      <c r="M280" s="283"/>
      <c r="O280" s="282"/>
      <c r="P280" s="282"/>
      <c r="Q280" s="282"/>
      <c r="R280" s="282"/>
      <c r="S280" s="283"/>
      <c r="AL280" s="150"/>
      <c r="AX280" s="150"/>
    </row>
    <row r="281" spans="2:50" ht="15" customHeight="1" thickBot="1">
      <c r="B281" s="319"/>
      <c r="C281" s="320"/>
      <c r="D281" s="325"/>
      <c r="E281" s="326"/>
      <c r="F281" s="327"/>
      <c r="G281" s="328"/>
      <c r="I281" s="267"/>
      <c r="J281" s="267"/>
      <c r="K281" s="267"/>
      <c r="L281" s="267"/>
      <c r="M281" s="268"/>
      <c r="O281" s="267"/>
      <c r="P281" s="267"/>
      <c r="Q281" s="267"/>
      <c r="R281" s="267"/>
      <c r="S281" s="268"/>
      <c r="AL281" s="150"/>
      <c r="AX281" s="150"/>
    </row>
    <row r="282" spans="2:50" ht="15" customHeight="1">
      <c r="B282" s="280"/>
      <c r="C282" s="281"/>
      <c r="D282" s="145"/>
      <c r="E282" s="148"/>
      <c r="F282" s="239"/>
      <c r="G282" s="315"/>
      <c r="I282" s="282"/>
      <c r="J282" s="282"/>
      <c r="K282" s="282"/>
      <c r="L282" s="282"/>
      <c r="M282" s="283"/>
      <c r="O282" s="282"/>
      <c r="P282" s="282"/>
      <c r="Q282" s="282"/>
      <c r="R282" s="282"/>
      <c r="S282" s="283"/>
      <c r="AL282" s="150"/>
      <c r="AX282" s="150"/>
    </row>
    <row r="283" spans="2:50" ht="15" customHeight="1">
      <c r="B283" s="285"/>
      <c r="C283" s="286"/>
      <c r="D283" s="146"/>
      <c r="E283" s="147"/>
      <c r="F283" s="237"/>
      <c r="G283" s="314"/>
      <c r="I283" s="267"/>
      <c r="J283" s="267"/>
      <c r="K283" s="267"/>
      <c r="L283" s="267"/>
      <c r="M283" s="268"/>
      <c r="O283" s="267"/>
      <c r="P283" s="267"/>
      <c r="Q283" s="267"/>
      <c r="R283" s="267"/>
      <c r="S283" s="268"/>
      <c r="AL283" s="150"/>
      <c r="AX283" s="150"/>
    </row>
    <row r="284" spans="2:50" ht="15" customHeight="1">
      <c r="B284" s="280"/>
      <c r="C284" s="281"/>
      <c r="D284" s="145"/>
      <c r="E284" s="148"/>
      <c r="F284" s="239"/>
      <c r="G284" s="315"/>
      <c r="I284" s="282"/>
      <c r="J284" s="282"/>
      <c r="K284" s="282"/>
      <c r="L284" s="282"/>
      <c r="M284" s="283"/>
      <c r="O284" s="282"/>
      <c r="P284" s="282"/>
      <c r="Q284" s="282"/>
      <c r="R284" s="282"/>
      <c r="S284" s="283"/>
      <c r="AL284" s="150"/>
      <c r="AX284" s="150"/>
    </row>
    <row r="285" spans="2:50" ht="15" customHeight="1">
      <c r="B285" s="285"/>
      <c r="C285" s="286"/>
      <c r="D285" s="146"/>
      <c r="E285" s="147"/>
      <c r="F285" s="237"/>
      <c r="G285" s="314"/>
      <c r="I285" s="267"/>
      <c r="J285" s="267"/>
      <c r="K285" s="267"/>
      <c r="L285" s="267"/>
      <c r="M285" s="268"/>
      <c r="O285" s="267"/>
      <c r="P285" s="267"/>
      <c r="Q285" s="267"/>
      <c r="R285" s="267"/>
      <c r="S285" s="268"/>
      <c r="AL285" s="150"/>
      <c r="AX285" s="150"/>
    </row>
    <row r="286" spans="2:50" ht="15" customHeight="1">
      <c r="B286" s="280"/>
      <c r="C286" s="281"/>
      <c r="D286" s="145"/>
      <c r="E286" s="148"/>
      <c r="F286" s="239"/>
      <c r="G286" s="315"/>
      <c r="I286" s="282"/>
      <c r="J286" s="282"/>
      <c r="K286" s="282"/>
      <c r="L286" s="282"/>
      <c r="M286" s="283"/>
      <c r="O286" s="282"/>
      <c r="P286" s="282"/>
      <c r="Q286" s="282"/>
      <c r="R286" s="282"/>
      <c r="S286" s="283"/>
      <c r="AL286" s="150"/>
      <c r="AX286" s="150"/>
    </row>
    <row r="287" spans="2:50" ht="15" customHeight="1">
      <c r="B287" s="285"/>
      <c r="C287" s="286"/>
      <c r="D287" s="146"/>
      <c r="E287" s="147"/>
      <c r="F287" s="237"/>
      <c r="G287" s="314"/>
      <c r="I287" s="267"/>
      <c r="J287" s="267"/>
      <c r="K287" s="267"/>
      <c r="L287" s="267"/>
      <c r="M287" s="268"/>
      <c r="O287" s="267"/>
      <c r="P287" s="267"/>
      <c r="Q287" s="267"/>
      <c r="R287" s="267"/>
      <c r="S287" s="268"/>
      <c r="AL287" s="150"/>
      <c r="AX287" s="150"/>
    </row>
    <row r="288" spans="2:50" ht="15" customHeight="1">
      <c r="B288" s="280"/>
      <c r="C288" s="281"/>
      <c r="D288" s="145"/>
      <c r="E288" s="148"/>
      <c r="F288" s="239"/>
      <c r="G288" s="315"/>
      <c r="I288" s="282"/>
      <c r="J288" s="282"/>
      <c r="K288" s="282"/>
      <c r="L288" s="282"/>
      <c r="M288" s="283"/>
      <c r="O288" s="282"/>
      <c r="P288" s="282"/>
      <c r="Q288" s="282"/>
      <c r="R288" s="282"/>
      <c r="S288" s="283"/>
      <c r="AL288" s="150"/>
      <c r="AX288" s="150"/>
    </row>
    <row r="289" spans="2:50" ht="15" customHeight="1">
      <c r="B289" s="285"/>
      <c r="C289" s="286"/>
      <c r="D289" s="146"/>
      <c r="E289" s="147"/>
      <c r="F289" s="237"/>
      <c r="G289" s="314"/>
      <c r="I289" s="267"/>
      <c r="J289" s="267"/>
      <c r="K289" s="267"/>
      <c r="L289" s="267"/>
      <c r="M289" s="268"/>
      <c r="O289" s="267"/>
      <c r="P289" s="267"/>
      <c r="Q289" s="267"/>
      <c r="R289" s="267"/>
      <c r="S289" s="268"/>
      <c r="AL289" s="150"/>
      <c r="AX289" s="150"/>
    </row>
    <row r="290" spans="2:50" ht="15" customHeight="1">
      <c r="B290" s="280"/>
      <c r="C290" s="281"/>
      <c r="D290" s="145"/>
      <c r="E290" s="148"/>
      <c r="F290" s="239"/>
      <c r="G290" s="315"/>
      <c r="I290" s="282"/>
      <c r="J290" s="282"/>
      <c r="K290" s="282"/>
      <c r="L290" s="282"/>
      <c r="M290" s="283"/>
      <c r="O290" s="282"/>
      <c r="P290" s="282"/>
      <c r="Q290" s="282"/>
      <c r="R290" s="282"/>
      <c r="S290" s="283"/>
      <c r="AL290" s="150"/>
      <c r="AX290" s="150"/>
    </row>
    <row r="291" spans="2:50" ht="15" customHeight="1">
      <c r="B291" s="285"/>
      <c r="C291" s="286"/>
      <c r="D291" s="146"/>
      <c r="E291" s="147"/>
      <c r="F291" s="237"/>
      <c r="G291" s="314"/>
      <c r="I291" s="267"/>
      <c r="J291" s="267"/>
      <c r="K291" s="267"/>
      <c r="L291" s="267"/>
      <c r="M291" s="268"/>
      <c r="O291" s="267"/>
      <c r="P291" s="267"/>
      <c r="Q291" s="267"/>
      <c r="R291" s="267"/>
      <c r="S291" s="268"/>
      <c r="AL291" s="150"/>
      <c r="AX291" s="150"/>
    </row>
    <row r="292" spans="2:50" ht="15" customHeight="1">
      <c r="B292" s="280"/>
      <c r="C292" s="281"/>
      <c r="D292" s="145"/>
      <c r="E292" s="148"/>
      <c r="F292" s="239"/>
      <c r="G292" s="315"/>
      <c r="I292" s="282"/>
      <c r="J292" s="282"/>
      <c r="K292" s="282"/>
      <c r="L292" s="282"/>
      <c r="M292" s="283"/>
      <c r="O292" s="282"/>
      <c r="P292" s="282"/>
      <c r="Q292" s="282"/>
      <c r="R292" s="282"/>
      <c r="S292" s="283"/>
      <c r="AL292" s="150"/>
      <c r="AX292" s="150"/>
    </row>
    <row r="293" spans="2:50" ht="15" customHeight="1">
      <c r="B293" s="285"/>
      <c r="C293" s="286"/>
      <c r="D293" s="146"/>
      <c r="E293" s="147"/>
      <c r="F293" s="237"/>
      <c r="G293" s="314"/>
      <c r="I293" s="267"/>
      <c r="J293" s="267"/>
      <c r="K293" s="267"/>
      <c r="L293" s="267"/>
      <c r="M293" s="268"/>
      <c r="O293" s="267"/>
      <c r="P293" s="267"/>
      <c r="Q293" s="267"/>
      <c r="R293" s="267"/>
      <c r="S293" s="268"/>
      <c r="AL293" s="150"/>
      <c r="AX293" s="150"/>
    </row>
    <row r="294" spans="2:50" ht="15" customHeight="1">
      <c r="B294" s="280"/>
      <c r="C294" s="281"/>
      <c r="D294" s="145"/>
      <c r="E294" s="148"/>
      <c r="F294" s="239"/>
      <c r="G294" s="315"/>
      <c r="I294" s="282"/>
      <c r="J294" s="282"/>
      <c r="K294" s="282"/>
      <c r="L294" s="282"/>
      <c r="M294" s="283"/>
      <c r="O294" s="282"/>
      <c r="P294" s="282"/>
      <c r="Q294" s="282"/>
      <c r="R294" s="282"/>
      <c r="S294" s="283"/>
      <c r="AL294" s="150"/>
      <c r="AX294" s="150"/>
    </row>
    <row r="295" spans="2:50" ht="15" customHeight="1">
      <c r="B295" s="285"/>
      <c r="C295" s="286"/>
      <c r="D295" s="146"/>
      <c r="E295" s="147"/>
      <c r="F295" s="237"/>
      <c r="G295" s="314"/>
      <c r="I295" s="267"/>
      <c r="J295" s="267"/>
      <c r="K295" s="267"/>
      <c r="L295" s="267"/>
      <c r="M295" s="268"/>
      <c r="O295" s="267"/>
      <c r="P295" s="267"/>
      <c r="Q295" s="267"/>
      <c r="R295" s="267"/>
      <c r="S295" s="268"/>
      <c r="AL295" s="150"/>
      <c r="AX295" s="150"/>
    </row>
    <row r="296" spans="2:50" ht="15" customHeight="1">
      <c r="B296" s="280"/>
      <c r="C296" s="281"/>
      <c r="D296" s="145"/>
      <c r="E296" s="148"/>
      <c r="F296" s="239"/>
      <c r="G296" s="315"/>
      <c r="I296" s="282"/>
      <c r="J296" s="282"/>
      <c r="K296" s="282"/>
      <c r="L296" s="282"/>
      <c r="M296" s="283"/>
      <c r="O296" s="282"/>
      <c r="P296" s="282"/>
      <c r="Q296" s="282"/>
      <c r="R296" s="282"/>
      <c r="S296" s="283"/>
      <c r="AL296" s="150"/>
      <c r="AX296" s="150"/>
    </row>
    <row r="297" spans="2:50" ht="15" customHeight="1">
      <c r="B297" s="285"/>
      <c r="C297" s="286"/>
      <c r="D297" s="146"/>
      <c r="E297" s="147"/>
      <c r="F297" s="237"/>
      <c r="G297" s="314"/>
      <c r="I297" s="267"/>
      <c r="J297" s="267"/>
      <c r="K297" s="267"/>
      <c r="L297" s="267"/>
      <c r="M297" s="268"/>
      <c r="O297" s="267"/>
      <c r="P297" s="267"/>
      <c r="Q297" s="267"/>
      <c r="R297" s="267"/>
      <c r="S297" s="268"/>
      <c r="AL297" s="150"/>
      <c r="AX297" s="150"/>
    </row>
    <row r="298" spans="2:50" ht="15" customHeight="1">
      <c r="B298" s="280"/>
      <c r="C298" s="281"/>
      <c r="D298" s="145"/>
      <c r="E298" s="148"/>
      <c r="F298" s="239"/>
      <c r="G298" s="315"/>
      <c r="I298" s="282"/>
      <c r="J298" s="282"/>
      <c r="K298" s="282"/>
      <c r="L298" s="282"/>
      <c r="M298" s="283"/>
      <c r="O298" s="282"/>
      <c r="P298" s="282"/>
      <c r="Q298" s="282"/>
      <c r="R298" s="282"/>
      <c r="S298" s="283"/>
      <c r="AL298" s="150"/>
      <c r="AX298" s="150"/>
    </row>
    <row r="299" spans="2:50" ht="15" customHeight="1">
      <c r="B299" s="285"/>
      <c r="C299" s="286"/>
      <c r="D299" s="146"/>
      <c r="E299" s="147"/>
      <c r="F299" s="237"/>
      <c r="G299" s="314"/>
      <c r="I299" s="267"/>
      <c r="J299" s="267"/>
      <c r="K299" s="267"/>
      <c r="L299" s="267"/>
      <c r="M299" s="268"/>
      <c r="O299" s="267"/>
      <c r="P299" s="267"/>
      <c r="Q299" s="267"/>
      <c r="R299" s="267"/>
      <c r="S299" s="268"/>
      <c r="AL299" s="150"/>
      <c r="AX299" s="150"/>
    </row>
    <row r="300" spans="2:50" ht="15" customHeight="1">
      <c r="B300" s="280"/>
      <c r="C300" s="281"/>
      <c r="D300" s="145"/>
      <c r="E300" s="148"/>
      <c r="F300" s="239"/>
      <c r="G300" s="315"/>
      <c r="I300" s="282"/>
      <c r="J300" s="282"/>
      <c r="K300" s="282"/>
      <c r="L300" s="282"/>
      <c r="M300" s="283"/>
      <c r="O300" s="282"/>
      <c r="P300" s="282"/>
      <c r="Q300" s="282"/>
      <c r="R300" s="282"/>
      <c r="S300" s="283"/>
      <c r="AL300" s="150"/>
      <c r="AX300" s="150"/>
    </row>
    <row r="301" spans="2:50" ht="15" customHeight="1">
      <c r="B301" s="285"/>
      <c r="C301" s="286"/>
      <c r="D301" s="146"/>
      <c r="E301" s="147"/>
      <c r="F301" s="237"/>
      <c r="G301" s="314"/>
      <c r="I301" s="267"/>
      <c r="J301" s="267"/>
      <c r="K301" s="267"/>
      <c r="L301" s="267"/>
      <c r="M301" s="268"/>
      <c r="O301" s="267"/>
      <c r="P301" s="267"/>
      <c r="Q301" s="267"/>
      <c r="R301" s="267"/>
      <c r="S301" s="268"/>
      <c r="AL301" s="150"/>
      <c r="AX301" s="150"/>
    </row>
    <row r="302" spans="2:50" ht="15" customHeight="1">
      <c r="B302" s="280"/>
      <c r="C302" s="281"/>
      <c r="D302" s="145"/>
      <c r="E302" s="148"/>
      <c r="F302" s="239"/>
      <c r="G302" s="315"/>
      <c r="I302" s="282"/>
      <c r="J302" s="282"/>
      <c r="K302" s="282"/>
      <c r="L302" s="282"/>
      <c r="M302" s="283"/>
      <c r="O302" s="282"/>
      <c r="P302" s="282"/>
      <c r="Q302" s="282"/>
      <c r="R302" s="282"/>
      <c r="S302" s="283"/>
      <c r="AL302" s="150"/>
      <c r="AX302" s="150"/>
    </row>
    <row r="303" spans="2:50">
      <c r="AL303" s="150"/>
      <c r="AX303" s="150"/>
    </row>
    <row r="304" spans="2:50">
      <c r="AL304" s="150"/>
      <c r="AX304" s="150"/>
    </row>
    <row r="305" spans="38:50">
      <c r="AL305" s="150"/>
      <c r="AX305" s="150"/>
    </row>
    <row r="306" spans="38:50">
      <c r="AL306" s="150"/>
      <c r="AX306" s="150"/>
    </row>
    <row r="307" spans="38:50">
      <c r="AL307" s="150"/>
      <c r="AX307" s="150"/>
    </row>
    <row r="308" spans="38:50">
      <c r="AL308" s="150"/>
      <c r="AX308" s="150"/>
    </row>
    <row r="309" spans="38:50">
      <c r="AL309" s="150"/>
      <c r="AX309" s="150"/>
    </row>
    <row r="310" spans="38:50">
      <c r="AL310" s="150"/>
      <c r="AX310" s="150"/>
    </row>
    <row r="311" spans="38:50">
      <c r="AL311" s="150"/>
      <c r="AX311" s="150"/>
    </row>
    <row r="312" spans="38:50">
      <c r="AL312" s="150"/>
      <c r="AX312" s="150"/>
    </row>
    <row r="313" spans="38:50">
      <c r="AL313" s="150"/>
      <c r="AX313" s="150"/>
    </row>
    <row r="314" spans="38:50">
      <c r="AL314" s="150"/>
      <c r="AX314" s="150"/>
    </row>
    <row r="315" spans="38:50">
      <c r="AL315" s="150"/>
      <c r="AX315" s="150"/>
    </row>
    <row r="316" spans="38:50">
      <c r="AL316" s="150"/>
      <c r="AX316" s="150"/>
    </row>
    <row r="317" spans="38:50">
      <c r="AL317" s="150"/>
      <c r="AX317" s="150"/>
    </row>
    <row r="318" spans="38:50">
      <c r="AL318" s="150"/>
      <c r="AX318" s="150"/>
    </row>
    <row r="319" spans="38:50">
      <c r="AL319" s="150"/>
      <c r="AX319" s="150"/>
    </row>
    <row r="320" spans="38:50">
      <c r="AL320" s="150"/>
      <c r="AX320" s="150"/>
    </row>
    <row r="321" spans="38:50">
      <c r="AL321" s="150"/>
      <c r="AX321" s="150"/>
    </row>
    <row r="322" spans="38:50">
      <c r="AL322" s="150"/>
      <c r="AX322" s="150"/>
    </row>
    <row r="323" spans="38:50">
      <c r="AL323" s="150"/>
      <c r="AX323" s="150"/>
    </row>
    <row r="324" spans="38:50">
      <c r="AL324" s="150"/>
      <c r="AX324" s="150"/>
    </row>
    <row r="325" spans="38:50">
      <c r="AL325" s="150"/>
      <c r="AX325" s="150"/>
    </row>
    <row r="326" spans="38:50">
      <c r="AL326" s="150"/>
      <c r="AX326" s="150"/>
    </row>
    <row r="327" spans="38:50">
      <c r="AL327" s="150"/>
      <c r="AX327" s="150"/>
    </row>
    <row r="328" spans="38:50">
      <c r="AL328" s="150"/>
      <c r="AX328" s="150"/>
    </row>
    <row r="329" spans="38:50">
      <c r="AL329" s="150"/>
      <c r="AX329" s="150"/>
    </row>
    <row r="330" spans="38:50">
      <c r="AL330" s="150"/>
      <c r="AX330" s="150"/>
    </row>
    <row r="331" spans="38:50">
      <c r="AL331" s="150"/>
      <c r="AX331" s="150"/>
    </row>
    <row r="332" spans="38:50">
      <c r="AL332" s="150"/>
      <c r="AX332" s="150"/>
    </row>
    <row r="333" spans="38:50">
      <c r="AL333" s="150"/>
      <c r="AX333" s="150"/>
    </row>
    <row r="334" spans="38:50">
      <c r="AL334" s="150"/>
      <c r="AX334" s="150"/>
    </row>
    <row r="335" spans="38:50">
      <c r="AL335" s="150"/>
      <c r="AX335" s="150"/>
    </row>
    <row r="336" spans="38:50">
      <c r="AL336" s="150"/>
      <c r="AX336" s="150"/>
    </row>
    <row r="337" spans="38:50">
      <c r="AL337" s="150"/>
      <c r="AX337" s="150"/>
    </row>
    <row r="338" spans="38:50">
      <c r="AL338" s="150"/>
      <c r="AX338" s="150"/>
    </row>
    <row r="339" spans="38:50">
      <c r="AL339" s="150"/>
      <c r="AX339" s="150"/>
    </row>
    <row r="340" spans="38:50">
      <c r="AL340" s="150"/>
      <c r="AX340" s="150"/>
    </row>
    <row r="341" spans="38:50">
      <c r="AL341" s="150"/>
      <c r="AX341" s="150"/>
    </row>
    <row r="342" spans="38:50">
      <c r="AL342" s="150"/>
      <c r="AX342" s="150"/>
    </row>
    <row r="343" spans="38:50">
      <c r="AL343" s="150"/>
      <c r="AX343" s="150"/>
    </row>
    <row r="344" spans="38:50">
      <c r="AL344" s="150"/>
      <c r="AX344" s="150"/>
    </row>
    <row r="345" spans="38:50">
      <c r="AL345" s="150"/>
      <c r="AX345" s="150"/>
    </row>
    <row r="346" spans="38:50">
      <c r="AL346" s="150"/>
      <c r="AX346" s="150"/>
    </row>
    <row r="347" spans="38:50">
      <c r="AL347" s="150"/>
      <c r="AX347" s="150"/>
    </row>
    <row r="348" spans="38:50">
      <c r="AL348" s="150"/>
      <c r="AX348" s="150"/>
    </row>
    <row r="349" spans="38:50">
      <c r="AL349" s="150"/>
      <c r="AX349" s="150"/>
    </row>
    <row r="350" spans="38:50">
      <c r="AL350" s="150"/>
      <c r="AX350" s="150"/>
    </row>
    <row r="351" spans="38:50">
      <c r="AL351" s="150"/>
      <c r="AX351" s="150"/>
    </row>
    <row r="352" spans="38:50">
      <c r="AL352" s="150"/>
      <c r="AX352" s="150"/>
    </row>
    <row r="353" spans="38:50">
      <c r="AL353" s="150"/>
      <c r="AX353" s="150"/>
    </row>
    <row r="354" spans="38:50">
      <c r="AL354" s="150"/>
      <c r="AX354" s="150"/>
    </row>
    <row r="355" spans="38:50">
      <c r="AL355" s="150"/>
      <c r="AX355" s="150"/>
    </row>
    <row r="356" spans="38:50">
      <c r="AL356" s="150"/>
      <c r="AX356" s="150"/>
    </row>
    <row r="357" spans="38:50">
      <c r="AL357" s="150"/>
      <c r="AX357" s="150"/>
    </row>
    <row r="358" spans="38:50">
      <c r="AL358" s="150"/>
      <c r="AX358" s="150"/>
    </row>
    <row r="359" spans="38:50">
      <c r="AL359" s="150"/>
      <c r="AX359" s="150"/>
    </row>
    <row r="360" spans="38:50">
      <c r="AL360" s="150"/>
      <c r="AX360" s="150"/>
    </row>
    <row r="361" spans="38:50">
      <c r="AL361" s="150"/>
      <c r="AX361" s="150"/>
    </row>
    <row r="362" spans="38:50">
      <c r="AL362" s="150"/>
      <c r="AX362" s="150"/>
    </row>
    <row r="363" spans="38:50">
      <c r="AL363" s="150"/>
      <c r="AX363" s="150"/>
    </row>
    <row r="364" spans="38:50">
      <c r="AL364" s="150"/>
      <c r="AX364" s="150"/>
    </row>
    <row r="365" spans="38:50">
      <c r="AL365" s="150"/>
      <c r="AX365" s="150"/>
    </row>
    <row r="366" spans="38:50">
      <c r="AL366" s="150"/>
      <c r="AX366" s="150"/>
    </row>
    <row r="367" spans="38:50">
      <c r="AL367" s="150"/>
      <c r="AX367" s="150"/>
    </row>
    <row r="368" spans="38:50">
      <c r="AL368" s="150"/>
      <c r="AX368" s="150"/>
    </row>
    <row r="369" spans="38:50">
      <c r="AL369" s="150"/>
      <c r="AX369" s="150"/>
    </row>
    <row r="370" spans="38:50">
      <c r="AL370" s="150"/>
      <c r="AX370" s="150"/>
    </row>
    <row r="371" spans="38:50">
      <c r="AL371" s="150"/>
      <c r="AX371" s="150"/>
    </row>
    <row r="372" spans="38:50">
      <c r="AL372" s="150"/>
      <c r="AX372" s="150"/>
    </row>
    <row r="373" spans="38:50">
      <c r="AL373" s="150"/>
      <c r="AX373" s="150"/>
    </row>
    <row r="374" spans="38:50">
      <c r="AL374" s="150"/>
      <c r="AX374" s="150"/>
    </row>
    <row r="375" spans="38:50">
      <c r="AL375" s="150"/>
      <c r="AX375" s="150"/>
    </row>
    <row r="376" spans="38:50">
      <c r="AL376" s="150"/>
      <c r="AX376" s="150"/>
    </row>
    <row r="377" spans="38:50">
      <c r="AL377" s="150"/>
      <c r="AX377" s="150"/>
    </row>
    <row r="378" spans="38:50">
      <c r="AL378" s="150"/>
      <c r="AX378" s="150"/>
    </row>
    <row r="379" spans="38:50">
      <c r="AL379" s="150"/>
      <c r="AX379" s="150"/>
    </row>
    <row r="380" spans="38:50">
      <c r="AL380" s="150"/>
      <c r="AX380" s="150"/>
    </row>
    <row r="381" spans="38:50">
      <c r="AL381" s="150"/>
      <c r="AX381" s="150"/>
    </row>
    <row r="382" spans="38:50">
      <c r="AL382" s="150"/>
      <c r="AX382" s="150"/>
    </row>
    <row r="383" spans="38:50">
      <c r="AL383" s="150"/>
      <c r="AX383" s="150"/>
    </row>
    <row r="384" spans="38:50">
      <c r="AL384" s="150"/>
      <c r="AX384" s="150"/>
    </row>
    <row r="385" spans="38:50">
      <c r="AL385" s="150"/>
      <c r="AX385" s="150"/>
    </row>
    <row r="386" spans="38:50">
      <c r="AL386" s="150"/>
      <c r="AX386" s="150"/>
    </row>
    <row r="387" spans="38:50">
      <c r="AL387" s="150"/>
      <c r="AX387" s="150"/>
    </row>
    <row r="388" spans="38:50">
      <c r="AL388" s="150"/>
      <c r="AX388" s="150"/>
    </row>
    <row r="389" spans="38:50">
      <c r="AL389" s="150"/>
      <c r="AX389" s="150"/>
    </row>
    <row r="390" spans="38:50">
      <c r="AL390" s="150"/>
      <c r="AX390" s="150"/>
    </row>
    <row r="391" spans="38:50">
      <c r="AL391" s="150"/>
      <c r="AX391" s="150"/>
    </row>
  </sheetData>
  <sheetProtection algorithmName="SHA-512" hashValue="/jAvyuEUafMk0xuJb4htEszKnem+mf2qekKR5rMXniCjBR06oOVQozWrC6UCWAjJoovjF5YBJvIpqbbLaYFXvA==" saltValue="r+uyom3kBq9qbXbJTF3W8w==" spinCount="100000" sheet="1" objects="1" scenarios="1"/>
  <autoFilter ref="B25:BC25" xr:uid="{00000000-0001-0000-0700-000000000000}"/>
  <mergeCells count="52">
    <mergeCell ref="I5:I11"/>
    <mergeCell ref="J5:J11"/>
    <mergeCell ref="K5:K11"/>
    <mergeCell ref="B19:G23"/>
    <mergeCell ref="I21:M21"/>
    <mergeCell ref="B17:F18"/>
    <mergeCell ref="AG21:AK21"/>
    <mergeCell ref="AM21:AQ21"/>
    <mergeCell ref="AA21:AE21"/>
    <mergeCell ref="I19:M19"/>
    <mergeCell ref="O19:S19"/>
    <mergeCell ref="U19:Y19"/>
    <mergeCell ref="AA19:AE19"/>
    <mergeCell ref="O21:S21"/>
    <mergeCell ref="U21:Y21"/>
    <mergeCell ref="R5:R11"/>
    <mergeCell ref="S5:S11"/>
    <mergeCell ref="AG17:AQ17"/>
    <mergeCell ref="AG19:AK19"/>
    <mergeCell ref="AM19:AQ19"/>
    <mergeCell ref="B2:G2"/>
    <mergeCell ref="AB5:AB11"/>
    <mergeCell ref="AC5:AC11"/>
    <mergeCell ref="AD5:AD11"/>
    <mergeCell ref="I2:M2"/>
    <mergeCell ref="O2:S2"/>
    <mergeCell ref="B5:C16"/>
    <mergeCell ref="D5:G11"/>
    <mergeCell ref="D14:G14"/>
    <mergeCell ref="D15:G15"/>
    <mergeCell ref="D16:G16"/>
    <mergeCell ref="D12:G12"/>
    <mergeCell ref="D13:G13"/>
    <mergeCell ref="U2:Y2"/>
    <mergeCell ref="AA2:AE2"/>
    <mergeCell ref="AE5:AE11"/>
    <mergeCell ref="AS19:AW19"/>
    <mergeCell ref="AY19:BC19"/>
    <mergeCell ref="AS21:AW21"/>
    <mergeCell ref="AY21:BC21"/>
    <mergeCell ref="D4:G4"/>
    <mergeCell ref="L5:L11"/>
    <mergeCell ref="U5:U11"/>
    <mergeCell ref="V5:V11"/>
    <mergeCell ref="W5:W11"/>
    <mergeCell ref="X5:X11"/>
    <mergeCell ref="Y5:Y11"/>
    <mergeCell ref="AA5:AA11"/>
    <mergeCell ref="M5:M11"/>
    <mergeCell ref="O5:O11"/>
    <mergeCell ref="P5:P11"/>
    <mergeCell ref="Q5:Q11"/>
  </mergeCells>
  <conditionalFormatting sqref="AG26:AG187">
    <cfRule type="cellIs" dxfId="42" priority="19" stopIfTrue="1" operator="lessThan">
      <formula>0</formula>
    </cfRule>
    <cfRule type="cellIs" dxfId="41" priority="20" stopIfTrue="1" operator="greaterThan">
      <formula>0</formula>
    </cfRule>
  </conditionalFormatting>
  <conditionalFormatting sqref="AH26:AH187">
    <cfRule type="cellIs" dxfId="40" priority="17" stopIfTrue="1" operator="lessThan">
      <formula>0</formula>
    </cfRule>
    <cfRule type="cellIs" dxfId="39" priority="18" stopIfTrue="1" operator="greaterThan">
      <formula>0</formula>
    </cfRule>
  </conditionalFormatting>
  <conditionalFormatting sqref="AI26:AI187">
    <cfRule type="cellIs" dxfId="38" priority="15" stopIfTrue="1" operator="lessThan">
      <formula>0</formula>
    </cfRule>
    <cfRule type="cellIs" dxfId="37" priority="16" stopIfTrue="1" operator="greaterThan">
      <formula>0</formula>
    </cfRule>
  </conditionalFormatting>
  <conditionalFormatting sqref="AJ26:AJ187">
    <cfRule type="cellIs" dxfId="36" priority="13" stopIfTrue="1" operator="lessThan">
      <formula>0</formula>
    </cfRule>
    <cfRule type="cellIs" dxfId="35" priority="14" stopIfTrue="1" operator="greaterThan">
      <formula>0</formula>
    </cfRule>
  </conditionalFormatting>
  <conditionalFormatting sqref="AK26:AK187">
    <cfRule type="cellIs" dxfId="34" priority="11" stopIfTrue="1" operator="lessThan">
      <formula>0</formula>
    </cfRule>
    <cfRule type="cellIs" dxfId="33" priority="12" stopIfTrue="1" operator="greaterThan">
      <formula>0</formula>
    </cfRule>
  </conditionalFormatting>
  <conditionalFormatting sqref="AM26:AM187">
    <cfRule type="cellIs" dxfId="32" priority="9" stopIfTrue="1" operator="lessThan">
      <formula>0</formula>
    </cfRule>
    <cfRule type="cellIs" dxfId="31" priority="10" stopIfTrue="1" operator="greaterThan">
      <formula>0</formula>
    </cfRule>
  </conditionalFormatting>
  <conditionalFormatting sqref="AN26:AN187">
    <cfRule type="cellIs" dxfId="30" priority="7" stopIfTrue="1" operator="lessThan">
      <formula>0</formula>
    </cfRule>
    <cfRule type="cellIs" dxfId="29" priority="8" stopIfTrue="1" operator="greaterThan">
      <formula>0</formula>
    </cfRule>
  </conditionalFormatting>
  <conditionalFormatting sqref="AO26:AO187">
    <cfRule type="cellIs" dxfId="28" priority="5" stopIfTrue="1" operator="lessThan">
      <formula>0</formula>
    </cfRule>
    <cfRule type="cellIs" dxfId="27" priority="6" stopIfTrue="1" operator="greaterThan">
      <formula>0</formula>
    </cfRule>
  </conditionalFormatting>
  <conditionalFormatting sqref="AP26:AP187">
    <cfRule type="cellIs" dxfId="26" priority="3" stopIfTrue="1" operator="lessThan">
      <formula>0</formula>
    </cfRule>
    <cfRule type="cellIs" dxfId="25" priority="4" stopIfTrue="1" operator="greaterThan">
      <formula>0</formula>
    </cfRule>
  </conditionalFormatting>
  <conditionalFormatting sqref="AQ26:AQ187">
    <cfRule type="cellIs" dxfId="24" priority="1" stopIfTrue="1" operator="lessThan">
      <formula>0</formula>
    </cfRule>
    <cfRule type="cellIs" dxfId="23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  <headerFooter>
    <oddFooter>&amp;C&amp;1#&amp;"Calibri"&amp;8&amp;KED7D31Orange Restricted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A1:AQ204"/>
  <sheetViews>
    <sheetView showGridLines="0" topLeftCell="A173" zoomScale="70" zoomScaleNormal="70" workbookViewId="0">
      <selection activeCell="K195" sqref="K195"/>
    </sheetView>
  </sheetViews>
  <sheetFormatPr baseColWidth="10" defaultColWidth="11.453125" defaultRowHeight="12.5"/>
  <cols>
    <col min="1" max="1" width="6.816406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7" width="8.1796875" style="113" customWidth="1"/>
    <col min="8" max="8" width="2.453125" style="150" customWidth="1"/>
    <col min="9" max="13" width="15.54296875" style="113" customWidth="1"/>
    <col min="14" max="14" width="1.54296875" style="150" customWidth="1"/>
    <col min="15" max="19" width="15.54296875" style="113" customWidth="1"/>
    <col min="20" max="20" width="4.81640625" style="113" customWidth="1"/>
    <col min="21" max="25" width="13.81640625" style="113" customWidth="1"/>
    <col min="26" max="26" width="1.54296875" style="150" customWidth="1"/>
    <col min="27" max="31" width="13.81640625" style="113" customWidth="1"/>
    <col min="32" max="16384" width="11.453125" style="113"/>
  </cols>
  <sheetData>
    <row r="1" spans="2:26" ht="13.5" customHeight="1" thickBot="1"/>
    <row r="2" spans="2:26" ht="23.25" customHeight="1">
      <c r="B2" s="456" t="s">
        <v>34</v>
      </c>
      <c r="C2" s="456"/>
      <c r="D2" s="456"/>
      <c r="E2" s="456"/>
      <c r="F2" s="456"/>
      <c r="G2" s="456"/>
      <c r="I2" s="678" t="s">
        <v>35</v>
      </c>
      <c r="J2" s="679"/>
      <c r="K2" s="679"/>
      <c r="L2" s="679"/>
      <c r="M2" s="669"/>
      <c r="N2" s="260"/>
      <c r="O2" s="678" t="s">
        <v>3</v>
      </c>
      <c r="P2" s="679"/>
      <c r="Q2" s="679"/>
      <c r="R2" s="679"/>
      <c r="S2" s="669"/>
      <c r="Z2" s="260"/>
    </row>
    <row r="3" spans="2:26" s="301" customFormat="1" ht="3.75" customHeight="1"/>
    <row r="4" spans="2:26" s="244" customFormat="1" ht="30" customHeight="1" thickBot="1">
      <c r="B4" s="121">
        <f>'PVP VaP - Pyme'!B4</f>
        <v>45658</v>
      </c>
      <c r="C4" s="119" t="s">
        <v>629</v>
      </c>
      <c r="D4" s="449"/>
      <c r="E4" s="449"/>
      <c r="F4" s="449"/>
      <c r="G4" s="449"/>
      <c r="H4" s="243"/>
      <c r="I4" s="312" t="s">
        <v>36</v>
      </c>
      <c r="J4" s="313" t="s">
        <v>37</v>
      </c>
      <c r="K4" s="313" t="s">
        <v>38</v>
      </c>
      <c r="L4" s="313" t="s">
        <v>39</v>
      </c>
      <c r="M4" s="7" t="s">
        <v>175</v>
      </c>
      <c r="N4" s="243"/>
      <c r="O4" s="312" t="s">
        <v>36</v>
      </c>
      <c r="P4" s="313" t="s">
        <v>37</v>
      </c>
      <c r="Q4" s="313" t="s">
        <v>38</v>
      </c>
      <c r="R4" s="7" t="s">
        <v>39</v>
      </c>
      <c r="S4" s="7" t="s">
        <v>175</v>
      </c>
      <c r="Z4" s="243"/>
    </row>
    <row r="5" spans="2:26" ht="17.25" customHeight="1">
      <c r="B5" s="781" t="s">
        <v>40</v>
      </c>
      <c r="C5" s="794"/>
      <c r="D5" s="450" t="s">
        <v>41</v>
      </c>
      <c r="E5" s="450"/>
      <c r="F5" s="450"/>
      <c r="G5" s="451"/>
      <c r="H5" s="245"/>
      <c r="I5" s="775" t="s">
        <v>307</v>
      </c>
      <c r="J5" s="778" t="s">
        <v>308</v>
      </c>
      <c r="K5" s="778" t="s">
        <v>309</v>
      </c>
      <c r="L5" s="778" t="s">
        <v>310</v>
      </c>
      <c r="M5" s="772" t="s">
        <v>311</v>
      </c>
      <c r="N5" s="246"/>
      <c r="O5" s="775" t="s">
        <v>307</v>
      </c>
      <c r="P5" s="778" t="s">
        <v>308</v>
      </c>
      <c r="Q5" s="778" t="s">
        <v>309</v>
      </c>
      <c r="R5" s="778" t="s">
        <v>310</v>
      </c>
      <c r="S5" s="772" t="s">
        <v>311</v>
      </c>
      <c r="Z5" s="246"/>
    </row>
    <row r="6" spans="2:26" ht="17.25" customHeight="1">
      <c r="B6" s="795"/>
      <c r="C6" s="796"/>
      <c r="D6" s="452"/>
      <c r="E6" s="452"/>
      <c r="F6" s="452"/>
      <c r="G6" s="453"/>
      <c r="H6" s="246"/>
      <c r="I6" s="776"/>
      <c r="J6" s="779"/>
      <c r="K6" s="779"/>
      <c r="L6" s="779"/>
      <c r="M6" s="773"/>
      <c r="N6" s="246"/>
      <c r="O6" s="776"/>
      <c r="P6" s="779"/>
      <c r="Q6" s="779"/>
      <c r="R6" s="779"/>
      <c r="S6" s="773"/>
      <c r="Z6" s="246"/>
    </row>
    <row r="7" spans="2:26" ht="17.25" customHeight="1">
      <c r="B7" s="795"/>
      <c r="C7" s="796"/>
      <c r="D7" s="452"/>
      <c r="E7" s="452"/>
      <c r="F7" s="452"/>
      <c r="G7" s="453"/>
      <c r="H7" s="246"/>
      <c r="I7" s="776"/>
      <c r="J7" s="779"/>
      <c r="K7" s="779"/>
      <c r="L7" s="779"/>
      <c r="M7" s="773"/>
      <c r="N7" s="246"/>
      <c r="O7" s="776"/>
      <c r="P7" s="779"/>
      <c r="Q7" s="779"/>
      <c r="R7" s="779"/>
      <c r="S7" s="773"/>
      <c r="Z7" s="246"/>
    </row>
    <row r="8" spans="2:26" ht="17.25" customHeight="1">
      <c r="B8" s="795"/>
      <c r="C8" s="796"/>
      <c r="D8" s="452"/>
      <c r="E8" s="452"/>
      <c r="F8" s="452"/>
      <c r="G8" s="453"/>
      <c r="H8" s="246"/>
      <c r="I8" s="776"/>
      <c r="J8" s="779"/>
      <c r="K8" s="779"/>
      <c r="L8" s="779"/>
      <c r="M8" s="773"/>
      <c r="N8" s="246"/>
      <c r="O8" s="776"/>
      <c r="P8" s="779"/>
      <c r="Q8" s="779"/>
      <c r="R8" s="779"/>
      <c r="S8" s="773"/>
      <c r="Z8" s="246"/>
    </row>
    <row r="9" spans="2:26" ht="17.25" customHeight="1">
      <c r="B9" s="795"/>
      <c r="C9" s="796"/>
      <c r="D9" s="452"/>
      <c r="E9" s="452"/>
      <c r="F9" s="452"/>
      <c r="G9" s="453"/>
      <c r="H9" s="246"/>
      <c r="I9" s="776"/>
      <c r="J9" s="779"/>
      <c r="K9" s="779"/>
      <c r="L9" s="779"/>
      <c r="M9" s="773"/>
      <c r="N9" s="246"/>
      <c r="O9" s="776"/>
      <c r="P9" s="779"/>
      <c r="Q9" s="779"/>
      <c r="R9" s="779"/>
      <c r="S9" s="773"/>
      <c r="Z9" s="246"/>
    </row>
    <row r="10" spans="2:26" ht="17.25" customHeight="1">
      <c r="B10" s="795"/>
      <c r="C10" s="796"/>
      <c r="D10" s="452"/>
      <c r="E10" s="452"/>
      <c r="F10" s="452"/>
      <c r="G10" s="453"/>
      <c r="H10" s="246"/>
      <c r="I10" s="776"/>
      <c r="J10" s="779"/>
      <c r="K10" s="779"/>
      <c r="L10" s="779"/>
      <c r="M10" s="773"/>
      <c r="N10" s="246"/>
      <c r="O10" s="776"/>
      <c r="P10" s="779"/>
      <c r="Q10" s="779"/>
      <c r="R10" s="779"/>
      <c r="S10" s="773"/>
      <c r="Z10" s="246"/>
    </row>
    <row r="11" spans="2:26" ht="17.25" customHeight="1" thickBot="1">
      <c r="B11" s="795"/>
      <c r="C11" s="796"/>
      <c r="D11" s="454"/>
      <c r="E11" s="454"/>
      <c r="F11" s="454"/>
      <c r="G11" s="455"/>
      <c r="H11" s="246"/>
      <c r="I11" s="777"/>
      <c r="J11" s="780"/>
      <c r="K11" s="780"/>
      <c r="L11" s="780"/>
      <c r="M11" s="774"/>
      <c r="N11" s="246"/>
      <c r="O11" s="777"/>
      <c r="P11" s="780"/>
      <c r="Q11" s="780"/>
      <c r="R11" s="780"/>
      <c r="S11" s="774"/>
      <c r="Z11" s="246"/>
    </row>
    <row r="12" spans="2:26" ht="30.75" customHeight="1" thickBot="1">
      <c r="B12" s="795"/>
      <c r="C12" s="796"/>
      <c r="D12" s="802" t="s">
        <v>42</v>
      </c>
      <c r="E12" s="803"/>
      <c r="F12" s="803"/>
      <c r="G12" s="804"/>
      <c r="H12" s="247"/>
      <c r="I12" s="307" t="s">
        <v>43</v>
      </c>
      <c r="J12" s="248" t="s">
        <v>43</v>
      </c>
      <c r="K12" s="248" t="s">
        <v>43</v>
      </c>
      <c r="L12" s="276" t="s">
        <v>43</v>
      </c>
      <c r="M12" s="277" t="s">
        <v>43</v>
      </c>
      <c r="N12" s="246"/>
      <c r="O12" s="307" t="s">
        <v>43</v>
      </c>
      <c r="P12" s="248" t="s">
        <v>43</v>
      </c>
      <c r="Q12" s="248" t="s">
        <v>43</v>
      </c>
      <c r="R12" s="276" t="s">
        <v>43</v>
      </c>
      <c r="S12" s="277" t="s">
        <v>43</v>
      </c>
      <c r="Z12" s="246"/>
    </row>
    <row r="13" spans="2:26" ht="65.25" customHeight="1" thickBot="1">
      <c r="B13" s="795"/>
      <c r="C13" s="796"/>
      <c r="D13" s="754" t="s">
        <v>44</v>
      </c>
      <c r="E13" s="805"/>
      <c r="F13" s="805"/>
      <c r="G13" s="806"/>
      <c r="H13" s="247"/>
      <c r="I13" s="310" t="s">
        <v>100</v>
      </c>
      <c r="J13" s="249" t="s">
        <v>100</v>
      </c>
      <c r="K13" s="249" t="s">
        <v>100</v>
      </c>
      <c r="L13" s="278" t="s">
        <v>100</v>
      </c>
      <c r="M13" s="250" t="s">
        <v>100</v>
      </c>
      <c r="N13" s="246"/>
      <c r="O13" s="310" t="s">
        <v>45</v>
      </c>
      <c r="P13" s="249" t="s">
        <v>45</v>
      </c>
      <c r="Q13" s="249" t="s">
        <v>45</v>
      </c>
      <c r="R13" s="278" t="s">
        <v>45</v>
      </c>
      <c r="S13" s="250" t="s">
        <v>45</v>
      </c>
      <c r="Z13" s="246"/>
    </row>
    <row r="14" spans="2:26" ht="21" customHeight="1" thickBot="1">
      <c r="B14" s="795"/>
      <c r="C14" s="796"/>
      <c r="D14" s="754" t="s">
        <v>46</v>
      </c>
      <c r="E14" s="807"/>
      <c r="F14" s="807"/>
      <c r="G14" s="808"/>
      <c r="H14" s="251"/>
      <c r="I14" s="252" t="s">
        <v>47</v>
      </c>
      <c r="J14" s="253" t="s">
        <v>47</v>
      </c>
      <c r="K14" s="253" t="s">
        <v>47</v>
      </c>
      <c r="L14" s="279" t="s">
        <v>47</v>
      </c>
      <c r="M14" s="254" t="s">
        <v>47</v>
      </c>
      <c r="N14" s="246"/>
      <c r="O14" s="252" t="s">
        <v>47</v>
      </c>
      <c r="P14" s="253" t="s">
        <v>47</v>
      </c>
      <c r="Q14" s="253" t="s">
        <v>47</v>
      </c>
      <c r="R14" s="279" t="s">
        <v>47</v>
      </c>
      <c r="S14" s="254" t="s">
        <v>47</v>
      </c>
      <c r="Z14" s="246"/>
    </row>
    <row r="15" spans="2:26" ht="21" customHeight="1" thickBot="1">
      <c r="B15" s="795"/>
      <c r="C15" s="796"/>
      <c r="D15" s="754" t="s">
        <v>48</v>
      </c>
      <c r="E15" s="807"/>
      <c r="F15" s="807"/>
      <c r="G15" s="808"/>
      <c r="H15" s="251"/>
      <c r="I15" s="252" t="s">
        <v>47</v>
      </c>
      <c r="J15" s="253" t="s">
        <v>47</v>
      </c>
      <c r="K15" s="253" t="s">
        <v>47</v>
      </c>
      <c r="L15" s="279" t="s">
        <v>47</v>
      </c>
      <c r="M15" s="254" t="s">
        <v>47</v>
      </c>
      <c r="N15" s="246"/>
      <c r="O15" s="252" t="s">
        <v>47</v>
      </c>
      <c r="P15" s="253" t="s">
        <v>47</v>
      </c>
      <c r="Q15" s="253" t="s">
        <v>47</v>
      </c>
      <c r="R15" s="279" t="s">
        <v>47</v>
      </c>
      <c r="S15" s="254" t="s">
        <v>47</v>
      </c>
      <c r="Z15" s="246"/>
    </row>
    <row r="16" spans="2:26" ht="21" customHeight="1" thickBot="1">
      <c r="B16" s="797"/>
      <c r="C16" s="798"/>
      <c r="D16" s="713" t="s">
        <v>51</v>
      </c>
      <c r="E16" s="809"/>
      <c r="F16" s="809"/>
      <c r="G16" s="810"/>
      <c r="H16" s="251"/>
      <c r="I16" s="252" t="s">
        <v>47</v>
      </c>
      <c r="J16" s="253" t="s">
        <v>47</v>
      </c>
      <c r="K16" s="253" t="s">
        <v>47</v>
      </c>
      <c r="L16" s="279" t="s">
        <v>47</v>
      </c>
      <c r="M16" s="254" t="s">
        <v>47</v>
      </c>
      <c r="N16" s="246"/>
      <c r="O16" s="252" t="s">
        <v>47</v>
      </c>
      <c r="P16" s="253" t="s">
        <v>47</v>
      </c>
      <c r="Q16" s="253" t="s">
        <v>47</v>
      </c>
      <c r="R16" s="279" t="s">
        <v>47</v>
      </c>
      <c r="S16" s="254" t="s">
        <v>47</v>
      </c>
      <c r="Z16" s="246"/>
    </row>
    <row r="17" spans="1:43" ht="23.25" customHeight="1">
      <c r="I17" s="25" t="s">
        <v>103</v>
      </c>
    </row>
    <row r="18" spans="1:43" ht="23.25" customHeight="1" thickBot="1">
      <c r="I18" s="157"/>
      <c r="J18" s="158" t="s">
        <v>208</v>
      </c>
      <c r="K18" s="157"/>
      <c r="L18" s="157"/>
      <c r="M18" s="157"/>
      <c r="N18" s="157"/>
      <c r="O18" s="157"/>
      <c r="P18" s="158" t="s">
        <v>208</v>
      </c>
      <c r="Q18" s="157"/>
      <c r="R18" s="157"/>
      <c r="S18" s="157"/>
      <c r="U18" s="157"/>
      <c r="V18" s="158" t="s">
        <v>209</v>
      </c>
      <c r="W18" s="157"/>
      <c r="X18" s="157"/>
      <c r="Y18" s="157"/>
      <c r="Z18" s="157"/>
      <c r="AA18" s="157"/>
      <c r="AB18" s="158" t="s">
        <v>209</v>
      </c>
      <c r="AC18" s="157"/>
      <c r="AD18" s="157"/>
      <c r="AE18" s="157"/>
    </row>
    <row r="19" spans="1:43" ht="23.25" customHeight="1">
      <c r="B19" s="788" t="s">
        <v>52</v>
      </c>
      <c r="C19" s="789"/>
      <c r="D19" s="789"/>
      <c r="E19" s="789"/>
      <c r="F19" s="789"/>
      <c r="G19" s="790"/>
      <c r="I19" s="634" t="s">
        <v>53</v>
      </c>
      <c r="J19" s="722"/>
      <c r="K19" s="722"/>
      <c r="L19" s="722"/>
      <c r="M19" s="723"/>
      <c r="N19" s="260"/>
      <c r="O19" s="634" t="s">
        <v>54</v>
      </c>
      <c r="P19" s="722"/>
      <c r="Q19" s="722"/>
      <c r="R19" s="722"/>
      <c r="S19" s="723"/>
      <c r="U19" s="634" t="s">
        <v>105</v>
      </c>
      <c r="V19" s="722"/>
      <c r="W19" s="722"/>
      <c r="X19" s="722"/>
      <c r="Y19" s="723"/>
      <c r="Z19" s="260"/>
      <c r="AA19" s="634" t="s">
        <v>106</v>
      </c>
      <c r="AB19" s="722"/>
      <c r="AC19" s="722"/>
      <c r="AD19" s="722"/>
      <c r="AE19" s="723"/>
    </row>
    <row r="20" spans="1:43" ht="3.75" customHeight="1">
      <c r="B20" s="791"/>
      <c r="C20" s="792"/>
      <c r="D20" s="792"/>
      <c r="E20" s="792"/>
      <c r="F20" s="792"/>
      <c r="G20" s="793"/>
      <c r="I20" s="259"/>
      <c r="J20" s="259"/>
      <c r="K20" s="260"/>
      <c r="L20" s="260"/>
      <c r="M20" s="260"/>
      <c r="N20" s="260"/>
      <c r="O20" s="259"/>
      <c r="P20" s="259"/>
      <c r="Q20" s="260"/>
      <c r="R20" s="260"/>
      <c r="S20" s="260"/>
      <c r="U20" s="259"/>
      <c r="V20" s="259"/>
      <c r="W20" s="260"/>
      <c r="X20" s="260"/>
      <c r="Y20" s="260"/>
      <c r="Z20" s="260"/>
      <c r="AA20" s="259"/>
      <c r="AB20" s="259"/>
      <c r="AC20" s="260"/>
      <c r="AD20" s="260"/>
      <c r="AE20" s="260"/>
    </row>
    <row r="21" spans="1:43" ht="33.75" customHeight="1">
      <c r="B21" s="791"/>
      <c r="C21" s="792"/>
      <c r="D21" s="792"/>
      <c r="E21" s="792"/>
      <c r="F21" s="792"/>
      <c r="G21" s="793"/>
      <c r="I21" s="641" t="s">
        <v>55</v>
      </c>
      <c r="J21" s="642"/>
      <c r="K21" s="642"/>
      <c r="L21" s="642"/>
      <c r="M21" s="643"/>
      <c r="N21" s="243"/>
      <c r="O21" s="641" t="s">
        <v>55</v>
      </c>
      <c r="P21" s="642"/>
      <c r="Q21" s="642"/>
      <c r="R21" s="642"/>
      <c r="S21" s="643"/>
      <c r="U21" s="641" t="s">
        <v>55</v>
      </c>
      <c r="V21" s="642"/>
      <c r="W21" s="642"/>
      <c r="X21" s="642"/>
      <c r="Y21" s="643"/>
      <c r="Z21" s="243"/>
      <c r="AA21" s="641" t="s">
        <v>55</v>
      </c>
      <c r="AB21" s="642"/>
      <c r="AC21" s="642"/>
      <c r="AD21" s="642"/>
      <c r="AE21" s="643"/>
    </row>
    <row r="22" spans="1:43" s="150" customFormat="1" ht="3.75" customHeight="1">
      <c r="B22" s="791"/>
      <c r="C22" s="792"/>
      <c r="D22" s="792"/>
      <c r="E22" s="792"/>
      <c r="F22" s="792"/>
      <c r="G22" s="793"/>
      <c r="I22" s="261"/>
      <c r="J22" s="262"/>
      <c r="K22" s="262"/>
      <c r="L22" s="262"/>
      <c r="M22" s="271"/>
      <c r="N22" s="243"/>
      <c r="O22" s="261"/>
      <c r="P22" s="262"/>
      <c r="Q22" s="262"/>
      <c r="R22" s="262"/>
      <c r="S22" s="271"/>
      <c r="U22" s="261"/>
      <c r="V22" s="262"/>
      <c r="W22" s="262"/>
      <c r="X22" s="262"/>
      <c r="Y22" s="271"/>
      <c r="Z22" s="243"/>
      <c r="AA22" s="261"/>
      <c r="AB22" s="262"/>
      <c r="AC22" s="262"/>
      <c r="AD22" s="262"/>
      <c r="AE22" s="271"/>
    </row>
    <row r="23" spans="1:43" ht="30" customHeight="1">
      <c r="B23" s="791"/>
      <c r="C23" s="792"/>
      <c r="D23" s="792"/>
      <c r="E23" s="792"/>
      <c r="F23" s="792"/>
      <c r="G23" s="793"/>
      <c r="H23" s="263"/>
      <c r="I23" s="304" t="s">
        <v>36</v>
      </c>
      <c r="J23" s="304" t="s">
        <v>37</v>
      </c>
      <c r="K23" s="304" t="s">
        <v>38</v>
      </c>
      <c r="L23" s="149" t="s">
        <v>39</v>
      </c>
      <c r="M23" s="149" t="s">
        <v>175</v>
      </c>
      <c r="N23" s="243"/>
      <c r="O23" s="304" t="s">
        <v>36</v>
      </c>
      <c r="P23" s="304" t="s">
        <v>37</v>
      </c>
      <c r="Q23" s="304" t="s">
        <v>38</v>
      </c>
      <c r="R23" s="149" t="s">
        <v>39</v>
      </c>
      <c r="S23" s="149" t="s">
        <v>175</v>
      </c>
      <c r="U23" s="304" t="s">
        <v>36</v>
      </c>
      <c r="V23" s="304" t="s">
        <v>37</v>
      </c>
      <c r="W23" s="304" t="s">
        <v>38</v>
      </c>
      <c r="X23" s="149" t="s">
        <v>39</v>
      </c>
      <c r="Y23" s="149" t="s">
        <v>175</v>
      </c>
      <c r="Z23" s="243"/>
      <c r="AA23" s="304" t="s">
        <v>36</v>
      </c>
      <c r="AB23" s="304" t="s">
        <v>37</v>
      </c>
      <c r="AC23" s="304" t="s">
        <v>38</v>
      </c>
      <c r="AD23" s="149" t="s">
        <v>39</v>
      </c>
      <c r="AE23" s="149" t="s">
        <v>175</v>
      </c>
    </row>
    <row r="24" spans="1:43" s="301" customFormat="1" ht="3.75" customHeight="1">
      <c r="B24" s="302"/>
      <c r="G24" s="303"/>
      <c r="I24" s="302"/>
      <c r="L24" s="303"/>
      <c r="M24" s="303"/>
      <c r="O24" s="302"/>
      <c r="R24" s="303"/>
      <c r="S24" s="303"/>
      <c r="U24" s="302"/>
      <c r="X24" s="303"/>
      <c r="Y24" s="303"/>
      <c r="AA24" s="302"/>
      <c r="AD24" s="303"/>
      <c r="AE24" s="30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</row>
    <row r="25" spans="1:43" ht="48.75" customHeight="1">
      <c r="B25" s="226" t="s">
        <v>56</v>
      </c>
      <c r="C25" s="8" t="s">
        <v>57</v>
      </c>
      <c r="D25" s="9" t="s">
        <v>58</v>
      </c>
      <c r="E25" s="101" t="s">
        <v>123</v>
      </c>
      <c r="F25" s="226" t="s">
        <v>59</v>
      </c>
      <c r="G25" s="316"/>
      <c r="H25" s="243"/>
      <c r="I25" s="10" t="s">
        <v>168</v>
      </c>
      <c r="J25" s="10" t="s">
        <v>168</v>
      </c>
      <c r="K25" s="10" t="s">
        <v>168</v>
      </c>
      <c r="L25" s="10" t="s">
        <v>168</v>
      </c>
      <c r="M25" s="10" t="s">
        <v>168</v>
      </c>
      <c r="N25" s="243"/>
      <c r="O25" s="10" t="s">
        <v>168</v>
      </c>
      <c r="P25" s="10" t="s">
        <v>168</v>
      </c>
      <c r="Q25" s="10" t="s">
        <v>168</v>
      </c>
      <c r="R25" s="10" t="s">
        <v>168</v>
      </c>
      <c r="S25" s="10" t="s">
        <v>168</v>
      </c>
      <c r="U25" s="10" t="s">
        <v>119</v>
      </c>
      <c r="V25" s="10" t="s">
        <v>119</v>
      </c>
      <c r="W25" s="10" t="s">
        <v>119</v>
      </c>
      <c r="X25" s="10" t="s">
        <v>119</v>
      </c>
      <c r="Y25" s="10" t="s">
        <v>119</v>
      </c>
      <c r="Z25" s="243"/>
      <c r="AA25" s="10" t="s">
        <v>119</v>
      </c>
      <c r="AB25" s="10" t="s">
        <v>119</v>
      </c>
      <c r="AC25" s="10" t="s">
        <v>119</v>
      </c>
      <c r="AD25" s="10" t="s">
        <v>119</v>
      </c>
      <c r="AE25" s="10" t="s">
        <v>119</v>
      </c>
    </row>
    <row r="26" spans="1:43">
      <c r="A26" s="109"/>
      <c r="B26" s="280" t="s">
        <v>64</v>
      </c>
      <c r="C26" s="281" t="s">
        <v>189</v>
      </c>
      <c r="D26" s="529">
        <v>0</v>
      </c>
      <c r="E26" s="530">
        <v>1.1000000000000001</v>
      </c>
      <c r="F26" s="234" t="s">
        <v>284</v>
      </c>
      <c r="G26" s="514"/>
      <c r="H26" s="264"/>
      <c r="I26" s="282">
        <v>0</v>
      </c>
      <c r="J26" s="282">
        <v>0</v>
      </c>
      <c r="K26" s="282">
        <v>0</v>
      </c>
      <c r="L26" s="282">
        <v>0</v>
      </c>
      <c r="M26" s="283">
        <v>0</v>
      </c>
      <c r="N26" s="284"/>
      <c r="O26" s="282">
        <v>0</v>
      </c>
      <c r="P26" s="282">
        <v>0</v>
      </c>
      <c r="Q26" s="282">
        <v>0</v>
      </c>
      <c r="R26" s="282">
        <v>0</v>
      </c>
      <c r="S26" s="283">
        <v>0</v>
      </c>
      <c r="U26" s="282" t="s">
        <v>15</v>
      </c>
      <c r="V26" s="282" t="s">
        <v>15</v>
      </c>
      <c r="W26" s="282" t="s">
        <v>15</v>
      </c>
      <c r="X26" s="282" t="s">
        <v>15</v>
      </c>
      <c r="Y26" s="283" t="s">
        <v>15</v>
      </c>
      <c r="Z26" s="284"/>
      <c r="AA26" s="282" t="s">
        <v>15</v>
      </c>
      <c r="AB26" s="282" t="s">
        <v>15</v>
      </c>
      <c r="AC26" s="282" t="s">
        <v>15</v>
      </c>
      <c r="AD26" s="282" t="s">
        <v>15</v>
      </c>
      <c r="AE26" s="283" t="s">
        <v>15</v>
      </c>
    </row>
    <row r="27" spans="1:43">
      <c r="B27" s="273" t="s">
        <v>64</v>
      </c>
      <c r="C27" s="286" t="s">
        <v>385</v>
      </c>
      <c r="D27" s="531">
        <v>239</v>
      </c>
      <c r="E27" s="532">
        <v>3.75</v>
      </c>
      <c r="F27" s="237" t="s">
        <v>284</v>
      </c>
      <c r="G27" s="314"/>
      <c r="H27" s="264"/>
      <c r="I27" s="267">
        <v>58</v>
      </c>
      <c r="J27" s="267">
        <v>83</v>
      </c>
      <c r="K27" s="267">
        <v>108</v>
      </c>
      <c r="L27" s="267">
        <v>120</v>
      </c>
      <c r="M27" s="268">
        <v>120</v>
      </c>
      <c r="N27" s="284"/>
      <c r="O27" s="267">
        <v>105</v>
      </c>
      <c r="P27" s="267">
        <v>110</v>
      </c>
      <c r="Q27" s="267">
        <v>120</v>
      </c>
      <c r="R27" s="267">
        <v>120</v>
      </c>
      <c r="S27" s="268">
        <v>120</v>
      </c>
      <c r="U27" s="267">
        <v>123</v>
      </c>
      <c r="V27" s="267">
        <v>73</v>
      </c>
      <c r="W27" s="267">
        <v>24</v>
      </c>
      <c r="X27" s="267">
        <v>0</v>
      </c>
      <c r="Y27" s="268">
        <v>0</v>
      </c>
      <c r="Z27" s="284"/>
      <c r="AA27" s="267">
        <v>29</v>
      </c>
      <c r="AB27" s="267">
        <v>19</v>
      </c>
      <c r="AC27" s="267">
        <v>0</v>
      </c>
      <c r="AD27" s="267">
        <v>0</v>
      </c>
      <c r="AE27" s="268">
        <v>0</v>
      </c>
    </row>
    <row r="28" spans="1:43">
      <c r="A28" s="109"/>
      <c r="B28" s="280" t="s">
        <v>64</v>
      </c>
      <c r="C28" s="281" t="s">
        <v>386</v>
      </c>
      <c r="D28" s="533">
        <v>0</v>
      </c>
      <c r="E28" s="534">
        <v>3.75</v>
      </c>
      <c r="F28" s="239" t="s">
        <v>284</v>
      </c>
      <c r="G28" s="315"/>
      <c r="H28" s="264"/>
      <c r="I28" s="265">
        <v>0</v>
      </c>
      <c r="J28" s="265">
        <v>0</v>
      </c>
      <c r="K28" s="265">
        <v>0</v>
      </c>
      <c r="L28" s="265">
        <v>0</v>
      </c>
      <c r="M28" s="266">
        <v>0</v>
      </c>
      <c r="N28" s="284"/>
      <c r="O28" s="265">
        <v>0</v>
      </c>
      <c r="P28" s="265">
        <v>0</v>
      </c>
      <c r="Q28" s="265">
        <v>0</v>
      </c>
      <c r="R28" s="265">
        <v>0</v>
      </c>
      <c r="S28" s="266">
        <v>0</v>
      </c>
      <c r="U28" s="265" t="s">
        <v>15</v>
      </c>
      <c r="V28" s="265" t="s">
        <v>15</v>
      </c>
      <c r="W28" s="265" t="s">
        <v>15</v>
      </c>
      <c r="X28" s="265" t="s">
        <v>15</v>
      </c>
      <c r="Y28" s="266" t="s">
        <v>15</v>
      </c>
      <c r="Z28" s="284"/>
      <c r="AA28" s="265" t="s">
        <v>15</v>
      </c>
      <c r="AB28" s="265" t="s">
        <v>15</v>
      </c>
      <c r="AC28" s="265" t="s">
        <v>15</v>
      </c>
      <c r="AD28" s="265" t="s">
        <v>15</v>
      </c>
      <c r="AE28" s="266" t="s">
        <v>15</v>
      </c>
    </row>
    <row r="29" spans="1:43">
      <c r="B29" s="273" t="s">
        <v>346</v>
      </c>
      <c r="C29" s="286" t="s">
        <v>347</v>
      </c>
      <c r="D29" s="531">
        <v>64</v>
      </c>
      <c r="E29" s="532">
        <v>1.1000000000000001</v>
      </c>
      <c r="F29" s="237" t="s">
        <v>4</v>
      </c>
      <c r="G29" s="314"/>
      <c r="H29" s="264"/>
      <c r="I29" s="267">
        <v>32</v>
      </c>
      <c r="J29" s="267">
        <v>32</v>
      </c>
      <c r="K29" s="267">
        <v>0</v>
      </c>
      <c r="L29" s="267">
        <v>0</v>
      </c>
      <c r="M29" s="268">
        <v>0</v>
      </c>
      <c r="N29" s="284"/>
      <c r="O29" s="267">
        <v>32</v>
      </c>
      <c r="P29" s="267">
        <v>0</v>
      </c>
      <c r="Q29" s="267">
        <v>0</v>
      </c>
      <c r="R29" s="267">
        <v>0</v>
      </c>
      <c r="S29" s="268">
        <v>0</v>
      </c>
      <c r="U29" s="267">
        <v>0</v>
      </c>
      <c r="V29" s="267">
        <v>0</v>
      </c>
      <c r="W29" s="267" t="s">
        <v>15</v>
      </c>
      <c r="X29" s="267" t="s">
        <v>15</v>
      </c>
      <c r="Y29" s="268" t="s">
        <v>15</v>
      </c>
      <c r="Z29" s="284"/>
      <c r="AA29" s="267">
        <v>0</v>
      </c>
      <c r="AB29" s="267" t="s">
        <v>15</v>
      </c>
      <c r="AC29" s="267" t="s">
        <v>15</v>
      </c>
      <c r="AD29" s="267" t="s">
        <v>15</v>
      </c>
      <c r="AE29" s="268" t="s">
        <v>15</v>
      </c>
    </row>
    <row r="30" spans="1:43">
      <c r="A30" s="109"/>
      <c r="B30" s="280" t="s">
        <v>533</v>
      </c>
      <c r="C30" s="281" t="s">
        <v>534</v>
      </c>
      <c r="D30" s="529">
        <v>77</v>
      </c>
      <c r="E30" s="535">
        <v>1.1000000000000001</v>
      </c>
      <c r="F30" s="239" t="s">
        <v>4</v>
      </c>
      <c r="G30" s="315"/>
      <c r="H30" s="264"/>
      <c r="I30" s="282">
        <v>39</v>
      </c>
      <c r="J30" s="282">
        <v>39</v>
      </c>
      <c r="K30" s="282">
        <v>0</v>
      </c>
      <c r="L30" s="282">
        <v>0</v>
      </c>
      <c r="M30" s="283">
        <v>0</v>
      </c>
      <c r="N30" s="284"/>
      <c r="O30" s="282">
        <v>39</v>
      </c>
      <c r="P30" s="282">
        <v>0</v>
      </c>
      <c r="Q30" s="282">
        <v>0</v>
      </c>
      <c r="R30" s="282">
        <v>0</v>
      </c>
      <c r="S30" s="283">
        <v>0</v>
      </c>
      <c r="T30" s="109"/>
      <c r="U30" s="282">
        <v>0</v>
      </c>
      <c r="V30" s="282">
        <v>0</v>
      </c>
      <c r="W30" s="282" t="s">
        <v>15</v>
      </c>
      <c r="X30" s="282" t="s">
        <v>15</v>
      </c>
      <c r="Y30" s="283" t="s">
        <v>15</v>
      </c>
      <c r="Z30" s="284"/>
      <c r="AA30" s="282">
        <v>0</v>
      </c>
      <c r="AB30" s="282" t="s">
        <v>15</v>
      </c>
      <c r="AC30" s="282" t="s">
        <v>15</v>
      </c>
      <c r="AD30" s="282" t="s">
        <v>15</v>
      </c>
      <c r="AE30" s="283" t="s">
        <v>15</v>
      </c>
    </row>
    <row r="31" spans="1:43">
      <c r="B31" s="273" t="s">
        <v>62</v>
      </c>
      <c r="C31" s="286" t="s">
        <v>584</v>
      </c>
      <c r="D31" s="531">
        <v>137</v>
      </c>
      <c r="E31" s="532">
        <v>0</v>
      </c>
      <c r="F31" s="237" t="s">
        <v>458</v>
      </c>
      <c r="G31" s="314"/>
      <c r="H31" s="264"/>
      <c r="I31" s="267">
        <v>20</v>
      </c>
      <c r="J31" s="267">
        <v>30</v>
      </c>
      <c r="K31" s="267">
        <v>41</v>
      </c>
      <c r="L31" s="267">
        <v>50</v>
      </c>
      <c r="M31" s="268">
        <v>66</v>
      </c>
      <c r="N31" s="284"/>
      <c r="O31" s="267">
        <v>34</v>
      </c>
      <c r="P31" s="267">
        <v>43</v>
      </c>
      <c r="Q31" s="267">
        <v>58</v>
      </c>
      <c r="R31" s="267">
        <v>80</v>
      </c>
      <c r="S31" s="268">
        <v>115</v>
      </c>
      <c r="T31" s="109"/>
      <c r="U31" s="267">
        <v>98</v>
      </c>
      <c r="V31" s="267">
        <v>78</v>
      </c>
      <c r="W31" s="267">
        <v>54.999999999999886</v>
      </c>
      <c r="X31" s="267">
        <v>38</v>
      </c>
      <c r="Y31" s="268">
        <v>5</v>
      </c>
      <c r="Z31" s="284"/>
      <c r="AA31" s="267">
        <v>69.500000000000028</v>
      </c>
      <c r="AB31" s="267">
        <v>50.5</v>
      </c>
      <c r="AC31" s="267">
        <v>22</v>
      </c>
      <c r="AD31" s="267">
        <v>-22.5</v>
      </c>
      <c r="AE31" s="268">
        <v>-92.5</v>
      </c>
    </row>
    <row r="32" spans="1:43">
      <c r="A32" s="109"/>
      <c r="B32" s="280" t="s">
        <v>62</v>
      </c>
      <c r="C32" s="281" t="s">
        <v>585</v>
      </c>
      <c r="D32" s="529">
        <v>184</v>
      </c>
      <c r="E32" s="535">
        <v>0</v>
      </c>
      <c r="F32" s="239" t="s">
        <v>458</v>
      </c>
      <c r="G32" s="315"/>
      <c r="H32" s="264"/>
      <c r="I32" s="265">
        <v>26</v>
      </c>
      <c r="J32" s="265">
        <v>36</v>
      </c>
      <c r="K32" s="265">
        <v>48</v>
      </c>
      <c r="L32" s="265">
        <v>56</v>
      </c>
      <c r="M32" s="266">
        <v>73</v>
      </c>
      <c r="N32" s="284"/>
      <c r="O32" s="265">
        <v>34</v>
      </c>
      <c r="P32" s="265">
        <v>43</v>
      </c>
      <c r="Q32" s="265">
        <v>58</v>
      </c>
      <c r="R32" s="265">
        <v>80</v>
      </c>
      <c r="S32" s="266">
        <v>115</v>
      </c>
      <c r="T32" s="109"/>
      <c r="U32" s="265">
        <v>132</v>
      </c>
      <c r="V32" s="265">
        <v>112</v>
      </c>
      <c r="W32" s="265">
        <v>88.999999999999886</v>
      </c>
      <c r="X32" s="265">
        <v>72</v>
      </c>
      <c r="Y32" s="266">
        <v>39</v>
      </c>
      <c r="Z32" s="284"/>
      <c r="AA32" s="265">
        <v>116.50000000000003</v>
      </c>
      <c r="AB32" s="265">
        <v>97.5</v>
      </c>
      <c r="AC32" s="265">
        <v>69</v>
      </c>
      <c r="AD32" s="265">
        <v>24.5</v>
      </c>
      <c r="AE32" s="266">
        <v>-45.5</v>
      </c>
    </row>
    <row r="33" spans="1:31">
      <c r="B33" s="273" t="s">
        <v>62</v>
      </c>
      <c r="C33" s="286" t="s">
        <v>420</v>
      </c>
      <c r="D33" s="531">
        <v>279</v>
      </c>
      <c r="E33" s="532">
        <v>0</v>
      </c>
      <c r="F33" s="237" t="s">
        <v>458</v>
      </c>
      <c r="G33" s="314"/>
      <c r="H33" s="264"/>
      <c r="I33" s="267">
        <v>44</v>
      </c>
      <c r="J33" s="267">
        <v>54</v>
      </c>
      <c r="K33" s="267">
        <v>66</v>
      </c>
      <c r="L33" s="267">
        <v>74</v>
      </c>
      <c r="M33" s="268">
        <v>91</v>
      </c>
      <c r="N33" s="284"/>
      <c r="O33" s="267">
        <v>52</v>
      </c>
      <c r="P33" s="267">
        <v>62</v>
      </c>
      <c r="Q33" s="267">
        <v>76</v>
      </c>
      <c r="R33" s="267">
        <v>98</v>
      </c>
      <c r="S33" s="268">
        <v>133</v>
      </c>
      <c r="T33" s="109"/>
      <c r="U33" s="267">
        <v>190.46</v>
      </c>
      <c r="V33" s="267">
        <v>170.46</v>
      </c>
      <c r="W33" s="267">
        <v>147.45999999999989</v>
      </c>
      <c r="X33" s="267">
        <v>130.46</v>
      </c>
      <c r="Y33" s="268">
        <v>97.460000000000008</v>
      </c>
      <c r="Z33" s="284"/>
      <c r="AA33" s="267">
        <v>174.96000000000004</v>
      </c>
      <c r="AB33" s="267">
        <v>155.96</v>
      </c>
      <c r="AC33" s="267">
        <v>127.46000000000001</v>
      </c>
      <c r="AD33" s="267">
        <v>82.960000000000008</v>
      </c>
      <c r="AE33" s="268">
        <v>12.960000000000008</v>
      </c>
    </row>
    <row r="34" spans="1:31">
      <c r="A34" s="109"/>
      <c r="B34" s="280" t="s">
        <v>62</v>
      </c>
      <c r="C34" s="281" t="s">
        <v>586</v>
      </c>
      <c r="D34" s="529">
        <v>532</v>
      </c>
      <c r="E34" s="535">
        <v>2.5</v>
      </c>
      <c r="F34" s="239" t="s">
        <v>459</v>
      </c>
      <c r="G34" s="315"/>
      <c r="H34" s="264"/>
      <c r="I34" s="282">
        <v>26</v>
      </c>
      <c r="J34" s="282">
        <v>69</v>
      </c>
      <c r="K34" s="282">
        <v>81</v>
      </c>
      <c r="L34" s="282">
        <v>89</v>
      </c>
      <c r="M34" s="283">
        <v>106</v>
      </c>
      <c r="N34" s="284"/>
      <c r="O34" s="282">
        <v>34</v>
      </c>
      <c r="P34" s="282">
        <v>76</v>
      </c>
      <c r="Q34" s="282">
        <v>91</v>
      </c>
      <c r="R34" s="282">
        <v>113</v>
      </c>
      <c r="S34" s="283">
        <v>148</v>
      </c>
      <c r="T34" s="109"/>
      <c r="U34" s="282">
        <v>480</v>
      </c>
      <c r="V34" s="282">
        <v>393.81</v>
      </c>
      <c r="W34" s="282">
        <v>370.80999999999989</v>
      </c>
      <c r="X34" s="282">
        <v>353.81</v>
      </c>
      <c r="Y34" s="283">
        <v>320.81</v>
      </c>
      <c r="Z34" s="284"/>
      <c r="AA34" s="282">
        <v>464.5</v>
      </c>
      <c r="AB34" s="282">
        <v>379.31</v>
      </c>
      <c r="AC34" s="282">
        <v>350.81</v>
      </c>
      <c r="AD34" s="282">
        <v>306.31</v>
      </c>
      <c r="AE34" s="283">
        <v>236.31</v>
      </c>
    </row>
    <row r="35" spans="1:31">
      <c r="B35" s="273" t="s">
        <v>62</v>
      </c>
      <c r="C35" s="286" t="s">
        <v>587</v>
      </c>
      <c r="D35" s="531">
        <v>555</v>
      </c>
      <c r="E35" s="532">
        <v>2.5</v>
      </c>
      <c r="F35" s="237" t="s">
        <v>459</v>
      </c>
      <c r="G35" s="314"/>
      <c r="H35" s="264"/>
      <c r="I35" s="267">
        <v>26</v>
      </c>
      <c r="J35" s="267">
        <v>69</v>
      </c>
      <c r="K35" s="267">
        <v>81</v>
      </c>
      <c r="L35" s="267">
        <v>89</v>
      </c>
      <c r="M35" s="268">
        <v>106</v>
      </c>
      <c r="N35" s="284"/>
      <c r="O35" s="267">
        <v>34</v>
      </c>
      <c r="P35" s="267">
        <v>77</v>
      </c>
      <c r="Q35" s="267">
        <v>91</v>
      </c>
      <c r="R35" s="267">
        <v>113</v>
      </c>
      <c r="S35" s="268">
        <v>148</v>
      </c>
      <c r="T35" s="109"/>
      <c r="U35" s="267">
        <v>503</v>
      </c>
      <c r="V35" s="267">
        <v>416.25</v>
      </c>
      <c r="W35" s="267">
        <v>393.24999999999989</v>
      </c>
      <c r="X35" s="267">
        <v>376.25</v>
      </c>
      <c r="Y35" s="268">
        <v>343.25</v>
      </c>
      <c r="Z35" s="284"/>
      <c r="AA35" s="267">
        <v>487.5</v>
      </c>
      <c r="AB35" s="267">
        <v>401.75</v>
      </c>
      <c r="AC35" s="267">
        <v>373.25</v>
      </c>
      <c r="AD35" s="267">
        <v>328.75</v>
      </c>
      <c r="AE35" s="268">
        <v>258.75</v>
      </c>
    </row>
    <row r="36" spans="1:31">
      <c r="A36" s="109"/>
      <c r="B36" s="280" t="s">
        <v>346</v>
      </c>
      <c r="C36" s="281" t="s">
        <v>387</v>
      </c>
      <c r="D36" s="533">
        <v>71</v>
      </c>
      <c r="E36" s="534">
        <v>0</v>
      </c>
      <c r="F36" s="239" t="s">
        <v>458</v>
      </c>
      <c r="G36" s="315"/>
      <c r="H36" s="264"/>
      <c r="I36" s="265">
        <v>36</v>
      </c>
      <c r="J36" s="265">
        <v>36</v>
      </c>
      <c r="K36" s="265">
        <v>36</v>
      </c>
      <c r="L36" s="265">
        <v>36</v>
      </c>
      <c r="M36" s="266">
        <v>36</v>
      </c>
      <c r="N36" s="284"/>
      <c r="O36" s="265">
        <v>36</v>
      </c>
      <c r="P36" s="265">
        <v>36</v>
      </c>
      <c r="Q36" s="265">
        <v>36</v>
      </c>
      <c r="R36" s="265">
        <v>36</v>
      </c>
      <c r="S36" s="266">
        <v>36</v>
      </c>
      <c r="U36" s="265">
        <v>0</v>
      </c>
      <c r="V36" s="265">
        <v>0</v>
      </c>
      <c r="W36" s="265">
        <v>0</v>
      </c>
      <c r="X36" s="265">
        <v>0</v>
      </c>
      <c r="Y36" s="266">
        <v>0</v>
      </c>
      <c r="Z36" s="284"/>
      <c r="AA36" s="265">
        <v>0</v>
      </c>
      <c r="AB36" s="265">
        <v>0</v>
      </c>
      <c r="AC36" s="265">
        <v>0</v>
      </c>
      <c r="AD36" s="265">
        <v>0</v>
      </c>
      <c r="AE36" s="266">
        <v>0</v>
      </c>
    </row>
    <row r="37" spans="1:31">
      <c r="B37" s="273" t="s">
        <v>346</v>
      </c>
      <c r="C37" s="286" t="s">
        <v>388</v>
      </c>
      <c r="D37" s="531">
        <v>49</v>
      </c>
      <c r="E37" s="532">
        <v>0</v>
      </c>
      <c r="F37" s="237" t="s">
        <v>458</v>
      </c>
      <c r="G37" s="314"/>
      <c r="H37" s="264"/>
      <c r="I37" s="267">
        <v>25</v>
      </c>
      <c r="J37" s="267">
        <v>25</v>
      </c>
      <c r="K37" s="267">
        <v>25</v>
      </c>
      <c r="L37" s="267">
        <v>25</v>
      </c>
      <c r="M37" s="268">
        <v>25</v>
      </c>
      <c r="N37" s="284"/>
      <c r="O37" s="267">
        <v>25</v>
      </c>
      <c r="P37" s="267">
        <v>25</v>
      </c>
      <c r="Q37" s="267">
        <v>25</v>
      </c>
      <c r="R37" s="267">
        <v>25</v>
      </c>
      <c r="S37" s="268">
        <v>25</v>
      </c>
      <c r="U37" s="267">
        <v>0</v>
      </c>
      <c r="V37" s="267">
        <v>0</v>
      </c>
      <c r="W37" s="267">
        <v>0</v>
      </c>
      <c r="X37" s="267">
        <v>0</v>
      </c>
      <c r="Y37" s="268">
        <v>0</v>
      </c>
      <c r="Z37" s="284"/>
      <c r="AA37" s="267">
        <v>0</v>
      </c>
      <c r="AB37" s="267">
        <v>0</v>
      </c>
      <c r="AC37" s="267">
        <v>0</v>
      </c>
      <c r="AD37" s="267">
        <v>0</v>
      </c>
      <c r="AE37" s="268">
        <v>0</v>
      </c>
    </row>
    <row r="38" spans="1:31">
      <c r="A38" s="109"/>
      <c r="B38" s="280" t="s">
        <v>65</v>
      </c>
      <c r="C38" s="281" t="s">
        <v>564</v>
      </c>
      <c r="D38" s="529">
        <v>172</v>
      </c>
      <c r="E38" s="535">
        <v>0</v>
      </c>
      <c r="F38" s="239" t="s">
        <v>458</v>
      </c>
      <c r="G38" s="315"/>
      <c r="H38" s="264"/>
      <c r="I38" s="282">
        <v>41</v>
      </c>
      <c r="J38" s="282">
        <v>51</v>
      </c>
      <c r="K38" s="282">
        <v>63</v>
      </c>
      <c r="L38" s="282">
        <v>71</v>
      </c>
      <c r="M38" s="283">
        <v>88</v>
      </c>
      <c r="N38" s="284"/>
      <c r="O38" s="282">
        <v>49</v>
      </c>
      <c r="P38" s="282">
        <v>58</v>
      </c>
      <c r="Q38" s="282">
        <v>73</v>
      </c>
      <c r="R38" s="282">
        <v>95</v>
      </c>
      <c r="S38" s="283">
        <v>130</v>
      </c>
      <c r="U38" s="282">
        <v>90</v>
      </c>
      <c r="V38" s="282">
        <v>70</v>
      </c>
      <c r="W38" s="282">
        <v>46.999999999999886</v>
      </c>
      <c r="X38" s="282">
        <v>30</v>
      </c>
      <c r="Y38" s="283">
        <v>-3</v>
      </c>
      <c r="Z38" s="284"/>
      <c r="AA38" s="282">
        <v>74.500000000000028</v>
      </c>
      <c r="AB38" s="282">
        <v>55.5</v>
      </c>
      <c r="AC38" s="282">
        <v>27</v>
      </c>
      <c r="AD38" s="282">
        <v>-17.5</v>
      </c>
      <c r="AE38" s="283">
        <v>-87.5</v>
      </c>
    </row>
    <row r="39" spans="1:31">
      <c r="B39" s="273" t="s">
        <v>65</v>
      </c>
      <c r="C39" s="286" t="s">
        <v>565</v>
      </c>
      <c r="D39" s="531">
        <v>240</v>
      </c>
      <c r="E39" s="532">
        <v>0</v>
      </c>
      <c r="F39" s="237" t="s">
        <v>458</v>
      </c>
      <c r="G39" s="314"/>
      <c r="H39" s="264"/>
      <c r="I39" s="267">
        <v>52</v>
      </c>
      <c r="J39" s="267">
        <v>62</v>
      </c>
      <c r="K39" s="267">
        <v>73</v>
      </c>
      <c r="L39" s="267">
        <v>82</v>
      </c>
      <c r="M39" s="268">
        <v>98</v>
      </c>
      <c r="N39" s="284"/>
      <c r="O39" s="267">
        <v>59</v>
      </c>
      <c r="P39" s="267">
        <v>69</v>
      </c>
      <c r="Q39" s="267">
        <v>83</v>
      </c>
      <c r="R39" s="267">
        <v>105</v>
      </c>
      <c r="S39" s="268">
        <v>140</v>
      </c>
      <c r="U39" s="267">
        <v>137</v>
      </c>
      <c r="V39" s="267">
        <v>117</v>
      </c>
      <c r="W39" s="267">
        <v>93.999999999999886</v>
      </c>
      <c r="X39" s="267">
        <v>77</v>
      </c>
      <c r="Y39" s="268">
        <v>44</v>
      </c>
      <c r="Z39" s="284"/>
      <c r="AA39" s="267">
        <v>121.50000000000003</v>
      </c>
      <c r="AB39" s="267">
        <v>102.5</v>
      </c>
      <c r="AC39" s="267">
        <v>74</v>
      </c>
      <c r="AD39" s="267">
        <v>29.5</v>
      </c>
      <c r="AE39" s="268">
        <v>-40.5</v>
      </c>
    </row>
    <row r="40" spans="1:31">
      <c r="A40" s="109"/>
      <c r="B40" s="280" t="s">
        <v>115</v>
      </c>
      <c r="C40" s="281" t="s">
        <v>407</v>
      </c>
      <c r="D40" s="529">
        <v>44</v>
      </c>
      <c r="E40" s="535">
        <v>0</v>
      </c>
      <c r="F40" s="239" t="s">
        <v>458</v>
      </c>
      <c r="G40" s="315"/>
      <c r="H40" s="264"/>
      <c r="I40" s="265">
        <v>22</v>
      </c>
      <c r="J40" s="265">
        <v>22</v>
      </c>
      <c r="K40" s="265">
        <v>22</v>
      </c>
      <c r="L40" s="265">
        <v>22</v>
      </c>
      <c r="M40" s="266">
        <v>22</v>
      </c>
      <c r="N40" s="284"/>
      <c r="O40" s="265">
        <v>22</v>
      </c>
      <c r="P40" s="265">
        <v>22</v>
      </c>
      <c r="Q40" s="265">
        <v>22</v>
      </c>
      <c r="R40" s="265">
        <v>22</v>
      </c>
      <c r="S40" s="266">
        <v>22</v>
      </c>
      <c r="T40" s="109"/>
      <c r="U40" s="265">
        <v>0</v>
      </c>
      <c r="V40" s="265">
        <v>0</v>
      </c>
      <c r="W40" s="265">
        <v>0</v>
      </c>
      <c r="X40" s="265">
        <v>0</v>
      </c>
      <c r="Y40" s="266">
        <v>0</v>
      </c>
      <c r="Z40" s="284"/>
      <c r="AA40" s="265">
        <v>0</v>
      </c>
      <c r="AB40" s="265">
        <v>0</v>
      </c>
      <c r="AC40" s="265">
        <v>0</v>
      </c>
      <c r="AD40" s="265">
        <v>0</v>
      </c>
      <c r="AE40" s="266">
        <v>0</v>
      </c>
    </row>
    <row r="41" spans="1:31">
      <c r="B41" s="273" t="s">
        <v>115</v>
      </c>
      <c r="C41" s="286" t="s">
        <v>408</v>
      </c>
      <c r="D41" s="531">
        <v>77</v>
      </c>
      <c r="E41" s="532">
        <v>0</v>
      </c>
      <c r="F41" s="237" t="s">
        <v>458</v>
      </c>
      <c r="G41" s="314"/>
      <c r="H41" s="264"/>
      <c r="I41" s="267">
        <v>39</v>
      </c>
      <c r="J41" s="267">
        <v>39</v>
      </c>
      <c r="K41" s="267">
        <v>39</v>
      </c>
      <c r="L41" s="267">
        <v>39</v>
      </c>
      <c r="M41" s="268">
        <v>39</v>
      </c>
      <c r="N41" s="284"/>
      <c r="O41" s="267">
        <v>39</v>
      </c>
      <c r="P41" s="267">
        <v>39</v>
      </c>
      <c r="Q41" s="267">
        <v>39</v>
      </c>
      <c r="R41" s="267">
        <v>39</v>
      </c>
      <c r="S41" s="268">
        <v>39</v>
      </c>
      <c r="U41" s="267">
        <v>0</v>
      </c>
      <c r="V41" s="267">
        <v>0</v>
      </c>
      <c r="W41" s="267">
        <v>0</v>
      </c>
      <c r="X41" s="267">
        <v>0</v>
      </c>
      <c r="Y41" s="268">
        <v>0</v>
      </c>
      <c r="Z41" s="284"/>
      <c r="AA41" s="267">
        <v>0</v>
      </c>
      <c r="AB41" s="267">
        <v>0</v>
      </c>
      <c r="AC41" s="267">
        <v>0</v>
      </c>
      <c r="AD41" s="267">
        <v>0</v>
      </c>
      <c r="AE41" s="268">
        <v>0</v>
      </c>
    </row>
    <row r="42" spans="1:31">
      <c r="A42" s="109"/>
      <c r="B42" s="280" t="s">
        <v>181</v>
      </c>
      <c r="C42" s="281" t="s">
        <v>544</v>
      </c>
      <c r="D42" s="529">
        <v>93</v>
      </c>
      <c r="E42" s="535">
        <v>0</v>
      </c>
      <c r="F42" s="239" t="s">
        <v>458</v>
      </c>
      <c r="G42" s="315"/>
      <c r="H42" s="264"/>
      <c r="I42" s="282">
        <v>26</v>
      </c>
      <c r="J42" s="282">
        <v>36</v>
      </c>
      <c r="K42" s="282">
        <v>48</v>
      </c>
      <c r="L42" s="282">
        <v>56</v>
      </c>
      <c r="M42" s="283">
        <v>73</v>
      </c>
      <c r="N42" s="284"/>
      <c r="O42" s="282">
        <v>34</v>
      </c>
      <c r="P42" s="282">
        <v>43</v>
      </c>
      <c r="Q42" s="282">
        <v>58</v>
      </c>
      <c r="R42" s="282">
        <v>80</v>
      </c>
      <c r="S42" s="283">
        <v>115</v>
      </c>
      <c r="T42" s="109"/>
      <c r="U42" s="282">
        <v>41</v>
      </c>
      <c r="V42" s="282">
        <v>21</v>
      </c>
      <c r="W42" s="282">
        <v>-2.0000000000001137</v>
      </c>
      <c r="X42" s="282">
        <v>-19</v>
      </c>
      <c r="Y42" s="283">
        <v>-52</v>
      </c>
      <c r="Z42" s="284"/>
      <c r="AA42" s="282">
        <v>25.500000000000028</v>
      </c>
      <c r="AB42" s="282">
        <v>6.5</v>
      </c>
      <c r="AC42" s="282">
        <v>-22</v>
      </c>
      <c r="AD42" s="282">
        <v>-66.5</v>
      </c>
      <c r="AE42" s="283">
        <v>-136.5</v>
      </c>
    </row>
    <row r="43" spans="1:31">
      <c r="B43" s="273" t="s">
        <v>421</v>
      </c>
      <c r="C43" s="286" t="s">
        <v>422</v>
      </c>
      <c r="D43" s="531">
        <v>48</v>
      </c>
      <c r="E43" s="532">
        <v>0</v>
      </c>
      <c r="F43" s="237" t="s">
        <v>460</v>
      </c>
      <c r="G43" s="314"/>
      <c r="I43" s="267">
        <v>24</v>
      </c>
      <c r="J43" s="267">
        <v>24</v>
      </c>
      <c r="K43" s="267">
        <v>24</v>
      </c>
      <c r="L43" s="267">
        <v>24</v>
      </c>
      <c r="M43" s="268">
        <v>24</v>
      </c>
      <c r="O43" s="267">
        <v>24</v>
      </c>
      <c r="P43" s="267">
        <v>24</v>
      </c>
      <c r="Q43" s="267">
        <v>24</v>
      </c>
      <c r="R43" s="267">
        <v>24</v>
      </c>
      <c r="S43" s="268">
        <v>24</v>
      </c>
      <c r="U43" s="267">
        <v>0</v>
      </c>
      <c r="V43" s="267">
        <v>0</v>
      </c>
      <c r="W43" s="267">
        <v>0</v>
      </c>
      <c r="X43" s="267">
        <v>0</v>
      </c>
      <c r="Y43" s="268">
        <v>0</v>
      </c>
      <c r="AA43" s="267">
        <v>0</v>
      </c>
      <c r="AB43" s="267">
        <v>0</v>
      </c>
      <c r="AC43" s="267">
        <v>0</v>
      </c>
      <c r="AD43" s="267">
        <v>0</v>
      </c>
      <c r="AE43" s="268">
        <v>0</v>
      </c>
    </row>
    <row r="44" spans="1:31">
      <c r="A44" s="109"/>
      <c r="B44" s="280" t="s">
        <v>423</v>
      </c>
      <c r="C44" s="281" t="s">
        <v>535</v>
      </c>
      <c r="D44" s="529">
        <v>520</v>
      </c>
      <c r="E44" s="535">
        <v>3.25</v>
      </c>
      <c r="F44" s="239" t="s">
        <v>190</v>
      </c>
      <c r="G44" s="315"/>
      <c r="I44" s="265">
        <v>115</v>
      </c>
      <c r="J44" s="265">
        <v>125</v>
      </c>
      <c r="K44" s="265">
        <v>136</v>
      </c>
      <c r="L44" s="265">
        <v>145</v>
      </c>
      <c r="M44" s="266">
        <v>161</v>
      </c>
      <c r="O44" s="265">
        <v>122</v>
      </c>
      <c r="P44" s="265">
        <v>132</v>
      </c>
      <c r="Q44" s="265">
        <v>146</v>
      </c>
      <c r="R44" s="265">
        <v>168</v>
      </c>
      <c r="S44" s="266">
        <v>203</v>
      </c>
      <c r="U44" s="265">
        <v>290.88</v>
      </c>
      <c r="V44" s="265">
        <v>270.88</v>
      </c>
      <c r="W44" s="265">
        <v>247.87999999999988</v>
      </c>
      <c r="X44" s="265">
        <v>230.88</v>
      </c>
      <c r="Y44" s="266">
        <v>197.88</v>
      </c>
      <c r="AA44" s="265">
        <v>275.38</v>
      </c>
      <c r="AB44" s="265">
        <v>256.38</v>
      </c>
      <c r="AC44" s="265">
        <v>227.88</v>
      </c>
      <c r="AD44" s="265">
        <v>183.38</v>
      </c>
      <c r="AE44" s="266">
        <v>113.38</v>
      </c>
    </row>
    <row r="45" spans="1:31">
      <c r="B45" s="273" t="s">
        <v>423</v>
      </c>
      <c r="C45" s="286" t="s">
        <v>536</v>
      </c>
      <c r="D45" s="531">
        <v>564</v>
      </c>
      <c r="E45" s="532">
        <v>3.25</v>
      </c>
      <c r="F45" s="237" t="s">
        <v>190</v>
      </c>
      <c r="G45" s="314"/>
      <c r="I45" s="267">
        <v>104</v>
      </c>
      <c r="J45" s="267">
        <v>114</v>
      </c>
      <c r="K45" s="267">
        <v>125</v>
      </c>
      <c r="L45" s="267">
        <v>134</v>
      </c>
      <c r="M45" s="268">
        <v>150</v>
      </c>
      <c r="O45" s="267">
        <v>112</v>
      </c>
      <c r="P45" s="267">
        <v>121</v>
      </c>
      <c r="Q45" s="267">
        <v>135</v>
      </c>
      <c r="R45" s="267">
        <v>158</v>
      </c>
      <c r="S45" s="268">
        <v>193</v>
      </c>
      <c r="U45" s="267">
        <v>356.01</v>
      </c>
      <c r="V45" s="267">
        <v>336.01</v>
      </c>
      <c r="W45" s="267">
        <v>313.00999999999988</v>
      </c>
      <c r="X45" s="267">
        <v>296.01</v>
      </c>
      <c r="Y45" s="268">
        <v>263.01</v>
      </c>
      <c r="AA45" s="267">
        <v>340.51</v>
      </c>
      <c r="AB45" s="267">
        <v>321.51</v>
      </c>
      <c r="AC45" s="267">
        <v>293.01</v>
      </c>
      <c r="AD45" s="267">
        <v>248.51</v>
      </c>
      <c r="AE45" s="268">
        <v>178.51</v>
      </c>
    </row>
    <row r="46" spans="1:31">
      <c r="A46" s="109"/>
      <c r="B46" s="280" t="s">
        <v>423</v>
      </c>
      <c r="C46" s="281" t="s">
        <v>578</v>
      </c>
      <c r="D46" s="529">
        <v>823</v>
      </c>
      <c r="E46" s="535">
        <v>3.25</v>
      </c>
      <c r="F46" s="239" t="s">
        <v>190</v>
      </c>
      <c r="G46" s="315"/>
      <c r="I46" s="282">
        <v>26</v>
      </c>
      <c r="J46" s="282">
        <v>152</v>
      </c>
      <c r="K46" s="282">
        <v>163</v>
      </c>
      <c r="L46" s="282">
        <v>172</v>
      </c>
      <c r="M46" s="283">
        <v>188</v>
      </c>
      <c r="O46" s="282">
        <v>34</v>
      </c>
      <c r="P46" s="282">
        <v>159</v>
      </c>
      <c r="Q46" s="282">
        <v>173</v>
      </c>
      <c r="R46" s="282">
        <v>196</v>
      </c>
      <c r="S46" s="283">
        <v>231</v>
      </c>
      <c r="U46" s="282">
        <v>771</v>
      </c>
      <c r="V46" s="282">
        <v>519.11</v>
      </c>
      <c r="W46" s="282">
        <v>496.1099999999999</v>
      </c>
      <c r="X46" s="282">
        <v>479.11</v>
      </c>
      <c r="Y46" s="283">
        <v>446.11</v>
      </c>
      <c r="AA46" s="282">
        <v>755.5</v>
      </c>
      <c r="AB46" s="282">
        <v>504.61</v>
      </c>
      <c r="AC46" s="282">
        <v>476.11</v>
      </c>
      <c r="AD46" s="282">
        <v>431.61</v>
      </c>
      <c r="AE46" s="283">
        <v>361.61</v>
      </c>
    </row>
    <row r="47" spans="1:31">
      <c r="B47" s="273" t="s">
        <v>423</v>
      </c>
      <c r="C47" s="286" t="s">
        <v>579</v>
      </c>
      <c r="D47" s="531">
        <v>1062</v>
      </c>
      <c r="E47" s="532">
        <v>3.25</v>
      </c>
      <c r="F47" s="237" t="s">
        <v>190</v>
      </c>
      <c r="G47" s="314"/>
      <c r="I47" s="267">
        <v>26</v>
      </c>
      <c r="J47" s="267">
        <v>189</v>
      </c>
      <c r="K47" s="267">
        <v>200</v>
      </c>
      <c r="L47" s="267">
        <v>209</v>
      </c>
      <c r="M47" s="268">
        <v>225</v>
      </c>
      <c r="O47" s="267">
        <v>34</v>
      </c>
      <c r="P47" s="267">
        <v>196</v>
      </c>
      <c r="Q47" s="267">
        <v>210</v>
      </c>
      <c r="R47" s="267">
        <v>232</v>
      </c>
      <c r="S47" s="268">
        <v>267</v>
      </c>
      <c r="U47" s="267">
        <v>1010</v>
      </c>
      <c r="V47" s="267">
        <v>684.73</v>
      </c>
      <c r="W47" s="267">
        <v>661.7299999999999</v>
      </c>
      <c r="X47" s="267">
        <v>644.73</v>
      </c>
      <c r="Y47" s="268">
        <v>611.73</v>
      </c>
      <c r="AA47" s="267">
        <v>994.5</v>
      </c>
      <c r="AB47" s="267">
        <v>670.23</v>
      </c>
      <c r="AC47" s="267">
        <v>641.73</v>
      </c>
      <c r="AD47" s="267">
        <v>597.23</v>
      </c>
      <c r="AE47" s="268">
        <v>527.23</v>
      </c>
    </row>
    <row r="48" spans="1:31">
      <c r="A48" s="109"/>
      <c r="B48" s="280" t="s">
        <v>423</v>
      </c>
      <c r="C48" s="281" t="s">
        <v>580</v>
      </c>
      <c r="D48" s="529">
        <v>1234</v>
      </c>
      <c r="E48" s="535">
        <v>3.25</v>
      </c>
      <c r="F48" s="239" t="s">
        <v>190</v>
      </c>
      <c r="G48" s="315"/>
      <c r="I48" s="282">
        <v>26</v>
      </c>
      <c r="J48" s="282">
        <v>203</v>
      </c>
      <c r="K48" s="282">
        <v>215</v>
      </c>
      <c r="L48" s="282">
        <v>223</v>
      </c>
      <c r="M48" s="283">
        <v>240</v>
      </c>
      <c r="O48" s="282">
        <v>34</v>
      </c>
      <c r="P48" s="282">
        <v>210</v>
      </c>
      <c r="Q48" s="282">
        <v>225</v>
      </c>
      <c r="R48" s="282">
        <v>247</v>
      </c>
      <c r="S48" s="283">
        <v>282</v>
      </c>
      <c r="U48" s="282">
        <v>1182</v>
      </c>
      <c r="V48" s="282">
        <v>827.7</v>
      </c>
      <c r="W48" s="282">
        <v>804.7</v>
      </c>
      <c r="X48" s="282">
        <v>787.7</v>
      </c>
      <c r="Y48" s="283">
        <v>754.7</v>
      </c>
      <c r="AA48" s="282">
        <v>1166.5</v>
      </c>
      <c r="AB48" s="282">
        <v>813.2</v>
      </c>
      <c r="AC48" s="282">
        <v>784.7</v>
      </c>
      <c r="AD48" s="282">
        <v>740.2</v>
      </c>
      <c r="AE48" s="283">
        <v>670.2</v>
      </c>
    </row>
    <row r="49" spans="1:31">
      <c r="B49" s="273" t="s">
        <v>318</v>
      </c>
      <c r="C49" s="286" t="s">
        <v>545</v>
      </c>
      <c r="D49" s="531">
        <v>539</v>
      </c>
      <c r="E49" s="532">
        <v>3.25</v>
      </c>
      <c r="F49" s="237" t="s">
        <v>190</v>
      </c>
      <c r="G49" s="314"/>
      <c r="I49" s="267">
        <v>162</v>
      </c>
      <c r="J49" s="267">
        <v>172</v>
      </c>
      <c r="K49" s="267">
        <v>183</v>
      </c>
      <c r="L49" s="267">
        <v>192</v>
      </c>
      <c r="M49" s="268">
        <v>208</v>
      </c>
      <c r="O49" s="267">
        <v>170</v>
      </c>
      <c r="P49" s="267">
        <v>179</v>
      </c>
      <c r="Q49" s="267">
        <v>193</v>
      </c>
      <c r="R49" s="267">
        <v>216</v>
      </c>
      <c r="S49" s="268">
        <v>251</v>
      </c>
      <c r="U49" s="267">
        <v>215.25</v>
      </c>
      <c r="V49" s="267">
        <v>195.25</v>
      </c>
      <c r="W49" s="267">
        <v>172.24999999999989</v>
      </c>
      <c r="X49" s="267">
        <v>155.25</v>
      </c>
      <c r="Y49" s="268">
        <v>122.25</v>
      </c>
      <c r="AA49" s="267">
        <v>199.75</v>
      </c>
      <c r="AB49" s="267">
        <v>180.75</v>
      </c>
      <c r="AC49" s="267">
        <v>152.25</v>
      </c>
      <c r="AD49" s="267">
        <v>107.75</v>
      </c>
      <c r="AE49" s="268">
        <v>37.75</v>
      </c>
    </row>
    <row r="50" spans="1:31">
      <c r="A50" s="109"/>
      <c r="B50" s="280" t="s">
        <v>318</v>
      </c>
      <c r="C50" s="281" t="s">
        <v>546</v>
      </c>
      <c r="D50" s="529">
        <v>309</v>
      </c>
      <c r="E50" s="535">
        <v>3.25</v>
      </c>
      <c r="F50" s="239" t="s">
        <v>190</v>
      </c>
      <c r="G50" s="315"/>
      <c r="I50" s="265">
        <v>85</v>
      </c>
      <c r="J50" s="265">
        <v>95</v>
      </c>
      <c r="K50" s="265">
        <v>107</v>
      </c>
      <c r="L50" s="265">
        <v>115</v>
      </c>
      <c r="M50" s="266">
        <v>132</v>
      </c>
      <c r="O50" s="265">
        <v>93</v>
      </c>
      <c r="P50" s="265">
        <v>103</v>
      </c>
      <c r="Q50" s="265">
        <v>117</v>
      </c>
      <c r="R50" s="265">
        <v>139</v>
      </c>
      <c r="S50" s="266">
        <v>174</v>
      </c>
      <c r="U50" s="265">
        <v>138.25</v>
      </c>
      <c r="V50" s="265">
        <v>118.25</v>
      </c>
      <c r="W50" s="265">
        <v>95.249999999999886</v>
      </c>
      <c r="X50" s="265">
        <v>78.25</v>
      </c>
      <c r="Y50" s="266">
        <v>45.25</v>
      </c>
      <c r="AA50" s="265">
        <v>122.75000000000003</v>
      </c>
      <c r="AB50" s="265">
        <v>103.75</v>
      </c>
      <c r="AC50" s="265">
        <v>75.25</v>
      </c>
      <c r="AD50" s="265">
        <v>30.75</v>
      </c>
      <c r="AE50" s="266">
        <v>-39.25</v>
      </c>
    </row>
    <row r="51" spans="1:31">
      <c r="B51" s="273" t="s">
        <v>318</v>
      </c>
      <c r="C51" s="286" t="s">
        <v>547</v>
      </c>
      <c r="D51" s="531">
        <v>661</v>
      </c>
      <c r="E51" s="532">
        <v>3.25</v>
      </c>
      <c r="F51" s="237" t="s">
        <v>190</v>
      </c>
      <c r="G51" s="314"/>
      <c r="I51" s="267">
        <v>165</v>
      </c>
      <c r="J51" s="267">
        <v>175</v>
      </c>
      <c r="K51" s="267">
        <v>187</v>
      </c>
      <c r="L51" s="267">
        <v>195</v>
      </c>
      <c r="M51" s="268">
        <v>212</v>
      </c>
      <c r="O51" s="267">
        <v>173</v>
      </c>
      <c r="P51" s="267">
        <v>183</v>
      </c>
      <c r="Q51" s="267">
        <v>197</v>
      </c>
      <c r="R51" s="267">
        <v>219</v>
      </c>
      <c r="S51" s="268">
        <v>254</v>
      </c>
      <c r="U51" s="267">
        <v>330.25</v>
      </c>
      <c r="V51" s="267">
        <v>310.25</v>
      </c>
      <c r="W51" s="267">
        <v>287.24999999999989</v>
      </c>
      <c r="X51" s="267">
        <v>270.25</v>
      </c>
      <c r="Y51" s="268">
        <v>237.25</v>
      </c>
      <c r="AA51" s="267">
        <v>314.75</v>
      </c>
      <c r="AB51" s="267">
        <v>295.75</v>
      </c>
      <c r="AC51" s="267">
        <v>267.25</v>
      </c>
      <c r="AD51" s="267">
        <v>222.75</v>
      </c>
      <c r="AE51" s="268">
        <v>152.75</v>
      </c>
    </row>
    <row r="52" spans="1:31">
      <c r="A52" s="109"/>
      <c r="B52" s="280" t="s">
        <v>318</v>
      </c>
      <c r="C52" s="281" t="s">
        <v>588</v>
      </c>
      <c r="D52" s="529">
        <v>181</v>
      </c>
      <c r="E52" s="535">
        <v>3.25</v>
      </c>
      <c r="F52" s="239" t="s">
        <v>190</v>
      </c>
      <c r="G52" s="315"/>
      <c r="I52" s="282">
        <v>50</v>
      </c>
      <c r="J52" s="282">
        <v>60</v>
      </c>
      <c r="K52" s="282">
        <v>72</v>
      </c>
      <c r="L52" s="282">
        <v>80</v>
      </c>
      <c r="M52" s="283">
        <v>97</v>
      </c>
      <c r="O52" s="282">
        <v>58</v>
      </c>
      <c r="P52" s="282">
        <v>68</v>
      </c>
      <c r="Q52" s="282">
        <v>82</v>
      </c>
      <c r="R52" s="282">
        <v>104</v>
      </c>
      <c r="S52" s="283">
        <v>139</v>
      </c>
      <c r="U52" s="282">
        <v>80.25</v>
      </c>
      <c r="V52" s="282">
        <v>60.25</v>
      </c>
      <c r="W52" s="282">
        <v>37.249999999999886</v>
      </c>
      <c r="X52" s="282">
        <v>20.25</v>
      </c>
      <c r="Y52" s="283">
        <v>-12.75</v>
      </c>
      <c r="AA52" s="282">
        <v>64.750000000000028</v>
      </c>
      <c r="AB52" s="282">
        <v>45.75</v>
      </c>
      <c r="AC52" s="282">
        <v>17.25</v>
      </c>
      <c r="AD52" s="282">
        <v>-27.25</v>
      </c>
      <c r="AE52" s="283">
        <v>-97.25</v>
      </c>
    </row>
    <row r="53" spans="1:31">
      <c r="B53" s="273" t="s">
        <v>318</v>
      </c>
      <c r="C53" s="286" t="s">
        <v>581</v>
      </c>
      <c r="D53" s="531">
        <v>1653</v>
      </c>
      <c r="E53" s="532">
        <v>3.25</v>
      </c>
      <c r="F53" s="237" t="s">
        <v>190</v>
      </c>
      <c r="G53" s="314"/>
      <c r="I53" s="267">
        <v>26</v>
      </c>
      <c r="J53" s="267">
        <v>281</v>
      </c>
      <c r="K53" s="267">
        <v>292</v>
      </c>
      <c r="L53" s="267">
        <v>301</v>
      </c>
      <c r="M53" s="268">
        <v>317</v>
      </c>
      <c r="O53" s="267">
        <v>34</v>
      </c>
      <c r="P53" s="267">
        <v>288</v>
      </c>
      <c r="Q53" s="267">
        <v>302</v>
      </c>
      <c r="R53" s="267">
        <v>325</v>
      </c>
      <c r="S53" s="268">
        <v>360</v>
      </c>
      <c r="U53" s="267">
        <v>1601</v>
      </c>
      <c r="V53" s="267">
        <v>1091.25</v>
      </c>
      <c r="W53" s="267">
        <v>1068.25</v>
      </c>
      <c r="X53" s="267">
        <v>1051.25</v>
      </c>
      <c r="Y53" s="268">
        <v>1018.25</v>
      </c>
      <c r="AA53" s="267">
        <v>1585.5</v>
      </c>
      <c r="AB53" s="267">
        <v>1076.75</v>
      </c>
      <c r="AC53" s="267">
        <v>1048.25</v>
      </c>
      <c r="AD53" s="267">
        <v>1003.75</v>
      </c>
      <c r="AE53" s="268">
        <v>933.75</v>
      </c>
    </row>
    <row r="54" spans="1:31">
      <c r="A54" s="109"/>
      <c r="B54" s="280" t="s">
        <v>318</v>
      </c>
      <c r="C54" s="281" t="s">
        <v>461</v>
      </c>
      <c r="D54" s="529">
        <v>358</v>
      </c>
      <c r="E54" s="535">
        <v>3.25</v>
      </c>
      <c r="F54" s="239" t="s">
        <v>190</v>
      </c>
      <c r="G54" s="315"/>
      <c r="I54" s="282">
        <v>74</v>
      </c>
      <c r="J54" s="282">
        <v>84</v>
      </c>
      <c r="K54" s="282">
        <v>95</v>
      </c>
      <c r="L54" s="282">
        <v>104</v>
      </c>
      <c r="M54" s="283">
        <v>120</v>
      </c>
      <c r="O54" s="282">
        <v>82</v>
      </c>
      <c r="P54" s="282">
        <v>91</v>
      </c>
      <c r="Q54" s="282">
        <v>105</v>
      </c>
      <c r="R54" s="282">
        <v>128</v>
      </c>
      <c r="S54" s="283">
        <v>163</v>
      </c>
      <c r="U54" s="282">
        <v>210.25</v>
      </c>
      <c r="V54" s="282">
        <v>190.25</v>
      </c>
      <c r="W54" s="282">
        <v>167.24999999999989</v>
      </c>
      <c r="X54" s="282">
        <v>150.25</v>
      </c>
      <c r="Y54" s="283">
        <v>117.25</v>
      </c>
      <c r="AA54" s="282">
        <v>194.75</v>
      </c>
      <c r="AB54" s="282">
        <v>175.75</v>
      </c>
      <c r="AC54" s="282">
        <v>147.25</v>
      </c>
      <c r="AD54" s="282">
        <v>102.75</v>
      </c>
      <c r="AE54" s="283">
        <v>32.75</v>
      </c>
    </row>
    <row r="55" spans="1:31" ht="13.5" customHeight="1">
      <c r="B55" s="273" t="s">
        <v>318</v>
      </c>
      <c r="C55" s="286" t="s">
        <v>508</v>
      </c>
      <c r="D55" s="531">
        <v>1074</v>
      </c>
      <c r="E55" s="532">
        <v>3.25</v>
      </c>
      <c r="F55" s="237" t="s">
        <v>190</v>
      </c>
      <c r="G55" s="314"/>
      <c r="I55" s="267">
        <v>26</v>
      </c>
      <c r="J55" s="267">
        <v>222</v>
      </c>
      <c r="K55" s="267">
        <v>233</v>
      </c>
      <c r="L55" s="267">
        <v>242</v>
      </c>
      <c r="M55" s="268">
        <v>258</v>
      </c>
      <c r="O55" s="267">
        <v>34</v>
      </c>
      <c r="P55" s="267">
        <v>229</v>
      </c>
      <c r="Q55" s="267">
        <v>243</v>
      </c>
      <c r="R55" s="267">
        <v>266</v>
      </c>
      <c r="S55" s="268">
        <v>301</v>
      </c>
      <c r="U55" s="267">
        <v>1022</v>
      </c>
      <c r="V55" s="267">
        <v>630.25</v>
      </c>
      <c r="W55" s="267">
        <v>607.24999999999989</v>
      </c>
      <c r="X55" s="267">
        <v>590.25</v>
      </c>
      <c r="Y55" s="268">
        <v>557.25</v>
      </c>
      <c r="AA55" s="267">
        <v>1006.5</v>
      </c>
      <c r="AB55" s="267">
        <v>615.75</v>
      </c>
      <c r="AC55" s="267">
        <v>587.25</v>
      </c>
      <c r="AD55" s="267">
        <v>542.75</v>
      </c>
      <c r="AE55" s="268">
        <v>472.75</v>
      </c>
    </row>
    <row r="56" spans="1:31">
      <c r="A56" s="109"/>
      <c r="B56" s="280" t="s">
        <v>318</v>
      </c>
      <c r="C56" s="118" t="s">
        <v>630</v>
      </c>
      <c r="D56" s="529">
        <v>137</v>
      </c>
      <c r="E56" s="535">
        <v>3.75</v>
      </c>
      <c r="F56" s="239" t="s">
        <v>210</v>
      </c>
      <c r="G56" s="315"/>
      <c r="I56" s="282">
        <v>26</v>
      </c>
      <c r="J56" s="282">
        <v>36</v>
      </c>
      <c r="K56" s="282">
        <v>48</v>
      </c>
      <c r="L56" s="282">
        <v>56</v>
      </c>
      <c r="M56" s="283">
        <v>73</v>
      </c>
      <c r="O56" s="282">
        <v>34</v>
      </c>
      <c r="P56" s="282">
        <v>43</v>
      </c>
      <c r="Q56" s="282">
        <v>58</v>
      </c>
      <c r="R56" s="282">
        <v>80</v>
      </c>
      <c r="S56" s="283">
        <v>115</v>
      </c>
      <c r="U56" s="282">
        <v>85</v>
      </c>
      <c r="V56" s="282">
        <v>65</v>
      </c>
      <c r="W56" s="282">
        <v>41.999999999999886</v>
      </c>
      <c r="X56" s="282">
        <v>25</v>
      </c>
      <c r="Y56" s="283">
        <v>-8</v>
      </c>
      <c r="AA56" s="282">
        <v>69.500000000000028</v>
      </c>
      <c r="AB56" s="282">
        <v>50.5</v>
      </c>
      <c r="AC56" s="282">
        <v>22</v>
      </c>
      <c r="AD56" s="282">
        <v>-22.5</v>
      </c>
      <c r="AE56" s="283">
        <v>-92.5</v>
      </c>
    </row>
    <row r="57" spans="1:31" ht="13.5" customHeight="1">
      <c r="B57" s="273" t="s">
        <v>318</v>
      </c>
      <c r="C57" s="286" t="s">
        <v>537</v>
      </c>
      <c r="D57" s="531">
        <v>204</v>
      </c>
      <c r="E57" s="532">
        <v>3.75</v>
      </c>
      <c r="F57" s="237" t="s">
        <v>191</v>
      </c>
      <c r="G57" s="314"/>
      <c r="I57" s="267">
        <v>41</v>
      </c>
      <c r="J57" s="267">
        <v>51</v>
      </c>
      <c r="K57" s="267">
        <v>62</v>
      </c>
      <c r="L57" s="267">
        <v>71</v>
      </c>
      <c r="M57" s="268">
        <v>87</v>
      </c>
      <c r="O57" s="267">
        <v>48</v>
      </c>
      <c r="P57" s="267">
        <v>58</v>
      </c>
      <c r="Q57" s="267">
        <v>72</v>
      </c>
      <c r="R57" s="267">
        <v>94</v>
      </c>
      <c r="S57" s="268">
        <v>129</v>
      </c>
      <c r="U57" s="267">
        <v>122.75</v>
      </c>
      <c r="V57" s="267">
        <v>102.75</v>
      </c>
      <c r="W57" s="267">
        <v>79.749999999999886</v>
      </c>
      <c r="X57" s="267">
        <v>62.75</v>
      </c>
      <c r="Y57" s="268">
        <v>29.75</v>
      </c>
      <c r="AA57" s="267">
        <v>107.25000000000003</v>
      </c>
      <c r="AB57" s="267">
        <v>88.25</v>
      </c>
      <c r="AC57" s="267">
        <v>59.75</v>
      </c>
      <c r="AD57" s="267">
        <v>15.25</v>
      </c>
      <c r="AE57" s="268">
        <v>-54.75</v>
      </c>
    </row>
    <row r="58" spans="1:31">
      <c r="A58" s="109"/>
      <c r="B58" s="280" t="s">
        <v>61</v>
      </c>
      <c r="C58" s="281" t="s">
        <v>482</v>
      </c>
      <c r="D58" s="529">
        <v>751</v>
      </c>
      <c r="E58" s="535">
        <v>5.33</v>
      </c>
      <c r="F58" s="239" t="s">
        <v>193</v>
      </c>
      <c r="G58" s="315"/>
      <c r="I58" s="282">
        <v>26</v>
      </c>
      <c r="J58" s="282">
        <v>134</v>
      </c>
      <c r="K58" s="282">
        <v>145</v>
      </c>
      <c r="L58" s="282">
        <v>154</v>
      </c>
      <c r="M58" s="283">
        <v>170</v>
      </c>
      <c r="O58" s="282">
        <v>34</v>
      </c>
      <c r="P58" s="282">
        <v>141</v>
      </c>
      <c r="Q58" s="282">
        <v>155</v>
      </c>
      <c r="R58" s="282">
        <v>178</v>
      </c>
      <c r="S58" s="283">
        <v>213</v>
      </c>
      <c r="U58" s="282">
        <v>699</v>
      </c>
      <c r="V58" s="282">
        <v>483.33000000000004</v>
      </c>
      <c r="W58" s="282">
        <v>460.32999999999993</v>
      </c>
      <c r="X58" s="282">
        <v>443.33000000000004</v>
      </c>
      <c r="Y58" s="283">
        <v>410.33000000000004</v>
      </c>
      <c r="AA58" s="282">
        <v>683.5</v>
      </c>
      <c r="AB58" s="282">
        <v>468.83000000000004</v>
      </c>
      <c r="AC58" s="282">
        <v>440.33000000000004</v>
      </c>
      <c r="AD58" s="282">
        <v>395.83000000000004</v>
      </c>
      <c r="AE58" s="283">
        <v>325.83000000000004</v>
      </c>
    </row>
    <row r="59" spans="1:31">
      <c r="B59" s="273" t="s">
        <v>61</v>
      </c>
      <c r="C59" s="286" t="s">
        <v>509</v>
      </c>
      <c r="D59" s="531">
        <v>915</v>
      </c>
      <c r="E59" s="532">
        <v>5.33</v>
      </c>
      <c r="F59" s="237" t="s">
        <v>193</v>
      </c>
      <c r="G59" s="314"/>
      <c r="I59" s="267">
        <v>26</v>
      </c>
      <c r="J59" s="267">
        <v>186</v>
      </c>
      <c r="K59" s="267">
        <v>197</v>
      </c>
      <c r="L59" s="267">
        <v>206</v>
      </c>
      <c r="M59" s="268">
        <v>222</v>
      </c>
      <c r="O59" s="267">
        <v>34</v>
      </c>
      <c r="P59" s="267">
        <v>193</v>
      </c>
      <c r="Q59" s="267">
        <v>207</v>
      </c>
      <c r="R59" s="267">
        <v>230</v>
      </c>
      <c r="S59" s="268">
        <v>265</v>
      </c>
      <c r="U59" s="267">
        <v>863</v>
      </c>
      <c r="V59" s="267">
        <v>543.33000000000004</v>
      </c>
      <c r="W59" s="267">
        <v>520.32999999999993</v>
      </c>
      <c r="X59" s="267">
        <v>503.33000000000004</v>
      </c>
      <c r="Y59" s="268">
        <v>470.33000000000004</v>
      </c>
      <c r="AA59" s="267">
        <v>847.5</v>
      </c>
      <c r="AB59" s="267">
        <v>528.83000000000004</v>
      </c>
      <c r="AC59" s="267">
        <v>500.33000000000004</v>
      </c>
      <c r="AD59" s="267">
        <v>455.83000000000004</v>
      </c>
      <c r="AE59" s="268">
        <v>385.83000000000004</v>
      </c>
    </row>
    <row r="60" spans="1:31">
      <c r="A60" s="109"/>
      <c r="B60" s="280" t="s">
        <v>62</v>
      </c>
      <c r="C60" s="118" t="s">
        <v>631</v>
      </c>
      <c r="D60" s="533">
        <v>367</v>
      </c>
      <c r="E60" s="534">
        <v>3.75</v>
      </c>
      <c r="F60" s="239" t="s">
        <v>210</v>
      </c>
      <c r="G60" s="315"/>
      <c r="I60" s="265">
        <v>44</v>
      </c>
      <c r="J60" s="265">
        <v>54</v>
      </c>
      <c r="K60" s="265">
        <v>66</v>
      </c>
      <c r="L60" s="265">
        <v>74</v>
      </c>
      <c r="M60" s="266">
        <v>91</v>
      </c>
      <c r="O60" s="265">
        <v>52</v>
      </c>
      <c r="P60" s="265">
        <v>61</v>
      </c>
      <c r="Q60" s="265">
        <v>76</v>
      </c>
      <c r="R60" s="265">
        <v>98</v>
      </c>
      <c r="S60" s="266">
        <v>133</v>
      </c>
      <c r="U60" s="265">
        <v>278.95</v>
      </c>
      <c r="V60" s="265">
        <v>258.95</v>
      </c>
      <c r="W60" s="265">
        <v>235.94999999999987</v>
      </c>
      <c r="X60" s="265">
        <v>218.95</v>
      </c>
      <c r="Y60" s="266">
        <v>185.95</v>
      </c>
      <c r="AA60" s="265">
        <v>263.45</v>
      </c>
      <c r="AB60" s="265">
        <v>244.45</v>
      </c>
      <c r="AC60" s="265">
        <v>215.95</v>
      </c>
      <c r="AD60" s="265">
        <v>171.45</v>
      </c>
      <c r="AE60" s="266">
        <v>101.44999999999999</v>
      </c>
    </row>
    <row r="61" spans="1:31">
      <c r="B61" s="273" t="s">
        <v>62</v>
      </c>
      <c r="C61" s="286" t="s">
        <v>538</v>
      </c>
      <c r="D61" s="531">
        <v>623</v>
      </c>
      <c r="E61" s="532">
        <v>3.75</v>
      </c>
      <c r="F61" s="237" t="s">
        <v>191</v>
      </c>
      <c r="G61" s="314"/>
      <c r="I61" s="267">
        <v>26</v>
      </c>
      <c r="J61" s="267">
        <v>70</v>
      </c>
      <c r="K61" s="267">
        <v>81</v>
      </c>
      <c r="L61" s="267">
        <v>90</v>
      </c>
      <c r="M61" s="268">
        <v>106</v>
      </c>
      <c r="O61" s="267">
        <v>34</v>
      </c>
      <c r="P61" s="267">
        <v>77</v>
      </c>
      <c r="Q61" s="267">
        <v>91</v>
      </c>
      <c r="R61" s="267">
        <v>113</v>
      </c>
      <c r="S61" s="268">
        <v>148</v>
      </c>
      <c r="U61" s="267">
        <v>571</v>
      </c>
      <c r="V61" s="267">
        <v>483.99</v>
      </c>
      <c r="W61" s="267">
        <v>460.9899999999999</v>
      </c>
      <c r="X61" s="267">
        <v>443.99</v>
      </c>
      <c r="Y61" s="268">
        <v>410.99</v>
      </c>
      <c r="AA61" s="267">
        <v>555.5</v>
      </c>
      <c r="AB61" s="267">
        <v>469.49</v>
      </c>
      <c r="AC61" s="267">
        <v>440.99</v>
      </c>
      <c r="AD61" s="267">
        <v>396.49</v>
      </c>
      <c r="AE61" s="268">
        <v>326.49</v>
      </c>
    </row>
    <row r="62" spans="1:31">
      <c r="A62" s="109"/>
      <c r="B62" s="280" t="s">
        <v>62</v>
      </c>
      <c r="C62" s="281" t="s">
        <v>539</v>
      </c>
      <c r="D62" s="529">
        <v>847</v>
      </c>
      <c r="E62" s="535">
        <v>3.75</v>
      </c>
      <c r="F62" s="239" t="s">
        <v>191</v>
      </c>
      <c r="G62" s="315"/>
      <c r="I62" s="282">
        <v>26</v>
      </c>
      <c r="J62" s="282">
        <v>89</v>
      </c>
      <c r="K62" s="282">
        <v>101</v>
      </c>
      <c r="L62" s="282">
        <v>109</v>
      </c>
      <c r="M62" s="283">
        <v>126</v>
      </c>
      <c r="O62" s="282">
        <v>34</v>
      </c>
      <c r="P62" s="282">
        <v>97</v>
      </c>
      <c r="Q62" s="282">
        <v>111</v>
      </c>
      <c r="R62" s="282">
        <v>133</v>
      </c>
      <c r="S62" s="283">
        <v>168</v>
      </c>
      <c r="U62" s="282">
        <v>795</v>
      </c>
      <c r="V62" s="282">
        <v>668.39</v>
      </c>
      <c r="W62" s="282">
        <v>645.38999999999987</v>
      </c>
      <c r="X62" s="282">
        <v>628.39</v>
      </c>
      <c r="Y62" s="283">
        <v>595.39</v>
      </c>
      <c r="AA62" s="282">
        <v>779.5</v>
      </c>
      <c r="AB62" s="282">
        <v>653.89</v>
      </c>
      <c r="AC62" s="282">
        <v>625.39</v>
      </c>
      <c r="AD62" s="282">
        <v>580.89</v>
      </c>
      <c r="AE62" s="283">
        <v>510.89</v>
      </c>
    </row>
    <row r="63" spans="1:31">
      <c r="B63" s="273" t="s">
        <v>62</v>
      </c>
      <c r="C63" s="286" t="s">
        <v>540</v>
      </c>
      <c r="D63" s="531">
        <v>1044</v>
      </c>
      <c r="E63" s="532">
        <v>3.75</v>
      </c>
      <c r="F63" s="237" t="s">
        <v>191</v>
      </c>
      <c r="G63" s="314"/>
      <c r="I63" s="267">
        <v>26</v>
      </c>
      <c r="J63" s="267">
        <v>96</v>
      </c>
      <c r="K63" s="267">
        <v>107</v>
      </c>
      <c r="L63" s="267">
        <v>116</v>
      </c>
      <c r="M63" s="268">
        <v>132</v>
      </c>
      <c r="O63" s="267">
        <v>34</v>
      </c>
      <c r="P63" s="267">
        <v>103</v>
      </c>
      <c r="Q63" s="267">
        <v>117</v>
      </c>
      <c r="R63" s="267">
        <v>139</v>
      </c>
      <c r="S63" s="268">
        <v>174</v>
      </c>
      <c r="U63" s="267">
        <v>992</v>
      </c>
      <c r="V63" s="267">
        <v>852.79</v>
      </c>
      <c r="W63" s="267">
        <v>829.78999999999985</v>
      </c>
      <c r="X63" s="267">
        <v>812.79</v>
      </c>
      <c r="Y63" s="268">
        <v>779.79</v>
      </c>
      <c r="AA63" s="267">
        <v>976.5</v>
      </c>
      <c r="AB63" s="267">
        <v>838.29</v>
      </c>
      <c r="AC63" s="267">
        <v>809.79</v>
      </c>
      <c r="AD63" s="267">
        <v>765.29</v>
      </c>
      <c r="AE63" s="268">
        <v>695.29</v>
      </c>
    </row>
    <row r="64" spans="1:31">
      <c r="A64" s="109"/>
      <c r="B64" s="280" t="s">
        <v>62</v>
      </c>
      <c r="C64" s="281" t="s">
        <v>330</v>
      </c>
      <c r="D64" s="529">
        <v>920</v>
      </c>
      <c r="E64" s="535">
        <v>3.25</v>
      </c>
      <c r="F64" s="239" t="s">
        <v>190</v>
      </c>
      <c r="G64" s="315"/>
      <c r="I64" s="265">
        <v>26</v>
      </c>
      <c r="J64" s="265">
        <v>198</v>
      </c>
      <c r="K64" s="265">
        <v>210</v>
      </c>
      <c r="L64" s="265">
        <v>218</v>
      </c>
      <c r="M64" s="266">
        <v>235</v>
      </c>
      <c r="O64" s="265">
        <v>34</v>
      </c>
      <c r="P64" s="265">
        <v>206</v>
      </c>
      <c r="Q64" s="265">
        <v>217</v>
      </c>
      <c r="R64" s="265">
        <v>237</v>
      </c>
      <c r="S64" s="266">
        <v>270</v>
      </c>
      <c r="U64" s="265">
        <v>868</v>
      </c>
      <c r="V64" s="265">
        <v>523.25</v>
      </c>
      <c r="W64" s="265">
        <v>500.24999999999989</v>
      </c>
      <c r="X64" s="265">
        <v>483.25</v>
      </c>
      <c r="Y64" s="266">
        <v>450.25</v>
      </c>
      <c r="AA64" s="265">
        <v>852.5</v>
      </c>
      <c r="AB64" s="265">
        <v>508.75</v>
      </c>
      <c r="AC64" s="265">
        <v>485.25</v>
      </c>
      <c r="AD64" s="265">
        <v>445.75</v>
      </c>
      <c r="AE64" s="266">
        <v>380.75</v>
      </c>
    </row>
    <row r="65" spans="1:31">
      <c r="B65" s="273" t="s">
        <v>62</v>
      </c>
      <c r="C65" s="286" t="s">
        <v>424</v>
      </c>
      <c r="D65" s="531">
        <v>883</v>
      </c>
      <c r="E65" s="532">
        <v>3.25</v>
      </c>
      <c r="F65" s="237" t="s">
        <v>190</v>
      </c>
      <c r="G65" s="314"/>
      <c r="I65" s="267">
        <v>26</v>
      </c>
      <c r="J65" s="267">
        <v>153</v>
      </c>
      <c r="K65" s="267">
        <v>164</v>
      </c>
      <c r="L65" s="267">
        <v>173</v>
      </c>
      <c r="M65" s="268">
        <v>189</v>
      </c>
      <c r="O65" s="267">
        <v>34</v>
      </c>
      <c r="P65" s="267">
        <v>160</v>
      </c>
      <c r="Q65" s="267">
        <v>172</v>
      </c>
      <c r="R65" s="267">
        <v>192</v>
      </c>
      <c r="S65" s="268">
        <v>224</v>
      </c>
      <c r="U65" s="267">
        <v>831</v>
      </c>
      <c r="V65" s="267">
        <v>577.25</v>
      </c>
      <c r="W65" s="267">
        <v>554.24999999999989</v>
      </c>
      <c r="X65" s="267">
        <v>537.25</v>
      </c>
      <c r="Y65" s="268">
        <v>504.25</v>
      </c>
      <c r="AA65" s="267">
        <v>815.5</v>
      </c>
      <c r="AB65" s="267">
        <v>562.75</v>
      </c>
      <c r="AC65" s="267">
        <v>539.25</v>
      </c>
      <c r="AD65" s="267">
        <v>499.75</v>
      </c>
      <c r="AE65" s="268">
        <v>434.75</v>
      </c>
    </row>
    <row r="66" spans="1:31">
      <c r="A66" s="109"/>
      <c r="B66" s="280" t="s">
        <v>62</v>
      </c>
      <c r="C66" s="281" t="s">
        <v>589</v>
      </c>
      <c r="D66" s="529">
        <v>883</v>
      </c>
      <c r="E66" s="535">
        <v>3.25</v>
      </c>
      <c r="F66" s="239" t="s">
        <v>190</v>
      </c>
      <c r="G66" s="315"/>
      <c r="I66" s="282">
        <v>26</v>
      </c>
      <c r="J66" s="282">
        <v>115</v>
      </c>
      <c r="K66" s="282">
        <v>126</v>
      </c>
      <c r="L66" s="282">
        <v>135</v>
      </c>
      <c r="M66" s="283">
        <v>151</v>
      </c>
      <c r="O66" s="282">
        <v>34</v>
      </c>
      <c r="P66" s="282">
        <v>122</v>
      </c>
      <c r="Q66" s="282">
        <v>134</v>
      </c>
      <c r="R66" s="282">
        <v>154</v>
      </c>
      <c r="S66" s="283">
        <v>186</v>
      </c>
      <c r="U66" s="282">
        <v>831</v>
      </c>
      <c r="V66" s="282">
        <v>653.25</v>
      </c>
      <c r="W66" s="282">
        <v>630.24999999999989</v>
      </c>
      <c r="X66" s="282">
        <v>613.25</v>
      </c>
      <c r="Y66" s="283">
        <v>580.25</v>
      </c>
      <c r="AA66" s="282">
        <v>815.5</v>
      </c>
      <c r="AB66" s="282">
        <v>638.75</v>
      </c>
      <c r="AC66" s="282">
        <v>615.25</v>
      </c>
      <c r="AD66" s="282">
        <v>575.75</v>
      </c>
      <c r="AE66" s="283">
        <v>510.75</v>
      </c>
    </row>
    <row r="67" spans="1:31">
      <c r="B67" s="273" t="s">
        <v>62</v>
      </c>
      <c r="C67" s="286" t="s">
        <v>590</v>
      </c>
      <c r="D67" s="531">
        <v>983</v>
      </c>
      <c r="E67" s="532">
        <v>3.25</v>
      </c>
      <c r="F67" s="237" t="s">
        <v>190</v>
      </c>
      <c r="G67" s="314"/>
      <c r="I67" s="267">
        <v>26</v>
      </c>
      <c r="J67" s="267">
        <v>115</v>
      </c>
      <c r="K67" s="267">
        <v>126</v>
      </c>
      <c r="L67" s="267">
        <v>135</v>
      </c>
      <c r="M67" s="268">
        <v>151</v>
      </c>
      <c r="O67" s="267">
        <v>34</v>
      </c>
      <c r="P67" s="267">
        <v>122</v>
      </c>
      <c r="Q67" s="267">
        <v>134</v>
      </c>
      <c r="R67" s="267">
        <v>154</v>
      </c>
      <c r="S67" s="268">
        <v>186</v>
      </c>
      <c r="U67" s="267">
        <v>931</v>
      </c>
      <c r="V67" s="267">
        <v>753.25</v>
      </c>
      <c r="W67" s="267">
        <v>730.24999999999989</v>
      </c>
      <c r="X67" s="267">
        <v>713.25</v>
      </c>
      <c r="Y67" s="268">
        <v>680.25</v>
      </c>
      <c r="AA67" s="267">
        <v>915.5</v>
      </c>
      <c r="AB67" s="267">
        <v>738.75</v>
      </c>
      <c r="AC67" s="267">
        <v>715.25</v>
      </c>
      <c r="AD67" s="267">
        <v>675.75</v>
      </c>
      <c r="AE67" s="268">
        <v>610.75</v>
      </c>
    </row>
    <row r="68" spans="1:31">
      <c r="A68" s="109"/>
      <c r="B68" s="280" t="s">
        <v>62</v>
      </c>
      <c r="C68" s="281" t="s">
        <v>591</v>
      </c>
      <c r="D68" s="529">
        <v>998</v>
      </c>
      <c r="E68" s="535">
        <v>3.25</v>
      </c>
      <c r="F68" s="239" t="s">
        <v>190</v>
      </c>
      <c r="G68" s="315"/>
      <c r="I68" s="265">
        <v>26</v>
      </c>
      <c r="J68" s="265">
        <v>115</v>
      </c>
      <c r="K68" s="265">
        <v>126</v>
      </c>
      <c r="L68" s="265">
        <v>135</v>
      </c>
      <c r="M68" s="266">
        <v>151</v>
      </c>
      <c r="O68" s="265">
        <v>34</v>
      </c>
      <c r="P68" s="265">
        <v>122</v>
      </c>
      <c r="Q68" s="265">
        <v>134</v>
      </c>
      <c r="R68" s="265">
        <v>154</v>
      </c>
      <c r="S68" s="266">
        <v>186</v>
      </c>
      <c r="U68" s="265">
        <v>946</v>
      </c>
      <c r="V68" s="265">
        <v>768.25</v>
      </c>
      <c r="W68" s="265">
        <v>745.24999999999989</v>
      </c>
      <c r="X68" s="265">
        <v>728.25</v>
      </c>
      <c r="Y68" s="266">
        <v>695.25</v>
      </c>
      <c r="AA68" s="265">
        <v>930.5</v>
      </c>
      <c r="AB68" s="265">
        <v>753.75</v>
      </c>
      <c r="AC68" s="265">
        <v>730.25</v>
      </c>
      <c r="AD68" s="265">
        <v>690.75</v>
      </c>
      <c r="AE68" s="266">
        <v>625.75</v>
      </c>
    </row>
    <row r="69" spans="1:31">
      <c r="B69" s="273" t="s">
        <v>62</v>
      </c>
      <c r="C69" s="286" t="s">
        <v>592</v>
      </c>
      <c r="D69" s="531">
        <v>1097</v>
      </c>
      <c r="E69" s="532">
        <v>3.25</v>
      </c>
      <c r="F69" s="237" t="s">
        <v>190</v>
      </c>
      <c r="G69" s="314"/>
      <c r="I69" s="267">
        <v>26</v>
      </c>
      <c r="J69" s="267">
        <v>115</v>
      </c>
      <c r="K69" s="267">
        <v>126</v>
      </c>
      <c r="L69" s="267">
        <v>135</v>
      </c>
      <c r="M69" s="268">
        <v>151</v>
      </c>
      <c r="O69" s="267">
        <v>34</v>
      </c>
      <c r="P69" s="267">
        <v>122</v>
      </c>
      <c r="Q69" s="267">
        <v>134</v>
      </c>
      <c r="R69" s="267">
        <v>154</v>
      </c>
      <c r="S69" s="268">
        <v>186</v>
      </c>
      <c r="U69" s="267">
        <v>1045</v>
      </c>
      <c r="V69" s="267">
        <v>867.25</v>
      </c>
      <c r="W69" s="267">
        <v>844.24999999999989</v>
      </c>
      <c r="X69" s="267">
        <v>827.25</v>
      </c>
      <c r="Y69" s="268">
        <v>794.25</v>
      </c>
      <c r="AA69" s="267">
        <v>1029.5</v>
      </c>
      <c r="AB69" s="267">
        <v>852.75</v>
      </c>
      <c r="AC69" s="267">
        <v>829.25</v>
      </c>
      <c r="AD69" s="267">
        <v>789.75</v>
      </c>
      <c r="AE69" s="268">
        <v>724.75</v>
      </c>
    </row>
    <row r="70" spans="1:31">
      <c r="A70" s="109"/>
      <c r="B70" s="280" t="s">
        <v>62</v>
      </c>
      <c r="C70" s="281" t="s">
        <v>593</v>
      </c>
      <c r="D70" s="529">
        <v>1074</v>
      </c>
      <c r="E70" s="535">
        <v>3.25</v>
      </c>
      <c r="F70" s="239" t="s">
        <v>190</v>
      </c>
      <c r="G70" s="315"/>
      <c r="I70" s="282">
        <v>26</v>
      </c>
      <c r="J70" s="282">
        <v>116</v>
      </c>
      <c r="K70" s="282">
        <v>127</v>
      </c>
      <c r="L70" s="282">
        <v>136</v>
      </c>
      <c r="M70" s="283">
        <v>152</v>
      </c>
      <c r="O70" s="282">
        <v>34</v>
      </c>
      <c r="P70" s="282">
        <v>123</v>
      </c>
      <c r="Q70" s="282">
        <v>135</v>
      </c>
      <c r="R70" s="282">
        <v>155</v>
      </c>
      <c r="S70" s="283">
        <v>187</v>
      </c>
      <c r="U70" s="282">
        <v>1022</v>
      </c>
      <c r="V70" s="282">
        <v>842.25</v>
      </c>
      <c r="W70" s="282">
        <v>819.24999999999989</v>
      </c>
      <c r="X70" s="282">
        <v>802.25</v>
      </c>
      <c r="Y70" s="283">
        <v>769.25</v>
      </c>
      <c r="AA70" s="282">
        <v>1006.5</v>
      </c>
      <c r="AB70" s="282">
        <v>827.75</v>
      </c>
      <c r="AC70" s="282">
        <v>804.25</v>
      </c>
      <c r="AD70" s="282">
        <v>764.75</v>
      </c>
      <c r="AE70" s="283">
        <v>699.75</v>
      </c>
    </row>
    <row r="71" spans="1:31">
      <c r="B71" s="273" t="s">
        <v>62</v>
      </c>
      <c r="C71" s="286" t="s">
        <v>594</v>
      </c>
      <c r="D71" s="531">
        <v>1174</v>
      </c>
      <c r="E71" s="532">
        <v>3.25</v>
      </c>
      <c r="F71" s="237" t="s">
        <v>190</v>
      </c>
      <c r="G71" s="314"/>
      <c r="I71" s="267">
        <v>26</v>
      </c>
      <c r="J71" s="267">
        <v>116</v>
      </c>
      <c r="K71" s="267">
        <v>127</v>
      </c>
      <c r="L71" s="267">
        <v>136</v>
      </c>
      <c r="M71" s="268">
        <v>152</v>
      </c>
      <c r="O71" s="267">
        <v>34</v>
      </c>
      <c r="P71" s="267">
        <v>123</v>
      </c>
      <c r="Q71" s="267">
        <v>135</v>
      </c>
      <c r="R71" s="267">
        <v>155</v>
      </c>
      <c r="S71" s="268">
        <v>187</v>
      </c>
      <c r="U71" s="267">
        <v>1122</v>
      </c>
      <c r="V71" s="267">
        <v>942.25</v>
      </c>
      <c r="W71" s="267">
        <v>919.25</v>
      </c>
      <c r="X71" s="267">
        <v>902.25</v>
      </c>
      <c r="Y71" s="268">
        <v>869.25</v>
      </c>
      <c r="AA71" s="267">
        <v>1106.5</v>
      </c>
      <c r="AB71" s="267">
        <v>927.75</v>
      </c>
      <c r="AC71" s="267">
        <v>904.25</v>
      </c>
      <c r="AD71" s="267">
        <v>864.75</v>
      </c>
      <c r="AE71" s="268">
        <v>799.75</v>
      </c>
    </row>
    <row r="72" spans="1:31">
      <c r="A72" s="109"/>
      <c r="B72" s="280" t="s">
        <v>62</v>
      </c>
      <c r="C72" s="281" t="s">
        <v>595</v>
      </c>
      <c r="D72" s="529">
        <v>1265</v>
      </c>
      <c r="E72" s="535">
        <v>3.25</v>
      </c>
      <c r="F72" s="239" t="s">
        <v>190</v>
      </c>
      <c r="G72" s="315"/>
      <c r="I72" s="265">
        <v>26</v>
      </c>
      <c r="J72" s="265">
        <v>116</v>
      </c>
      <c r="K72" s="265">
        <v>127</v>
      </c>
      <c r="L72" s="265">
        <v>136</v>
      </c>
      <c r="M72" s="266">
        <v>152</v>
      </c>
      <c r="O72" s="265">
        <v>34</v>
      </c>
      <c r="P72" s="265">
        <v>123</v>
      </c>
      <c r="Q72" s="265">
        <v>135</v>
      </c>
      <c r="R72" s="265">
        <v>155</v>
      </c>
      <c r="S72" s="266">
        <v>187</v>
      </c>
      <c r="U72" s="265">
        <v>1213</v>
      </c>
      <c r="V72" s="265">
        <v>1033.25</v>
      </c>
      <c r="W72" s="265">
        <v>1010.25</v>
      </c>
      <c r="X72" s="265">
        <v>993.25</v>
      </c>
      <c r="Y72" s="266">
        <v>960.25</v>
      </c>
      <c r="AA72" s="265">
        <v>1197.5</v>
      </c>
      <c r="AB72" s="265">
        <v>1018.75</v>
      </c>
      <c r="AC72" s="265">
        <v>995.25</v>
      </c>
      <c r="AD72" s="265">
        <v>955.75</v>
      </c>
      <c r="AE72" s="266">
        <v>890.75</v>
      </c>
    </row>
    <row r="73" spans="1:31">
      <c r="B73" s="273" t="s">
        <v>62</v>
      </c>
      <c r="C73" s="286" t="s">
        <v>596</v>
      </c>
      <c r="D73" s="531">
        <v>1456</v>
      </c>
      <c r="E73" s="532">
        <v>3.25</v>
      </c>
      <c r="F73" s="237" t="s">
        <v>190</v>
      </c>
      <c r="G73" s="314"/>
      <c r="I73" s="267">
        <v>26</v>
      </c>
      <c r="J73" s="267">
        <v>116</v>
      </c>
      <c r="K73" s="267">
        <v>127</v>
      </c>
      <c r="L73" s="267">
        <v>136</v>
      </c>
      <c r="M73" s="268">
        <v>152</v>
      </c>
      <c r="O73" s="267">
        <v>34</v>
      </c>
      <c r="P73" s="267">
        <v>123</v>
      </c>
      <c r="Q73" s="267">
        <v>135</v>
      </c>
      <c r="R73" s="267">
        <v>155</v>
      </c>
      <c r="S73" s="268">
        <v>187</v>
      </c>
      <c r="U73" s="267">
        <v>1404</v>
      </c>
      <c r="V73" s="267">
        <v>1224.25</v>
      </c>
      <c r="W73" s="267">
        <v>1201.25</v>
      </c>
      <c r="X73" s="267">
        <v>1184.25</v>
      </c>
      <c r="Y73" s="268">
        <v>1151.25</v>
      </c>
      <c r="AA73" s="267">
        <v>1388.5</v>
      </c>
      <c r="AB73" s="267">
        <v>1209.75</v>
      </c>
      <c r="AC73" s="267">
        <v>1186.25</v>
      </c>
      <c r="AD73" s="267">
        <v>1146.75</v>
      </c>
      <c r="AE73" s="268">
        <v>1081.75</v>
      </c>
    </row>
    <row r="74" spans="1:31">
      <c r="A74" s="109"/>
      <c r="B74" s="280" t="s">
        <v>167</v>
      </c>
      <c r="C74" s="281" t="s">
        <v>425</v>
      </c>
      <c r="D74" s="529">
        <v>462</v>
      </c>
      <c r="E74" s="535">
        <v>5.33</v>
      </c>
      <c r="F74" s="239" t="s">
        <v>193</v>
      </c>
      <c r="G74" s="315"/>
      <c r="I74" s="282">
        <v>64</v>
      </c>
      <c r="J74" s="282">
        <v>74</v>
      </c>
      <c r="K74" s="282">
        <v>86</v>
      </c>
      <c r="L74" s="282">
        <v>94</v>
      </c>
      <c r="M74" s="283">
        <v>111</v>
      </c>
      <c r="O74" s="282">
        <v>72</v>
      </c>
      <c r="P74" s="282">
        <v>82</v>
      </c>
      <c r="Q74" s="282">
        <v>96</v>
      </c>
      <c r="R74" s="282">
        <v>118</v>
      </c>
      <c r="S74" s="283">
        <v>153</v>
      </c>
      <c r="U74" s="282">
        <v>333.33</v>
      </c>
      <c r="V74" s="282">
        <v>313.33</v>
      </c>
      <c r="W74" s="282">
        <v>290.32999999999987</v>
      </c>
      <c r="X74" s="282">
        <v>273.33</v>
      </c>
      <c r="Y74" s="283">
        <v>240.32999999999998</v>
      </c>
      <c r="AA74" s="282">
        <v>317.83</v>
      </c>
      <c r="AB74" s="282">
        <v>298.83</v>
      </c>
      <c r="AC74" s="282">
        <v>270.33</v>
      </c>
      <c r="AD74" s="282">
        <v>225.82999999999998</v>
      </c>
      <c r="AE74" s="283">
        <v>155.82999999999998</v>
      </c>
    </row>
    <row r="75" spans="1:31">
      <c r="B75" s="273" t="s">
        <v>167</v>
      </c>
      <c r="C75" s="286" t="s">
        <v>620</v>
      </c>
      <c r="D75" s="531">
        <v>620</v>
      </c>
      <c r="E75" s="532">
        <v>5.33</v>
      </c>
      <c r="F75" s="237" t="s">
        <v>193</v>
      </c>
      <c r="G75" s="314"/>
      <c r="I75" s="267">
        <v>26</v>
      </c>
      <c r="J75" s="267">
        <v>94</v>
      </c>
      <c r="K75" s="267">
        <v>106</v>
      </c>
      <c r="L75" s="267">
        <v>114</v>
      </c>
      <c r="M75" s="268">
        <v>131</v>
      </c>
      <c r="O75" s="267">
        <v>34</v>
      </c>
      <c r="P75" s="267">
        <v>101</v>
      </c>
      <c r="Q75" s="267">
        <v>116</v>
      </c>
      <c r="R75" s="267">
        <v>138</v>
      </c>
      <c r="S75" s="268">
        <v>173</v>
      </c>
      <c r="U75" s="267">
        <v>568</v>
      </c>
      <c r="V75" s="267">
        <v>431.59000000000003</v>
      </c>
      <c r="W75" s="267">
        <v>408.58999999999992</v>
      </c>
      <c r="X75" s="267">
        <v>391.59000000000003</v>
      </c>
      <c r="Y75" s="268">
        <v>358.59000000000003</v>
      </c>
      <c r="AA75" s="267">
        <v>552.5</v>
      </c>
      <c r="AB75" s="267">
        <v>417.09000000000003</v>
      </c>
      <c r="AC75" s="267">
        <v>388.59000000000003</v>
      </c>
      <c r="AD75" s="267">
        <v>344.09000000000003</v>
      </c>
      <c r="AE75" s="268">
        <v>274.09000000000003</v>
      </c>
    </row>
    <row r="76" spans="1:31">
      <c r="A76" s="109"/>
      <c r="B76" s="280" t="s">
        <v>167</v>
      </c>
      <c r="C76" s="281" t="s">
        <v>410</v>
      </c>
      <c r="D76" s="529">
        <v>638</v>
      </c>
      <c r="E76" s="535">
        <v>5.33</v>
      </c>
      <c r="F76" s="239" t="s">
        <v>193</v>
      </c>
      <c r="G76" s="315"/>
      <c r="I76" s="265">
        <v>26</v>
      </c>
      <c r="J76" s="265">
        <v>78</v>
      </c>
      <c r="K76" s="265">
        <v>90</v>
      </c>
      <c r="L76" s="265">
        <v>98</v>
      </c>
      <c r="M76" s="266">
        <v>115</v>
      </c>
      <c r="O76" s="265">
        <v>34</v>
      </c>
      <c r="P76" s="265">
        <v>85</v>
      </c>
      <c r="Q76" s="265">
        <v>100</v>
      </c>
      <c r="R76" s="265">
        <v>122</v>
      </c>
      <c r="S76" s="266">
        <v>157</v>
      </c>
      <c r="U76" s="265">
        <v>586</v>
      </c>
      <c r="V76" s="265">
        <v>481.59000000000003</v>
      </c>
      <c r="W76" s="265">
        <v>458.58999999999992</v>
      </c>
      <c r="X76" s="265">
        <v>441.59000000000003</v>
      </c>
      <c r="Y76" s="266">
        <v>408.59000000000003</v>
      </c>
      <c r="AA76" s="265">
        <v>570.5</v>
      </c>
      <c r="AB76" s="265">
        <v>467.09000000000003</v>
      </c>
      <c r="AC76" s="265">
        <v>438.59000000000003</v>
      </c>
      <c r="AD76" s="265">
        <v>394.09000000000003</v>
      </c>
      <c r="AE76" s="266">
        <v>324.09000000000003</v>
      </c>
    </row>
    <row r="77" spans="1:31">
      <c r="B77" s="273" t="s">
        <v>167</v>
      </c>
      <c r="C77" s="286" t="s">
        <v>597</v>
      </c>
      <c r="D77" s="531">
        <v>915</v>
      </c>
      <c r="E77" s="532">
        <v>5.33</v>
      </c>
      <c r="F77" s="237" t="s">
        <v>193</v>
      </c>
      <c r="G77" s="314"/>
      <c r="I77" s="267">
        <v>26</v>
      </c>
      <c r="J77" s="267">
        <v>121</v>
      </c>
      <c r="K77" s="267">
        <v>133</v>
      </c>
      <c r="L77" s="267">
        <v>141</v>
      </c>
      <c r="M77" s="268">
        <v>158</v>
      </c>
      <c r="O77" s="267">
        <v>34</v>
      </c>
      <c r="P77" s="267">
        <v>129</v>
      </c>
      <c r="Q77" s="267">
        <v>143</v>
      </c>
      <c r="R77" s="267">
        <v>165</v>
      </c>
      <c r="S77" s="268">
        <v>200</v>
      </c>
      <c r="U77" s="267">
        <v>863</v>
      </c>
      <c r="V77" s="267">
        <v>672.33</v>
      </c>
      <c r="W77" s="267">
        <v>649.32999999999993</v>
      </c>
      <c r="X77" s="267">
        <v>632.33000000000004</v>
      </c>
      <c r="Y77" s="268">
        <v>599.33000000000004</v>
      </c>
      <c r="AA77" s="267">
        <v>847.5</v>
      </c>
      <c r="AB77" s="267">
        <v>657.83</v>
      </c>
      <c r="AC77" s="267">
        <v>629.33000000000004</v>
      </c>
      <c r="AD77" s="267">
        <v>584.83000000000004</v>
      </c>
      <c r="AE77" s="268">
        <v>514.83000000000004</v>
      </c>
    </row>
    <row r="78" spans="1:31">
      <c r="A78" s="109"/>
      <c r="B78" s="280" t="s">
        <v>167</v>
      </c>
      <c r="C78" s="281" t="s">
        <v>450</v>
      </c>
      <c r="D78" s="529">
        <v>948</v>
      </c>
      <c r="E78" s="535">
        <v>5.33</v>
      </c>
      <c r="F78" s="239" t="s">
        <v>193</v>
      </c>
      <c r="G78" s="315"/>
      <c r="I78" s="282">
        <v>26</v>
      </c>
      <c r="J78" s="282">
        <v>95</v>
      </c>
      <c r="K78" s="282">
        <v>106</v>
      </c>
      <c r="L78" s="282">
        <v>115</v>
      </c>
      <c r="M78" s="283">
        <v>131</v>
      </c>
      <c r="O78" s="282">
        <v>34</v>
      </c>
      <c r="P78" s="282">
        <v>102</v>
      </c>
      <c r="Q78" s="282">
        <v>116</v>
      </c>
      <c r="R78" s="282">
        <v>139</v>
      </c>
      <c r="S78" s="283">
        <v>174</v>
      </c>
      <c r="U78" s="282">
        <v>896</v>
      </c>
      <c r="V78" s="282">
        <v>758.33</v>
      </c>
      <c r="W78" s="282">
        <v>735.32999999999993</v>
      </c>
      <c r="X78" s="282">
        <v>718.33</v>
      </c>
      <c r="Y78" s="283">
        <v>685.33</v>
      </c>
      <c r="AA78" s="282">
        <v>880.5</v>
      </c>
      <c r="AB78" s="282">
        <v>743.83</v>
      </c>
      <c r="AC78" s="282">
        <v>715.33</v>
      </c>
      <c r="AD78" s="282">
        <v>670.83</v>
      </c>
      <c r="AE78" s="283">
        <v>600.83000000000004</v>
      </c>
    </row>
    <row r="79" spans="1:31">
      <c r="B79" s="273" t="s">
        <v>63</v>
      </c>
      <c r="C79" s="286" t="s">
        <v>351</v>
      </c>
      <c r="D79" s="531">
        <v>215</v>
      </c>
      <c r="E79" s="532">
        <v>0</v>
      </c>
      <c r="F79" s="237" t="s">
        <v>195</v>
      </c>
      <c r="G79" s="314"/>
      <c r="I79" s="267">
        <v>42</v>
      </c>
      <c r="J79" s="267">
        <v>52</v>
      </c>
      <c r="K79" s="267">
        <v>64</v>
      </c>
      <c r="L79" s="267">
        <v>72</v>
      </c>
      <c r="M79" s="268">
        <v>89</v>
      </c>
      <c r="O79" s="267">
        <v>50</v>
      </c>
      <c r="P79" s="267">
        <v>59</v>
      </c>
      <c r="Q79" s="267">
        <v>74</v>
      </c>
      <c r="R79" s="267">
        <v>96</v>
      </c>
      <c r="S79" s="268">
        <v>78</v>
      </c>
      <c r="U79" s="267">
        <v>131</v>
      </c>
      <c r="V79" s="267">
        <v>111</v>
      </c>
      <c r="W79" s="267">
        <v>87.999999999999886</v>
      </c>
      <c r="X79" s="267">
        <v>71</v>
      </c>
      <c r="Y79" s="268">
        <v>38</v>
      </c>
      <c r="AA79" s="267">
        <v>115.50000000000003</v>
      </c>
      <c r="AB79" s="267">
        <v>96.5</v>
      </c>
      <c r="AC79" s="267">
        <v>68</v>
      </c>
      <c r="AD79" s="267">
        <v>23.5</v>
      </c>
      <c r="AE79" s="268">
        <v>59</v>
      </c>
    </row>
    <row r="80" spans="1:31">
      <c r="A80" s="109"/>
      <c r="B80" s="280" t="s">
        <v>63</v>
      </c>
      <c r="C80" s="281" t="s">
        <v>409</v>
      </c>
      <c r="D80" s="529">
        <v>396</v>
      </c>
      <c r="E80" s="535">
        <v>0</v>
      </c>
      <c r="F80" s="239" t="s">
        <v>195</v>
      </c>
      <c r="G80" s="315"/>
      <c r="I80" s="282">
        <v>81</v>
      </c>
      <c r="J80" s="282">
        <v>91</v>
      </c>
      <c r="K80" s="282">
        <v>102</v>
      </c>
      <c r="L80" s="282">
        <v>111</v>
      </c>
      <c r="M80" s="283">
        <v>127</v>
      </c>
      <c r="O80" s="282">
        <v>88</v>
      </c>
      <c r="P80" s="282">
        <v>98</v>
      </c>
      <c r="Q80" s="282">
        <v>112</v>
      </c>
      <c r="R80" s="282">
        <v>134</v>
      </c>
      <c r="S80" s="283">
        <v>169</v>
      </c>
      <c r="U80" s="282">
        <v>235</v>
      </c>
      <c r="V80" s="282">
        <v>215</v>
      </c>
      <c r="W80" s="282">
        <v>191.99999999999989</v>
      </c>
      <c r="X80" s="282">
        <v>175</v>
      </c>
      <c r="Y80" s="283">
        <v>142</v>
      </c>
      <c r="AA80" s="282">
        <v>219.5</v>
      </c>
      <c r="AB80" s="282">
        <v>200.5</v>
      </c>
      <c r="AC80" s="282">
        <v>172</v>
      </c>
      <c r="AD80" s="282">
        <v>127.5</v>
      </c>
      <c r="AE80" s="283">
        <v>57.5</v>
      </c>
    </row>
    <row r="81" spans="1:31">
      <c r="B81" s="273" t="s">
        <v>63</v>
      </c>
      <c r="C81" s="286" t="s">
        <v>411</v>
      </c>
      <c r="D81" s="531">
        <v>479</v>
      </c>
      <c r="E81" s="532">
        <v>0</v>
      </c>
      <c r="F81" s="237" t="s">
        <v>195</v>
      </c>
      <c r="G81" s="314"/>
      <c r="I81" s="267">
        <v>86</v>
      </c>
      <c r="J81" s="267">
        <v>96</v>
      </c>
      <c r="K81" s="267">
        <v>107</v>
      </c>
      <c r="L81" s="267">
        <v>116</v>
      </c>
      <c r="M81" s="268">
        <v>132</v>
      </c>
      <c r="O81" s="267">
        <v>93</v>
      </c>
      <c r="P81" s="267">
        <v>103</v>
      </c>
      <c r="Q81" s="267">
        <v>117</v>
      </c>
      <c r="R81" s="267">
        <v>139</v>
      </c>
      <c r="S81" s="268">
        <v>174</v>
      </c>
      <c r="U81" s="267">
        <v>308</v>
      </c>
      <c r="V81" s="267">
        <v>288</v>
      </c>
      <c r="W81" s="267">
        <v>264.99999999999989</v>
      </c>
      <c r="X81" s="267">
        <v>248</v>
      </c>
      <c r="Y81" s="268">
        <v>215</v>
      </c>
      <c r="AA81" s="267">
        <v>292.5</v>
      </c>
      <c r="AB81" s="267">
        <v>273.5</v>
      </c>
      <c r="AC81" s="267">
        <v>245</v>
      </c>
      <c r="AD81" s="267">
        <v>200.5</v>
      </c>
      <c r="AE81" s="268">
        <v>130.5</v>
      </c>
    </row>
    <row r="82" spans="1:31">
      <c r="A82" s="109"/>
      <c r="B82" s="280" t="s">
        <v>63</v>
      </c>
      <c r="C82" s="281" t="s">
        <v>510</v>
      </c>
      <c r="D82" s="529">
        <v>1735</v>
      </c>
      <c r="E82" s="535">
        <v>0</v>
      </c>
      <c r="F82" s="239" t="s">
        <v>195</v>
      </c>
      <c r="G82" s="315"/>
      <c r="I82" s="282">
        <v>26</v>
      </c>
      <c r="J82" s="282">
        <v>36</v>
      </c>
      <c r="K82" s="282">
        <v>438</v>
      </c>
      <c r="L82" s="282">
        <v>446</v>
      </c>
      <c r="M82" s="283">
        <v>463</v>
      </c>
      <c r="O82" s="282">
        <v>34</v>
      </c>
      <c r="P82" s="282">
        <v>43</v>
      </c>
      <c r="Q82" s="282">
        <v>448</v>
      </c>
      <c r="R82" s="282">
        <v>470</v>
      </c>
      <c r="S82" s="283">
        <v>505</v>
      </c>
      <c r="U82" s="282">
        <v>1683</v>
      </c>
      <c r="V82" s="282">
        <v>1663</v>
      </c>
      <c r="W82" s="282">
        <v>859.8</v>
      </c>
      <c r="X82" s="282">
        <v>842.8</v>
      </c>
      <c r="Y82" s="283">
        <v>809.8</v>
      </c>
      <c r="AA82" s="282">
        <v>1667.5</v>
      </c>
      <c r="AB82" s="282">
        <v>1648.5</v>
      </c>
      <c r="AC82" s="282">
        <v>839.8</v>
      </c>
      <c r="AD82" s="282">
        <v>795.3</v>
      </c>
      <c r="AE82" s="283">
        <v>725.3</v>
      </c>
    </row>
    <row r="83" spans="1:31">
      <c r="B83" s="273" t="s">
        <v>63</v>
      </c>
      <c r="C83" s="286" t="s">
        <v>412</v>
      </c>
      <c r="D83" s="531">
        <v>537</v>
      </c>
      <c r="E83" s="532">
        <v>0</v>
      </c>
      <c r="F83" s="237" t="s">
        <v>195</v>
      </c>
      <c r="G83" s="314"/>
      <c r="I83" s="267">
        <v>92</v>
      </c>
      <c r="J83" s="267">
        <v>102</v>
      </c>
      <c r="K83" s="267">
        <v>114</v>
      </c>
      <c r="L83" s="267">
        <v>122</v>
      </c>
      <c r="M83" s="268">
        <v>139</v>
      </c>
      <c r="O83" s="267">
        <v>100</v>
      </c>
      <c r="P83" s="267">
        <v>109</v>
      </c>
      <c r="Q83" s="267">
        <v>124</v>
      </c>
      <c r="R83" s="267">
        <v>146</v>
      </c>
      <c r="S83" s="268">
        <v>181</v>
      </c>
      <c r="U83" s="267">
        <v>352.8</v>
      </c>
      <c r="V83" s="267">
        <v>332.8</v>
      </c>
      <c r="W83" s="267">
        <v>309.7999999999999</v>
      </c>
      <c r="X83" s="267">
        <v>292.8</v>
      </c>
      <c r="Y83" s="268">
        <v>259.8</v>
      </c>
      <c r="AA83" s="267">
        <v>337.3</v>
      </c>
      <c r="AB83" s="267">
        <v>318.3</v>
      </c>
      <c r="AC83" s="267">
        <v>289.8</v>
      </c>
      <c r="AD83" s="267">
        <v>245.3</v>
      </c>
      <c r="AE83" s="268">
        <v>175.3</v>
      </c>
    </row>
    <row r="84" spans="1:31">
      <c r="A84" s="109"/>
      <c r="B84" s="280" t="s">
        <v>63</v>
      </c>
      <c r="C84" s="281" t="s">
        <v>511</v>
      </c>
      <c r="D84" s="529">
        <v>2396</v>
      </c>
      <c r="E84" s="535">
        <v>0</v>
      </c>
      <c r="F84" s="239" t="s">
        <v>195</v>
      </c>
      <c r="G84" s="315"/>
      <c r="I84" s="265">
        <v>26</v>
      </c>
      <c r="J84" s="265">
        <v>36</v>
      </c>
      <c r="K84" s="265">
        <v>606</v>
      </c>
      <c r="L84" s="265">
        <v>614</v>
      </c>
      <c r="M84" s="266">
        <v>631</v>
      </c>
      <c r="O84" s="265">
        <v>34</v>
      </c>
      <c r="P84" s="265">
        <v>43</v>
      </c>
      <c r="Q84" s="265">
        <v>616</v>
      </c>
      <c r="R84" s="265">
        <v>638</v>
      </c>
      <c r="S84" s="266">
        <v>673</v>
      </c>
      <c r="U84" s="265">
        <v>2344</v>
      </c>
      <c r="V84" s="265">
        <v>2324</v>
      </c>
      <c r="W84" s="265">
        <v>1184.8</v>
      </c>
      <c r="X84" s="265">
        <v>1167.8</v>
      </c>
      <c r="Y84" s="266">
        <v>1134.8</v>
      </c>
      <c r="AA84" s="265">
        <v>2328.5</v>
      </c>
      <c r="AB84" s="265">
        <v>2309.5</v>
      </c>
      <c r="AC84" s="265">
        <v>1164.8</v>
      </c>
      <c r="AD84" s="265">
        <v>1120.3</v>
      </c>
      <c r="AE84" s="266">
        <v>1050.3</v>
      </c>
    </row>
    <row r="85" spans="1:31">
      <c r="B85" s="273" t="s">
        <v>63</v>
      </c>
      <c r="C85" s="286" t="s">
        <v>413</v>
      </c>
      <c r="D85" s="531">
        <v>686</v>
      </c>
      <c r="E85" s="532">
        <v>0</v>
      </c>
      <c r="F85" s="237" t="s">
        <v>195</v>
      </c>
      <c r="G85" s="314"/>
      <c r="I85" s="267">
        <v>26</v>
      </c>
      <c r="J85" s="267">
        <v>36</v>
      </c>
      <c r="K85" s="267">
        <v>151</v>
      </c>
      <c r="L85" s="267">
        <v>159</v>
      </c>
      <c r="M85" s="268">
        <v>176</v>
      </c>
      <c r="O85" s="267">
        <v>34</v>
      </c>
      <c r="P85" s="267">
        <v>43</v>
      </c>
      <c r="Q85" s="267">
        <v>161</v>
      </c>
      <c r="R85" s="267">
        <v>183</v>
      </c>
      <c r="S85" s="268">
        <v>218</v>
      </c>
      <c r="U85" s="267">
        <v>634</v>
      </c>
      <c r="V85" s="267">
        <v>614</v>
      </c>
      <c r="W85" s="267">
        <v>384.7999999999999</v>
      </c>
      <c r="X85" s="267">
        <v>367.8</v>
      </c>
      <c r="Y85" s="268">
        <v>334.8</v>
      </c>
      <c r="AA85" s="267">
        <v>618.5</v>
      </c>
      <c r="AB85" s="267">
        <v>599.5</v>
      </c>
      <c r="AC85" s="267">
        <v>364.8</v>
      </c>
      <c r="AD85" s="267">
        <v>320.3</v>
      </c>
      <c r="AE85" s="268">
        <v>250.3</v>
      </c>
    </row>
    <row r="86" spans="1:31">
      <c r="A86" s="109"/>
      <c r="B86" s="280" t="s">
        <v>63</v>
      </c>
      <c r="C86" s="281" t="s">
        <v>512</v>
      </c>
      <c r="D86" s="529">
        <v>1157</v>
      </c>
      <c r="E86" s="535">
        <v>0</v>
      </c>
      <c r="F86" s="239" t="s">
        <v>195</v>
      </c>
      <c r="G86" s="315"/>
      <c r="I86" s="282">
        <v>26</v>
      </c>
      <c r="J86" s="282">
        <v>36</v>
      </c>
      <c r="K86" s="282">
        <v>249</v>
      </c>
      <c r="L86" s="282">
        <v>258</v>
      </c>
      <c r="M86" s="283">
        <v>274</v>
      </c>
      <c r="O86" s="282">
        <v>34</v>
      </c>
      <c r="P86" s="282">
        <v>43</v>
      </c>
      <c r="Q86" s="282">
        <v>259</v>
      </c>
      <c r="R86" s="282">
        <v>281</v>
      </c>
      <c r="S86" s="283">
        <v>316</v>
      </c>
      <c r="U86" s="282">
        <v>1105</v>
      </c>
      <c r="V86" s="282">
        <v>1085</v>
      </c>
      <c r="W86" s="282">
        <v>658.85</v>
      </c>
      <c r="X86" s="282">
        <v>641.85</v>
      </c>
      <c r="Y86" s="283">
        <v>608.85</v>
      </c>
      <c r="AA86" s="282">
        <v>1089.5</v>
      </c>
      <c r="AB86" s="282">
        <v>1070.5</v>
      </c>
      <c r="AC86" s="282">
        <v>638.85</v>
      </c>
      <c r="AD86" s="282">
        <v>594.35</v>
      </c>
      <c r="AE86" s="283">
        <v>524.35</v>
      </c>
    </row>
    <row r="87" spans="1:31">
      <c r="B87" s="273" t="s">
        <v>63</v>
      </c>
      <c r="C87" s="286" t="s">
        <v>548</v>
      </c>
      <c r="D87" s="531">
        <v>867</v>
      </c>
      <c r="E87" s="532">
        <v>5.33</v>
      </c>
      <c r="F87" s="237" t="s">
        <v>193</v>
      </c>
      <c r="G87" s="314"/>
      <c r="I87" s="267">
        <v>26</v>
      </c>
      <c r="J87" s="267">
        <v>155</v>
      </c>
      <c r="K87" s="267">
        <v>166</v>
      </c>
      <c r="L87" s="267">
        <v>175</v>
      </c>
      <c r="M87" s="268">
        <v>191</v>
      </c>
      <c r="O87" s="267">
        <v>34</v>
      </c>
      <c r="P87" s="267">
        <v>162</v>
      </c>
      <c r="Q87" s="267">
        <v>176</v>
      </c>
      <c r="R87" s="267">
        <v>198</v>
      </c>
      <c r="S87" s="268">
        <v>233</v>
      </c>
      <c r="U87" s="267">
        <v>815</v>
      </c>
      <c r="V87" s="267">
        <v>557.64</v>
      </c>
      <c r="W87" s="267">
        <v>534.63999999999987</v>
      </c>
      <c r="X87" s="267">
        <v>517.64</v>
      </c>
      <c r="Y87" s="268">
        <v>484.64</v>
      </c>
      <c r="AA87" s="267">
        <v>799.5</v>
      </c>
      <c r="AB87" s="267">
        <v>543.14</v>
      </c>
      <c r="AC87" s="267">
        <v>514.64</v>
      </c>
      <c r="AD87" s="267">
        <v>470.14</v>
      </c>
      <c r="AE87" s="268">
        <v>400.14</v>
      </c>
    </row>
    <row r="88" spans="1:31">
      <c r="A88" s="109"/>
      <c r="B88" s="280" t="s">
        <v>167</v>
      </c>
      <c r="C88" s="281" t="s">
        <v>598</v>
      </c>
      <c r="D88" s="533">
        <v>140</v>
      </c>
      <c r="E88" s="534">
        <v>0</v>
      </c>
      <c r="F88" s="239" t="s">
        <v>599</v>
      </c>
      <c r="G88" s="315"/>
      <c r="I88" s="265">
        <v>26</v>
      </c>
      <c r="J88" s="265">
        <v>36</v>
      </c>
      <c r="K88" s="265">
        <v>48</v>
      </c>
      <c r="L88" s="265">
        <v>56</v>
      </c>
      <c r="M88" s="266">
        <v>73</v>
      </c>
      <c r="O88" s="265">
        <v>34</v>
      </c>
      <c r="P88" s="265">
        <v>43</v>
      </c>
      <c r="Q88" s="265">
        <v>58</v>
      </c>
      <c r="R88" s="265">
        <v>80</v>
      </c>
      <c r="S88" s="266">
        <v>115</v>
      </c>
      <c r="U88" s="265">
        <v>88</v>
      </c>
      <c r="V88" s="265">
        <v>68</v>
      </c>
      <c r="W88" s="265">
        <v>44.999999999999886</v>
      </c>
      <c r="X88" s="265">
        <v>28</v>
      </c>
      <c r="Y88" s="266">
        <v>-5</v>
      </c>
      <c r="AA88" s="265">
        <v>72.500000000000028</v>
      </c>
      <c r="AB88" s="265">
        <v>53.5</v>
      </c>
      <c r="AC88" s="265">
        <v>25</v>
      </c>
      <c r="AD88" s="265">
        <v>-19.5</v>
      </c>
      <c r="AE88" s="266">
        <v>-89.5</v>
      </c>
    </row>
    <row r="89" spans="1:31">
      <c r="B89" s="273" t="s">
        <v>426</v>
      </c>
      <c r="C89" s="286" t="s">
        <v>582</v>
      </c>
      <c r="D89" s="531">
        <v>481</v>
      </c>
      <c r="E89" s="532">
        <v>3.25</v>
      </c>
      <c r="F89" s="237" t="s">
        <v>190</v>
      </c>
      <c r="G89" s="314"/>
      <c r="I89" s="267">
        <v>104</v>
      </c>
      <c r="J89" s="267">
        <v>114</v>
      </c>
      <c r="K89" s="267">
        <v>125</v>
      </c>
      <c r="L89" s="267">
        <v>134</v>
      </c>
      <c r="M89" s="268">
        <v>150</v>
      </c>
      <c r="O89" s="267">
        <v>112</v>
      </c>
      <c r="P89" s="267">
        <v>121</v>
      </c>
      <c r="Q89" s="267">
        <v>135</v>
      </c>
      <c r="R89" s="267">
        <v>158</v>
      </c>
      <c r="S89" s="268">
        <v>193</v>
      </c>
      <c r="U89" s="267">
        <v>273.02999999999997</v>
      </c>
      <c r="V89" s="267">
        <v>253.02999999999997</v>
      </c>
      <c r="W89" s="267">
        <v>230.02999999999986</v>
      </c>
      <c r="X89" s="267">
        <v>213.02999999999997</v>
      </c>
      <c r="Y89" s="268">
        <v>180.02999999999997</v>
      </c>
      <c r="AA89" s="267">
        <v>257.52999999999997</v>
      </c>
      <c r="AB89" s="267">
        <v>238.52999999999997</v>
      </c>
      <c r="AC89" s="267">
        <v>210.02999999999997</v>
      </c>
      <c r="AD89" s="267">
        <v>165.52999999999997</v>
      </c>
      <c r="AE89" s="268">
        <v>95.529999999999973</v>
      </c>
    </row>
    <row r="90" spans="1:31">
      <c r="A90" s="109"/>
      <c r="B90" s="280" t="s">
        <v>426</v>
      </c>
      <c r="C90" s="281" t="s">
        <v>529</v>
      </c>
      <c r="D90" s="529">
        <v>658</v>
      </c>
      <c r="E90" s="535">
        <v>3.25</v>
      </c>
      <c r="F90" s="239" t="s">
        <v>190</v>
      </c>
      <c r="G90" s="315"/>
      <c r="I90" s="282">
        <v>163</v>
      </c>
      <c r="J90" s="282">
        <v>173</v>
      </c>
      <c r="K90" s="282">
        <v>184</v>
      </c>
      <c r="L90" s="282">
        <v>193</v>
      </c>
      <c r="M90" s="283">
        <v>209</v>
      </c>
      <c r="O90" s="282">
        <v>171</v>
      </c>
      <c r="P90" s="282">
        <v>180</v>
      </c>
      <c r="Q90" s="282">
        <v>194</v>
      </c>
      <c r="R90" s="282">
        <v>217</v>
      </c>
      <c r="S90" s="283">
        <v>252</v>
      </c>
      <c r="U90" s="282">
        <v>332.04999999999995</v>
      </c>
      <c r="V90" s="282">
        <v>312.04999999999995</v>
      </c>
      <c r="W90" s="282">
        <v>289.04999999999984</v>
      </c>
      <c r="X90" s="282">
        <v>272.04999999999995</v>
      </c>
      <c r="Y90" s="283">
        <v>239.04999999999995</v>
      </c>
      <c r="AA90" s="282">
        <v>316.54999999999995</v>
      </c>
      <c r="AB90" s="282">
        <v>297.54999999999995</v>
      </c>
      <c r="AC90" s="282">
        <v>269.04999999999995</v>
      </c>
      <c r="AD90" s="282">
        <v>224.54999999999995</v>
      </c>
      <c r="AE90" s="283">
        <v>154.54999999999995</v>
      </c>
    </row>
    <row r="91" spans="1:31">
      <c r="B91" s="273" t="s">
        <v>426</v>
      </c>
      <c r="C91" s="286" t="s">
        <v>462</v>
      </c>
      <c r="D91" s="531">
        <v>177</v>
      </c>
      <c r="E91" s="532">
        <v>3.25</v>
      </c>
      <c r="F91" s="237" t="s">
        <v>190</v>
      </c>
      <c r="G91" s="314"/>
      <c r="I91" s="267">
        <v>55</v>
      </c>
      <c r="J91" s="267">
        <v>65</v>
      </c>
      <c r="K91" s="267">
        <v>76</v>
      </c>
      <c r="L91" s="267">
        <v>85</v>
      </c>
      <c r="M91" s="268">
        <v>101</v>
      </c>
      <c r="O91" s="267">
        <v>62</v>
      </c>
      <c r="P91" s="267">
        <v>72</v>
      </c>
      <c r="Q91" s="267">
        <v>86</v>
      </c>
      <c r="R91" s="267">
        <v>108</v>
      </c>
      <c r="S91" s="268">
        <v>143</v>
      </c>
      <c r="U91" s="267">
        <v>67.710000000000008</v>
      </c>
      <c r="V91" s="267">
        <v>47.710000000000008</v>
      </c>
      <c r="W91" s="267">
        <v>24.709999999999894</v>
      </c>
      <c r="X91" s="267">
        <v>7.710000000000008</v>
      </c>
      <c r="Y91" s="268">
        <v>-25.289999999999992</v>
      </c>
      <c r="AA91" s="267">
        <v>52.210000000000036</v>
      </c>
      <c r="AB91" s="267">
        <v>33.210000000000008</v>
      </c>
      <c r="AC91" s="267">
        <v>4.710000000000008</v>
      </c>
      <c r="AD91" s="267">
        <v>-39.789999999999992</v>
      </c>
      <c r="AE91" s="268">
        <v>-109.78999999999999</v>
      </c>
    </row>
    <row r="92" spans="1:31">
      <c r="A92" s="109"/>
      <c r="B92" s="280" t="s">
        <v>426</v>
      </c>
      <c r="C92" s="118" t="s">
        <v>632</v>
      </c>
      <c r="D92" s="529">
        <v>183</v>
      </c>
      <c r="E92" s="535">
        <v>3.25</v>
      </c>
      <c r="F92" s="239" t="s">
        <v>190</v>
      </c>
      <c r="G92" s="315"/>
      <c r="I92" s="282">
        <v>50</v>
      </c>
      <c r="J92" s="282">
        <v>60</v>
      </c>
      <c r="K92" s="282">
        <v>71</v>
      </c>
      <c r="L92" s="282">
        <v>80</v>
      </c>
      <c r="M92" s="283">
        <v>96</v>
      </c>
      <c r="O92" s="282">
        <v>57</v>
      </c>
      <c r="P92" s="282">
        <v>67</v>
      </c>
      <c r="Q92" s="282">
        <v>81</v>
      </c>
      <c r="R92" s="282">
        <v>103</v>
      </c>
      <c r="S92" s="283">
        <v>138</v>
      </c>
      <c r="U92" s="282">
        <v>83.789999999999992</v>
      </c>
      <c r="V92" s="282">
        <v>63.789999999999992</v>
      </c>
      <c r="W92" s="282">
        <v>40.789999999999878</v>
      </c>
      <c r="X92" s="282">
        <v>23.789999999999992</v>
      </c>
      <c r="Y92" s="283">
        <v>-9.210000000000008</v>
      </c>
      <c r="AA92" s="282">
        <v>68.29000000000002</v>
      </c>
      <c r="AB92" s="282">
        <v>49.289999999999992</v>
      </c>
      <c r="AC92" s="282">
        <v>20.789999999999992</v>
      </c>
      <c r="AD92" s="282">
        <v>-23.710000000000008</v>
      </c>
      <c r="AE92" s="283">
        <v>-93.710000000000008</v>
      </c>
    </row>
    <row r="93" spans="1:31">
      <c r="B93" s="273" t="s">
        <v>426</v>
      </c>
      <c r="C93" s="286" t="s">
        <v>463</v>
      </c>
      <c r="D93" s="531">
        <v>199</v>
      </c>
      <c r="E93" s="532">
        <v>3.25</v>
      </c>
      <c r="F93" s="237" t="s">
        <v>190</v>
      </c>
      <c r="G93" s="314"/>
      <c r="I93" s="267">
        <v>45</v>
      </c>
      <c r="J93" s="267">
        <v>55</v>
      </c>
      <c r="K93" s="267">
        <v>67</v>
      </c>
      <c r="L93" s="267">
        <v>75</v>
      </c>
      <c r="M93" s="268">
        <v>92</v>
      </c>
      <c r="O93" s="267">
        <v>53</v>
      </c>
      <c r="P93" s="267">
        <v>63</v>
      </c>
      <c r="Q93" s="267">
        <v>77</v>
      </c>
      <c r="R93" s="267">
        <v>99</v>
      </c>
      <c r="S93" s="268">
        <v>134</v>
      </c>
      <c r="U93" s="267">
        <v>108.49000000000001</v>
      </c>
      <c r="V93" s="267">
        <v>88.490000000000009</v>
      </c>
      <c r="W93" s="267">
        <v>65.489999999999895</v>
      </c>
      <c r="X93" s="267">
        <v>48.490000000000009</v>
      </c>
      <c r="Y93" s="268">
        <v>15.490000000000009</v>
      </c>
      <c r="AA93" s="267">
        <v>92.990000000000038</v>
      </c>
      <c r="AB93" s="267">
        <v>73.990000000000009</v>
      </c>
      <c r="AC93" s="267">
        <v>45.490000000000009</v>
      </c>
      <c r="AD93" s="267">
        <v>0.99000000000000909</v>
      </c>
      <c r="AE93" s="268">
        <v>-69.009999999999991</v>
      </c>
    </row>
    <row r="94" spans="1:31">
      <c r="A94" s="109"/>
      <c r="B94" s="280" t="s">
        <v>426</v>
      </c>
      <c r="C94" s="281" t="s">
        <v>621</v>
      </c>
      <c r="D94" s="529">
        <v>255</v>
      </c>
      <c r="E94" s="535">
        <v>3.25</v>
      </c>
      <c r="F94" s="239" t="s">
        <v>190</v>
      </c>
      <c r="G94" s="315"/>
      <c r="I94" s="282">
        <v>64</v>
      </c>
      <c r="J94" s="282">
        <v>74</v>
      </c>
      <c r="K94" s="282">
        <v>86</v>
      </c>
      <c r="L94" s="282">
        <v>94</v>
      </c>
      <c r="M94" s="283">
        <v>111</v>
      </c>
      <c r="O94" s="282">
        <v>72</v>
      </c>
      <c r="P94" s="282">
        <v>81</v>
      </c>
      <c r="Q94" s="282">
        <v>96</v>
      </c>
      <c r="R94" s="282">
        <v>118</v>
      </c>
      <c r="S94" s="283">
        <v>153</v>
      </c>
      <c r="U94" s="282">
        <v>126.75</v>
      </c>
      <c r="V94" s="282">
        <v>106.75</v>
      </c>
      <c r="W94" s="282">
        <v>83.749999999999886</v>
      </c>
      <c r="X94" s="282">
        <v>66.75</v>
      </c>
      <c r="Y94" s="283">
        <v>33.75</v>
      </c>
      <c r="AA94" s="282">
        <v>111.25000000000003</v>
      </c>
      <c r="AB94" s="282">
        <v>92.25</v>
      </c>
      <c r="AC94" s="282">
        <v>63.75</v>
      </c>
      <c r="AD94" s="282">
        <v>19.25</v>
      </c>
      <c r="AE94" s="283">
        <v>-50.75</v>
      </c>
    </row>
    <row r="95" spans="1:31">
      <c r="B95" s="273" t="s">
        <v>426</v>
      </c>
      <c r="C95" s="286" t="s">
        <v>553</v>
      </c>
      <c r="D95" s="531">
        <v>353</v>
      </c>
      <c r="E95" s="532">
        <v>3.25</v>
      </c>
      <c r="F95" s="237" t="s">
        <v>190</v>
      </c>
      <c r="G95" s="314"/>
      <c r="I95" s="267">
        <v>64</v>
      </c>
      <c r="J95" s="267">
        <v>74</v>
      </c>
      <c r="K95" s="267">
        <v>85</v>
      </c>
      <c r="L95" s="267">
        <v>94</v>
      </c>
      <c r="M95" s="268">
        <v>110</v>
      </c>
      <c r="O95" s="267">
        <v>72</v>
      </c>
      <c r="P95" s="267">
        <v>81</v>
      </c>
      <c r="Q95" s="267">
        <v>95</v>
      </c>
      <c r="R95" s="267">
        <v>118</v>
      </c>
      <c r="S95" s="268">
        <v>153</v>
      </c>
      <c r="U95" s="267">
        <v>225.26</v>
      </c>
      <c r="V95" s="267">
        <v>205.26</v>
      </c>
      <c r="W95" s="267">
        <v>182.25999999999988</v>
      </c>
      <c r="X95" s="267">
        <v>165.26</v>
      </c>
      <c r="Y95" s="268">
        <v>132.26</v>
      </c>
      <c r="AA95" s="267">
        <v>209.76</v>
      </c>
      <c r="AB95" s="267">
        <v>190.76</v>
      </c>
      <c r="AC95" s="267">
        <v>162.26</v>
      </c>
      <c r="AD95" s="267">
        <v>117.75999999999999</v>
      </c>
      <c r="AE95" s="268">
        <v>47.759999999999991</v>
      </c>
    </row>
    <row r="96" spans="1:31">
      <c r="A96" s="109"/>
      <c r="B96" s="280" t="s">
        <v>426</v>
      </c>
      <c r="C96" s="281" t="s">
        <v>622</v>
      </c>
      <c r="D96" s="529">
        <v>481</v>
      </c>
      <c r="E96" s="535">
        <v>3.25</v>
      </c>
      <c r="F96" s="239" t="s">
        <v>190</v>
      </c>
      <c r="G96" s="315"/>
      <c r="I96" s="282">
        <v>99</v>
      </c>
      <c r="J96" s="282">
        <v>109</v>
      </c>
      <c r="K96" s="282">
        <v>120</v>
      </c>
      <c r="L96" s="282">
        <v>129</v>
      </c>
      <c r="M96" s="283">
        <v>145</v>
      </c>
      <c r="O96" s="282">
        <v>107</v>
      </c>
      <c r="P96" s="282">
        <v>116</v>
      </c>
      <c r="Q96" s="282">
        <v>130</v>
      </c>
      <c r="R96" s="282">
        <v>153</v>
      </c>
      <c r="S96" s="283">
        <v>188</v>
      </c>
      <c r="U96" s="282">
        <v>283.02999999999997</v>
      </c>
      <c r="V96" s="282">
        <v>263.02999999999997</v>
      </c>
      <c r="W96" s="282">
        <v>240.02999999999986</v>
      </c>
      <c r="X96" s="282">
        <v>223.02999999999997</v>
      </c>
      <c r="Y96" s="283">
        <v>190.02999999999997</v>
      </c>
      <c r="AA96" s="282">
        <v>267.52999999999997</v>
      </c>
      <c r="AB96" s="282">
        <v>248.52999999999997</v>
      </c>
      <c r="AC96" s="282">
        <v>220.02999999999997</v>
      </c>
      <c r="AD96" s="282">
        <v>175.52999999999997</v>
      </c>
      <c r="AE96" s="283">
        <v>105.52999999999997</v>
      </c>
    </row>
    <row r="97" spans="1:31">
      <c r="B97" s="273" t="s">
        <v>426</v>
      </c>
      <c r="C97" s="286" t="s">
        <v>549</v>
      </c>
      <c r="D97" s="531">
        <v>869</v>
      </c>
      <c r="E97" s="532">
        <v>3.25</v>
      </c>
      <c r="F97" s="237" t="s">
        <v>190</v>
      </c>
      <c r="G97" s="314"/>
      <c r="I97" s="267">
        <v>26</v>
      </c>
      <c r="J97" s="267">
        <v>176</v>
      </c>
      <c r="K97" s="267">
        <v>187</v>
      </c>
      <c r="L97" s="267">
        <v>196</v>
      </c>
      <c r="M97" s="268">
        <v>212</v>
      </c>
      <c r="O97" s="267">
        <v>34</v>
      </c>
      <c r="P97" s="267">
        <v>183</v>
      </c>
      <c r="Q97" s="267">
        <v>197</v>
      </c>
      <c r="R97" s="267">
        <v>219</v>
      </c>
      <c r="S97" s="268">
        <v>254</v>
      </c>
      <c r="U97" s="267">
        <v>817</v>
      </c>
      <c r="V97" s="267">
        <v>517.78</v>
      </c>
      <c r="W97" s="267">
        <v>494.77999999999986</v>
      </c>
      <c r="X97" s="267">
        <v>477.78</v>
      </c>
      <c r="Y97" s="268">
        <v>444.78</v>
      </c>
      <c r="AA97" s="267">
        <v>801.5</v>
      </c>
      <c r="AB97" s="267">
        <v>503.28</v>
      </c>
      <c r="AC97" s="267">
        <v>474.78</v>
      </c>
      <c r="AD97" s="267">
        <v>430.28</v>
      </c>
      <c r="AE97" s="268">
        <v>360.28</v>
      </c>
    </row>
    <row r="98" spans="1:31">
      <c r="A98" s="109"/>
      <c r="B98" s="280" t="s">
        <v>183</v>
      </c>
      <c r="C98" s="281" t="s">
        <v>613</v>
      </c>
      <c r="D98" s="529">
        <v>160</v>
      </c>
      <c r="E98" s="535">
        <v>3.25</v>
      </c>
      <c r="F98" s="239" t="s">
        <v>190</v>
      </c>
      <c r="G98" s="315"/>
      <c r="I98" s="282">
        <v>51</v>
      </c>
      <c r="J98" s="282">
        <v>61</v>
      </c>
      <c r="K98" s="282">
        <v>73</v>
      </c>
      <c r="L98" s="282">
        <v>81</v>
      </c>
      <c r="M98" s="283">
        <v>98</v>
      </c>
      <c r="O98" s="282">
        <v>59</v>
      </c>
      <c r="P98" s="282">
        <v>68</v>
      </c>
      <c r="Q98" s="282">
        <v>83</v>
      </c>
      <c r="R98" s="282">
        <v>105</v>
      </c>
      <c r="S98" s="283">
        <v>140</v>
      </c>
      <c r="U98" s="282">
        <v>57.980000000000004</v>
      </c>
      <c r="V98" s="282">
        <v>37.980000000000004</v>
      </c>
      <c r="W98" s="282">
        <v>14.97999999999989</v>
      </c>
      <c r="X98" s="282">
        <v>-2.019999999999996</v>
      </c>
      <c r="Y98" s="283">
        <v>-35.019999999999996</v>
      </c>
      <c r="AA98" s="282">
        <v>42.480000000000032</v>
      </c>
      <c r="AB98" s="282">
        <v>23.480000000000004</v>
      </c>
      <c r="AC98" s="282">
        <v>-5.019999999999996</v>
      </c>
      <c r="AD98" s="282">
        <v>-49.519999999999996</v>
      </c>
      <c r="AE98" s="283">
        <v>-119.52</v>
      </c>
    </row>
    <row r="99" spans="1:31">
      <c r="B99" s="273" t="s">
        <v>183</v>
      </c>
      <c r="C99" s="286" t="s">
        <v>600</v>
      </c>
      <c r="D99" s="531">
        <v>176</v>
      </c>
      <c r="E99" s="532">
        <v>3.25</v>
      </c>
      <c r="F99" s="237" t="s">
        <v>190</v>
      </c>
      <c r="G99" s="314"/>
      <c r="I99" s="267">
        <v>54</v>
      </c>
      <c r="J99" s="267">
        <v>64</v>
      </c>
      <c r="K99" s="267">
        <v>75</v>
      </c>
      <c r="L99" s="267">
        <v>84</v>
      </c>
      <c r="M99" s="268">
        <v>100</v>
      </c>
      <c r="O99" s="267">
        <v>62</v>
      </c>
      <c r="P99" s="267">
        <v>71</v>
      </c>
      <c r="Q99" s="267">
        <v>85</v>
      </c>
      <c r="R99" s="267">
        <v>108</v>
      </c>
      <c r="S99" s="268">
        <v>143</v>
      </c>
      <c r="U99" s="267">
        <v>68.180000000000007</v>
      </c>
      <c r="V99" s="267">
        <v>48.180000000000007</v>
      </c>
      <c r="W99" s="267">
        <v>25.179999999999893</v>
      </c>
      <c r="X99" s="267">
        <v>8.1800000000000068</v>
      </c>
      <c r="Y99" s="268">
        <v>-24.819999999999993</v>
      </c>
      <c r="AA99" s="267">
        <v>52.680000000000035</v>
      </c>
      <c r="AB99" s="267">
        <v>33.680000000000007</v>
      </c>
      <c r="AC99" s="267">
        <v>5.1800000000000068</v>
      </c>
      <c r="AD99" s="267">
        <v>-39.319999999999993</v>
      </c>
      <c r="AE99" s="268">
        <v>-109.32</v>
      </c>
    </row>
    <row r="100" spans="1:31">
      <c r="A100" s="109"/>
      <c r="B100" s="280" t="s">
        <v>183</v>
      </c>
      <c r="C100" s="281" t="s">
        <v>554</v>
      </c>
      <c r="D100" s="529">
        <v>245</v>
      </c>
      <c r="E100" s="535">
        <v>3.25</v>
      </c>
      <c r="F100" s="239" t="s">
        <v>190</v>
      </c>
      <c r="G100" s="315"/>
      <c r="I100" s="282">
        <v>66</v>
      </c>
      <c r="J100" s="282">
        <v>76</v>
      </c>
      <c r="K100" s="282">
        <v>87</v>
      </c>
      <c r="L100" s="282">
        <v>96</v>
      </c>
      <c r="M100" s="283">
        <v>112</v>
      </c>
      <c r="O100" s="282">
        <v>74</v>
      </c>
      <c r="P100" s="282">
        <v>83</v>
      </c>
      <c r="Q100" s="282">
        <v>97</v>
      </c>
      <c r="R100" s="282">
        <v>120</v>
      </c>
      <c r="S100" s="283">
        <v>155</v>
      </c>
      <c r="U100" s="282">
        <v>113.32</v>
      </c>
      <c r="V100" s="282">
        <v>93.32</v>
      </c>
      <c r="W100" s="282">
        <v>70.319999999999879</v>
      </c>
      <c r="X100" s="282">
        <v>53.319999999999993</v>
      </c>
      <c r="Y100" s="283">
        <v>20.319999999999993</v>
      </c>
      <c r="AA100" s="282">
        <v>97.820000000000022</v>
      </c>
      <c r="AB100" s="282">
        <v>78.819999999999993</v>
      </c>
      <c r="AC100" s="282">
        <v>50.319999999999993</v>
      </c>
      <c r="AD100" s="282">
        <v>5.8199999999999932</v>
      </c>
      <c r="AE100" s="283">
        <v>-64.180000000000007</v>
      </c>
    </row>
    <row r="101" spans="1:31">
      <c r="B101" s="273" t="s">
        <v>183</v>
      </c>
      <c r="C101" s="286" t="s">
        <v>623</v>
      </c>
      <c r="D101" s="531">
        <v>1072</v>
      </c>
      <c r="E101" s="532">
        <v>3.25</v>
      </c>
      <c r="F101" s="237" t="s">
        <v>190</v>
      </c>
      <c r="G101" s="314"/>
      <c r="I101" s="267">
        <v>26</v>
      </c>
      <c r="J101" s="267">
        <v>206</v>
      </c>
      <c r="K101" s="267">
        <v>218</v>
      </c>
      <c r="L101" s="267">
        <v>226</v>
      </c>
      <c r="M101" s="268">
        <v>243</v>
      </c>
      <c r="O101" s="267">
        <v>34</v>
      </c>
      <c r="P101" s="267">
        <v>214</v>
      </c>
      <c r="Q101" s="267">
        <v>228</v>
      </c>
      <c r="R101" s="267">
        <v>250</v>
      </c>
      <c r="S101" s="268">
        <v>285</v>
      </c>
      <c r="U101" s="267">
        <v>1020</v>
      </c>
      <c r="V101" s="267">
        <v>659.45</v>
      </c>
      <c r="W101" s="267">
        <v>636.44999999999993</v>
      </c>
      <c r="X101" s="267">
        <v>619.45000000000005</v>
      </c>
      <c r="Y101" s="268">
        <v>586.45000000000005</v>
      </c>
      <c r="AA101" s="267">
        <v>1004.5</v>
      </c>
      <c r="AB101" s="267">
        <v>644.95000000000005</v>
      </c>
      <c r="AC101" s="267">
        <v>616.45000000000005</v>
      </c>
      <c r="AD101" s="267">
        <v>571.95000000000005</v>
      </c>
      <c r="AE101" s="268">
        <v>501.95000000000005</v>
      </c>
    </row>
    <row r="102" spans="1:31">
      <c r="A102" s="109"/>
      <c r="B102" s="280" t="s">
        <v>183</v>
      </c>
      <c r="C102" s="281" t="s">
        <v>550</v>
      </c>
      <c r="D102" s="529">
        <v>428</v>
      </c>
      <c r="E102" s="535">
        <v>3.25</v>
      </c>
      <c r="F102" s="239" t="s">
        <v>190</v>
      </c>
      <c r="G102" s="315"/>
      <c r="I102" s="282">
        <v>104</v>
      </c>
      <c r="J102" s="282">
        <v>114</v>
      </c>
      <c r="K102" s="282">
        <v>126</v>
      </c>
      <c r="L102" s="282">
        <v>134</v>
      </c>
      <c r="M102" s="283">
        <v>151</v>
      </c>
      <c r="O102" s="282">
        <v>112</v>
      </c>
      <c r="P102" s="282">
        <v>122</v>
      </c>
      <c r="Q102" s="282">
        <v>136</v>
      </c>
      <c r="R102" s="282">
        <v>158</v>
      </c>
      <c r="S102" s="283">
        <v>193</v>
      </c>
      <c r="U102" s="282">
        <v>219.39</v>
      </c>
      <c r="V102" s="282">
        <v>199.39</v>
      </c>
      <c r="W102" s="282">
        <v>176.38999999999987</v>
      </c>
      <c r="X102" s="282">
        <v>159.38999999999999</v>
      </c>
      <c r="Y102" s="283">
        <v>126.38999999999999</v>
      </c>
      <c r="AA102" s="282">
        <v>203.89</v>
      </c>
      <c r="AB102" s="282">
        <v>184.89</v>
      </c>
      <c r="AC102" s="282">
        <v>156.38999999999999</v>
      </c>
      <c r="AD102" s="282">
        <v>111.88999999999999</v>
      </c>
      <c r="AE102" s="283">
        <v>41.889999999999986</v>
      </c>
    </row>
    <row r="103" spans="1:31">
      <c r="B103" s="273" t="s">
        <v>183</v>
      </c>
      <c r="C103" s="286" t="s">
        <v>601</v>
      </c>
      <c r="D103" s="531">
        <v>364</v>
      </c>
      <c r="E103" s="532">
        <v>3.25</v>
      </c>
      <c r="F103" s="237" t="s">
        <v>190</v>
      </c>
      <c r="G103" s="314"/>
      <c r="I103" s="267">
        <v>79</v>
      </c>
      <c r="J103" s="267">
        <v>89</v>
      </c>
      <c r="K103" s="267">
        <v>100</v>
      </c>
      <c r="L103" s="267">
        <v>109</v>
      </c>
      <c r="M103" s="268">
        <v>125</v>
      </c>
      <c r="O103" s="267">
        <v>87</v>
      </c>
      <c r="P103" s="267">
        <v>96</v>
      </c>
      <c r="Q103" s="267">
        <v>110</v>
      </c>
      <c r="R103" s="267">
        <v>133</v>
      </c>
      <c r="S103" s="268">
        <v>168</v>
      </c>
      <c r="U103" s="267">
        <v>206.2</v>
      </c>
      <c r="V103" s="267">
        <v>186.2</v>
      </c>
      <c r="W103" s="267">
        <v>163.19999999999987</v>
      </c>
      <c r="X103" s="267">
        <v>146.19999999999999</v>
      </c>
      <c r="Y103" s="268">
        <v>113.19999999999999</v>
      </c>
      <c r="AA103" s="267">
        <v>190.7</v>
      </c>
      <c r="AB103" s="267">
        <v>171.7</v>
      </c>
      <c r="AC103" s="267">
        <v>143.19999999999999</v>
      </c>
      <c r="AD103" s="267">
        <v>98.699999999999989</v>
      </c>
      <c r="AE103" s="268">
        <v>28.699999999999989</v>
      </c>
    </row>
    <row r="104" spans="1:31">
      <c r="A104" s="109"/>
      <c r="B104" s="280" t="s">
        <v>183</v>
      </c>
      <c r="C104" s="281" t="s">
        <v>551</v>
      </c>
      <c r="D104" s="529">
        <v>524</v>
      </c>
      <c r="E104" s="535">
        <v>3.25</v>
      </c>
      <c r="F104" s="239" t="s">
        <v>190</v>
      </c>
      <c r="G104" s="345"/>
      <c r="I104" s="282">
        <v>107</v>
      </c>
      <c r="J104" s="282">
        <v>117</v>
      </c>
      <c r="K104" s="282">
        <v>128</v>
      </c>
      <c r="L104" s="282">
        <v>137</v>
      </c>
      <c r="M104" s="283">
        <v>153</v>
      </c>
      <c r="O104" s="282">
        <v>115</v>
      </c>
      <c r="P104" s="282">
        <v>124</v>
      </c>
      <c r="Q104" s="282">
        <v>138</v>
      </c>
      <c r="R104" s="282">
        <v>161</v>
      </c>
      <c r="S104" s="283">
        <v>196</v>
      </c>
      <c r="U104" s="282">
        <v>310.42</v>
      </c>
      <c r="V104" s="282">
        <v>290.42</v>
      </c>
      <c r="W104" s="282">
        <v>267.4199999999999</v>
      </c>
      <c r="X104" s="282">
        <v>250.42000000000002</v>
      </c>
      <c r="Y104" s="283">
        <v>217.42000000000002</v>
      </c>
      <c r="AA104" s="282">
        <v>294.92</v>
      </c>
      <c r="AB104" s="282">
        <v>275.92</v>
      </c>
      <c r="AC104" s="282">
        <v>247.42000000000002</v>
      </c>
      <c r="AD104" s="282">
        <v>202.92000000000002</v>
      </c>
      <c r="AE104" s="283">
        <v>132.92000000000002</v>
      </c>
    </row>
    <row r="105" spans="1:31">
      <c r="B105" s="273" t="s">
        <v>64</v>
      </c>
      <c r="C105" s="286" t="s">
        <v>383</v>
      </c>
      <c r="D105" s="531">
        <v>74</v>
      </c>
      <c r="E105" s="532">
        <v>1.1000000000000001</v>
      </c>
      <c r="F105" s="237" t="s">
        <v>284</v>
      </c>
      <c r="G105" s="516"/>
      <c r="I105" s="267">
        <v>37</v>
      </c>
      <c r="J105" s="267">
        <v>37</v>
      </c>
      <c r="K105" s="267">
        <v>37</v>
      </c>
      <c r="L105" s="267">
        <v>37</v>
      </c>
      <c r="M105" s="268">
        <v>37</v>
      </c>
      <c r="O105" s="267">
        <v>37</v>
      </c>
      <c r="P105" s="267">
        <v>37</v>
      </c>
      <c r="Q105" s="267">
        <v>37</v>
      </c>
      <c r="R105" s="267">
        <v>37</v>
      </c>
      <c r="S105" s="268">
        <v>37</v>
      </c>
      <c r="U105" s="267">
        <v>0</v>
      </c>
      <c r="V105" s="267">
        <v>0</v>
      </c>
      <c r="W105" s="267">
        <v>0</v>
      </c>
      <c r="X105" s="267">
        <v>0</v>
      </c>
      <c r="Y105" s="268">
        <v>0</v>
      </c>
      <c r="AA105" s="267">
        <v>0</v>
      </c>
      <c r="AB105" s="267">
        <v>0</v>
      </c>
      <c r="AC105" s="267">
        <v>0</v>
      </c>
      <c r="AD105" s="267">
        <v>0</v>
      </c>
      <c r="AE105" s="268">
        <v>0</v>
      </c>
    </row>
    <row r="106" spans="1:31">
      <c r="A106" s="109"/>
      <c r="B106" s="280" t="s">
        <v>64</v>
      </c>
      <c r="C106" s="281" t="s">
        <v>555</v>
      </c>
      <c r="D106" s="529">
        <v>70</v>
      </c>
      <c r="E106" s="535">
        <v>1.1000000000000001</v>
      </c>
      <c r="F106" s="239" t="s">
        <v>284</v>
      </c>
      <c r="G106" s="345"/>
      <c r="I106" s="282">
        <v>35</v>
      </c>
      <c r="J106" s="282">
        <v>0</v>
      </c>
      <c r="K106" s="282">
        <v>0</v>
      </c>
      <c r="L106" s="282">
        <v>0</v>
      </c>
      <c r="M106" s="283">
        <v>0</v>
      </c>
      <c r="O106" s="282">
        <v>35</v>
      </c>
      <c r="P106" s="282">
        <v>0</v>
      </c>
      <c r="Q106" s="282">
        <v>0</v>
      </c>
      <c r="R106" s="282">
        <v>0</v>
      </c>
      <c r="S106" s="283">
        <v>0</v>
      </c>
      <c r="U106" s="282">
        <v>0</v>
      </c>
      <c r="V106" s="282" t="s">
        <v>15</v>
      </c>
      <c r="W106" s="282" t="s">
        <v>15</v>
      </c>
      <c r="X106" s="282" t="s">
        <v>15</v>
      </c>
      <c r="Y106" s="283" t="s">
        <v>15</v>
      </c>
      <c r="AA106" s="282">
        <v>0</v>
      </c>
      <c r="AB106" s="282" t="s">
        <v>15</v>
      </c>
      <c r="AC106" s="282" t="s">
        <v>15</v>
      </c>
      <c r="AD106" s="282" t="s">
        <v>15</v>
      </c>
      <c r="AE106" s="283" t="s">
        <v>15</v>
      </c>
    </row>
    <row r="107" spans="1:31">
      <c r="B107" s="273" t="s">
        <v>64</v>
      </c>
      <c r="C107" s="286" t="s">
        <v>556</v>
      </c>
      <c r="D107" s="531">
        <v>0</v>
      </c>
      <c r="E107" s="532">
        <v>1.1000000000000001</v>
      </c>
      <c r="F107" s="237" t="s">
        <v>284</v>
      </c>
      <c r="G107" s="516"/>
      <c r="I107" s="267">
        <v>0</v>
      </c>
      <c r="J107" s="267">
        <v>0</v>
      </c>
      <c r="K107" s="267">
        <v>0</v>
      </c>
      <c r="L107" s="267">
        <v>0</v>
      </c>
      <c r="M107" s="268">
        <v>0</v>
      </c>
      <c r="O107" s="267">
        <v>0</v>
      </c>
      <c r="P107" s="267">
        <v>0</v>
      </c>
      <c r="Q107" s="267">
        <v>0</v>
      </c>
      <c r="R107" s="267">
        <v>0</v>
      </c>
      <c r="S107" s="268">
        <v>0</v>
      </c>
      <c r="U107" s="267" t="s">
        <v>15</v>
      </c>
      <c r="V107" s="267" t="s">
        <v>15</v>
      </c>
      <c r="W107" s="267" t="s">
        <v>15</v>
      </c>
      <c r="X107" s="267" t="s">
        <v>15</v>
      </c>
      <c r="Y107" s="268" t="s">
        <v>15</v>
      </c>
      <c r="AA107" s="267" t="s">
        <v>15</v>
      </c>
      <c r="AB107" s="267" t="s">
        <v>15</v>
      </c>
      <c r="AC107" s="267" t="s">
        <v>15</v>
      </c>
      <c r="AD107" s="267" t="s">
        <v>15</v>
      </c>
      <c r="AE107" s="268" t="s">
        <v>15</v>
      </c>
    </row>
    <row r="108" spans="1:31">
      <c r="A108" s="109"/>
      <c r="B108" s="280" t="s">
        <v>64</v>
      </c>
      <c r="C108" s="281" t="s">
        <v>331</v>
      </c>
      <c r="D108" s="533">
        <v>104</v>
      </c>
      <c r="E108" s="534">
        <v>1.1000000000000001</v>
      </c>
      <c r="F108" s="239" t="s">
        <v>284</v>
      </c>
      <c r="G108" s="345"/>
      <c r="I108" s="282">
        <v>40</v>
      </c>
      <c r="J108" s="282">
        <v>0</v>
      </c>
      <c r="K108" s="282">
        <v>0</v>
      </c>
      <c r="L108" s="282">
        <v>0</v>
      </c>
      <c r="M108" s="283">
        <v>0</v>
      </c>
      <c r="O108" s="282">
        <v>40</v>
      </c>
      <c r="P108" s="282">
        <v>0</v>
      </c>
      <c r="Q108" s="282">
        <v>0</v>
      </c>
      <c r="R108" s="282">
        <v>0</v>
      </c>
      <c r="S108" s="283">
        <v>0</v>
      </c>
      <c r="U108" s="282">
        <v>24</v>
      </c>
      <c r="V108" s="282" t="s">
        <v>15</v>
      </c>
      <c r="W108" s="282" t="s">
        <v>15</v>
      </c>
      <c r="X108" s="282" t="s">
        <v>15</v>
      </c>
      <c r="Y108" s="283" t="s">
        <v>15</v>
      </c>
      <c r="AA108" s="282">
        <v>24</v>
      </c>
      <c r="AB108" s="282" t="s">
        <v>15</v>
      </c>
      <c r="AC108" s="282" t="s">
        <v>15</v>
      </c>
      <c r="AD108" s="282" t="s">
        <v>15</v>
      </c>
      <c r="AE108" s="283" t="s">
        <v>15</v>
      </c>
    </row>
    <row r="109" spans="1:31">
      <c r="B109" s="273" t="s">
        <v>64</v>
      </c>
      <c r="C109" s="286" t="s">
        <v>332</v>
      </c>
      <c r="D109" s="531">
        <v>0</v>
      </c>
      <c r="E109" s="532">
        <v>1.1000000000000001</v>
      </c>
      <c r="F109" s="237" t="s">
        <v>284</v>
      </c>
      <c r="G109" s="314"/>
      <c r="I109" s="267">
        <v>0</v>
      </c>
      <c r="J109" s="267">
        <v>0</v>
      </c>
      <c r="K109" s="267">
        <v>0</v>
      </c>
      <c r="L109" s="267">
        <v>0</v>
      </c>
      <c r="M109" s="268">
        <v>0</v>
      </c>
      <c r="O109" s="267">
        <v>0</v>
      </c>
      <c r="P109" s="267">
        <v>0</v>
      </c>
      <c r="Q109" s="267">
        <v>0</v>
      </c>
      <c r="R109" s="267">
        <v>0</v>
      </c>
      <c r="S109" s="268">
        <v>0</v>
      </c>
      <c r="U109" s="267" t="s">
        <v>15</v>
      </c>
      <c r="V109" s="267" t="s">
        <v>15</v>
      </c>
      <c r="W109" s="267" t="s">
        <v>15</v>
      </c>
      <c r="X109" s="267" t="s">
        <v>15</v>
      </c>
      <c r="Y109" s="268" t="s">
        <v>15</v>
      </c>
      <c r="AA109" s="267" t="s">
        <v>15</v>
      </c>
      <c r="AB109" s="267" t="s">
        <v>15</v>
      </c>
      <c r="AC109" s="267" t="s">
        <v>15</v>
      </c>
      <c r="AD109" s="267" t="s">
        <v>15</v>
      </c>
      <c r="AE109" s="268" t="s">
        <v>15</v>
      </c>
    </row>
    <row r="110" spans="1:31">
      <c r="A110" s="109"/>
      <c r="B110" s="280" t="s">
        <v>64</v>
      </c>
      <c r="C110" s="281" t="s">
        <v>196</v>
      </c>
      <c r="D110" s="533">
        <v>0</v>
      </c>
      <c r="E110" s="534">
        <v>1.1000000000000001</v>
      </c>
      <c r="F110" s="239" t="s">
        <v>284</v>
      </c>
      <c r="G110" s="315"/>
      <c r="I110" s="282">
        <v>0</v>
      </c>
      <c r="J110" s="282">
        <v>0</v>
      </c>
      <c r="K110" s="282">
        <v>0</v>
      </c>
      <c r="L110" s="282">
        <v>0</v>
      </c>
      <c r="M110" s="283">
        <v>0</v>
      </c>
      <c r="O110" s="282">
        <v>0</v>
      </c>
      <c r="P110" s="282">
        <v>0</v>
      </c>
      <c r="Q110" s="282">
        <v>0</v>
      </c>
      <c r="R110" s="282">
        <v>0</v>
      </c>
      <c r="S110" s="283">
        <v>0</v>
      </c>
      <c r="U110" s="282" t="s">
        <v>15</v>
      </c>
      <c r="V110" s="282" t="s">
        <v>15</v>
      </c>
      <c r="W110" s="282" t="s">
        <v>15</v>
      </c>
      <c r="X110" s="282" t="s">
        <v>15</v>
      </c>
      <c r="Y110" s="283" t="s">
        <v>15</v>
      </c>
      <c r="AA110" s="282" t="s">
        <v>15</v>
      </c>
      <c r="AB110" s="282" t="s">
        <v>15</v>
      </c>
      <c r="AC110" s="282" t="s">
        <v>15</v>
      </c>
      <c r="AD110" s="282" t="s">
        <v>15</v>
      </c>
      <c r="AE110" s="283" t="s">
        <v>15</v>
      </c>
    </row>
    <row r="111" spans="1:31">
      <c r="B111" s="273" t="s">
        <v>64</v>
      </c>
      <c r="C111" s="123" t="s">
        <v>633</v>
      </c>
      <c r="D111" s="531">
        <v>115</v>
      </c>
      <c r="E111" s="532">
        <v>1.1000000000000001</v>
      </c>
      <c r="F111" s="237" t="s">
        <v>284</v>
      </c>
      <c r="G111" s="314"/>
      <c r="I111" s="267">
        <v>39</v>
      </c>
      <c r="J111" s="267">
        <v>0</v>
      </c>
      <c r="K111" s="267">
        <v>0</v>
      </c>
      <c r="L111" s="267">
        <v>0</v>
      </c>
      <c r="M111" s="268">
        <v>0</v>
      </c>
      <c r="O111" s="267">
        <v>39</v>
      </c>
      <c r="P111" s="267">
        <v>0</v>
      </c>
      <c r="Q111" s="267">
        <v>0</v>
      </c>
      <c r="R111" s="267">
        <v>0</v>
      </c>
      <c r="S111" s="268">
        <v>0</v>
      </c>
      <c r="U111" s="267">
        <v>38</v>
      </c>
      <c r="V111" s="267" t="s">
        <v>15</v>
      </c>
      <c r="W111" s="267" t="s">
        <v>15</v>
      </c>
      <c r="X111" s="267" t="s">
        <v>15</v>
      </c>
      <c r="Y111" s="268" t="s">
        <v>15</v>
      </c>
      <c r="AA111" s="267">
        <v>38</v>
      </c>
      <c r="AB111" s="267" t="s">
        <v>15</v>
      </c>
      <c r="AC111" s="267" t="s">
        <v>15</v>
      </c>
      <c r="AD111" s="267" t="s">
        <v>15</v>
      </c>
      <c r="AE111" s="268" t="s">
        <v>15</v>
      </c>
    </row>
    <row r="112" spans="1:31">
      <c r="A112" s="109"/>
      <c r="B112" s="280" t="s">
        <v>64</v>
      </c>
      <c r="C112" s="118" t="s">
        <v>634</v>
      </c>
      <c r="D112" s="533">
        <v>0</v>
      </c>
      <c r="E112" s="534">
        <v>1.1000000000000001</v>
      </c>
      <c r="F112" s="239" t="s">
        <v>284</v>
      </c>
      <c r="G112" s="345"/>
      <c r="I112" s="282">
        <v>0</v>
      </c>
      <c r="J112" s="282">
        <v>0</v>
      </c>
      <c r="K112" s="282">
        <v>0</v>
      </c>
      <c r="L112" s="282">
        <v>0</v>
      </c>
      <c r="M112" s="283">
        <v>0</v>
      </c>
      <c r="O112" s="282">
        <v>0</v>
      </c>
      <c r="P112" s="282">
        <v>0</v>
      </c>
      <c r="Q112" s="282">
        <v>0</v>
      </c>
      <c r="R112" s="282">
        <v>0</v>
      </c>
      <c r="S112" s="283">
        <v>0</v>
      </c>
      <c r="U112" s="282" t="s">
        <v>15</v>
      </c>
      <c r="V112" s="282" t="s">
        <v>15</v>
      </c>
      <c r="W112" s="282" t="s">
        <v>15</v>
      </c>
      <c r="X112" s="282" t="s">
        <v>15</v>
      </c>
      <c r="Y112" s="283" t="s">
        <v>15</v>
      </c>
      <c r="AA112" s="282" t="s">
        <v>15</v>
      </c>
      <c r="AB112" s="282" t="s">
        <v>15</v>
      </c>
      <c r="AC112" s="282" t="s">
        <v>15</v>
      </c>
      <c r="AD112" s="282" t="s">
        <v>15</v>
      </c>
      <c r="AE112" s="283" t="s">
        <v>15</v>
      </c>
    </row>
    <row r="113" spans="1:31">
      <c r="B113" s="273" t="s">
        <v>116</v>
      </c>
      <c r="C113" s="286" t="s">
        <v>329</v>
      </c>
      <c r="D113" s="531">
        <v>547</v>
      </c>
      <c r="E113" s="532">
        <v>0</v>
      </c>
      <c r="F113" s="237" t="s">
        <v>460</v>
      </c>
      <c r="G113" s="314"/>
      <c r="I113" s="267">
        <v>176</v>
      </c>
      <c r="J113" s="267">
        <v>176</v>
      </c>
      <c r="K113" s="267">
        <v>176</v>
      </c>
      <c r="L113" s="267">
        <v>176</v>
      </c>
      <c r="M113" s="268">
        <v>176</v>
      </c>
      <c r="O113" s="267">
        <v>176</v>
      </c>
      <c r="P113" s="267">
        <v>176</v>
      </c>
      <c r="Q113" s="267">
        <v>176</v>
      </c>
      <c r="R113" s="267">
        <v>176</v>
      </c>
      <c r="S113" s="268">
        <v>176</v>
      </c>
      <c r="U113" s="267">
        <v>195</v>
      </c>
      <c r="V113" s="267">
        <v>195</v>
      </c>
      <c r="W113" s="267">
        <v>195</v>
      </c>
      <c r="X113" s="267">
        <v>195</v>
      </c>
      <c r="Y113" s="268">
        <v>195</v>
      </c>
      <c r="AA113" s="267">
        <v>195</v>
      </c>
      <c r="AB113" s="267">
        <v>195</v>
      </c>
      <c r="AC113" s="267">
        <v>195</v>
      </c>
      <c r="AD113" s="267">
        <v>195</v>
      </c>
      <c r="AE113" s="268">
        <v>195</v>
      </c>
    </row>
    <row r="114" spans="1:31">
      <c r="A114" s="109"/>
      <c r="B114" s="280" t="s">
        <v>65</v>
      </c>
      <c r="C114" s="281" t="s">
        <v>499</v>
      </c>
      <c r="D114" s="533">
        <v>186</v>
      </c>
      <c r="E114" s="534">
        <v>3.25</v>
      </c>
      <c r="F114" s="239" t="s">
        <v>190</v>
      </c>
      <c r="G114" s="345"/>
      <c r="I114" s="282">
        <v>26</v>
      </c>
      <c r="J114" s="282">
        <v>36</v>
      </c>
      <c r="K114" s="282">
        <v>48</v>
      </c>
      <c r="L114" s="282">
        <v>56</v>
      </c>
      <c r="M114" s="283">
        <v>73</v>
      </c>
      <c r="O114" s="282">
        <v>34</v>
      </c>
      <c r="P114" s="282">
        <v>43</v>
      </c>
      <c r="Q114" s="282">
        <v>58</v>
      </c>
      <c r="R114" s="282">
        <v>80</v>
      </c>
      <c r="S114" s="283">
        <v>115</v>
      </c>
      <c r="U114" s="282">
        <v>134</v>
      </c>
      <c r="V114" s="282">
        <v>114</v>
      </c>
      <c r="W114" s="282">
        <v>90.999999999999886</v>
      </c>
      <c r="X114" s="282">
        <v>74</v>
      </c>
      <c r="Y114" s="283">
        <v>41</v>
      </c>
      <c r="AA114" s="282">
        <v>118.50000000000003</v>
      </c>
      <c r="AB114" s="282">
        <v>99.5</v>
      </c>
      <c r="AC114" s="282">
        <v>71</v>
      </c>
      <c r="AD114" s="282">
        <v>26.5</v>
      </c>
      <c r="AE114" s="283">
        <v>-43.5</v>
      </c>
    </row>
    <row r="115" spans="1:31">
      <c r="B115" s="273" t="s">
        <v>65</v>
      </c>
      <c r="C115" s="286" t="s">
        <v>465</v>
      </c>
      <c r="D115" s="531">
        <v>215</v>
      </c>
      <c r="E115" s="532">
        <v>3.25</v>
      </c>
      <c r="F115" s="237" t="s">
        <v>190</v>
      </c>
      <c r="G115" s="314"/>
      <c r="I115" s="267">
        <v>26</v>
      </c>
      <c r="J115" s="267">
        <v>36</v>
      </c>
      <c r="K115" s="267">
        <v>48</v>
      </c>
      <c r="L115" s="267">
        <v>56</v>
      </c>
      <c r="M115" s="268">
        <v>73</v>
      </c>
      <c r="O115" s="267">
        <v>34</v>
      </c>
      <c r="P115" s="267">
        <v>43</v>
      </c>
      <c r="Q115" s="267">
        <v>58</v>
      </c>
      <c r="R115" s="267">
        <v>80</v>
      </c>
      <c r="S115" s="268">
        <v>115</v>
      </c>
      <c r="U115" s="267">
        <v>163</v>
      </c>
      <c r="V115" s="267">
        <v>143</v>
      </c>
      <c r="W115" s="267">
        <v>119.99999999999989</v>
      </c>
      <c r="X115" s="267">
        <v>103</v>
      </c>
      <c r="Y115" s="268">
        <v>70</v>
      </c>
      <c r="AA115" s="267">
        <v>147.50000000000003</v>
      </c>
      <c r="AB115" s="267">
        <v>128.5</v>
      </c>
      <c r="AC115" s="267">
        <v>100</v>
      </c>
      <c r="AD115" s="267">
        <v>55.5</v>
      </c>
      <c r="AE115" s="268">
        <v>-14.5</v>
      </c>
    </row>
    <row r="116" spans="1:31">
      <c r="A116" s="109"/>
      <c r="B116" s="280" t="s">
        <v>65</v>
      </c>
      <c r="C116" s="281" t="s">
        <v>614</v>
      </c>
      <c r="D116" s="533">
        <v>186</v>
      </c>
      <c r="E116" s="534">
        <v>3.25</v>
      </c>
      <c r="F116" s="239" t="s">
        <v>190</v>
      </c>
      <c r="G116" s="345"/>
      <c r="I116" s="282">
        <v>50</v>
      </c>
      <c r="J116" s="282">
        <v>60</v>
      </c>
      <c r="K116" s="282">
        <v>72</v>
      </c>
      <c r="L116" s="282">
        <v>80</v>
      </c>
      <c r="M116" s="283">
        <v>97</v>
      </c>
      <c r="O116" s="282">
        <v>58</v>
      </c>
      <c r="P116" s="282">
        <v>68</v>
      </c>
      <c r="Q116" s="282">
        <v>82</v>
      </c>
      <c r="R116" s="282">
        <v>104</v>
      </c>
      <c r="S116" s="283">
        <v>139</v>
      </c>
      <c r="U116" s="282">
        <v>85.25</v>
      </c>
      <c r="V116" s="282">
        <v>65.25</v>
      </c>
      <c r="W116" s="282">
        <v>42.249999999999886</v>
      </c>
      <c r="X116" s="282">
        <v>25.25</v>
      </c>
      <c r="Y116" s="283">
        <v>-7.75</v>
      </c>
      <c r="AA116" s="282">
        <v>69.750000000000028</v>
      </c>
      <c r="AB116" s="282">
        <v>50.75</v>
      </c>
      <c r="AC116" s="282">
        <v>22.25</v>
      </c>
      <c r="AD116" s="282">
        <v>-22.25</v>
      </c>
      <c r="AE116" s="283">
        <v>-92.25</v>
      </c>
    </row>
    <row r="117" spans="1:31">
      <c r="B117" s="273" t="s">
        <v>65</v>
      </c>
      <c r="C117" s="286" t="s">
        <v>615</v>
      </c>
      <c r="D117" s="531">
        <v>248</v>
      </c>
      <c r="E117" s="532">
        <v>3.25</v>
      </c>
      <c r="F117" s="237" t="s">
        <v>190</v>
      </c>
      <c r="G117" s="314"/>
      <c r="I117" s="267">
        <v>75</v>
      </c>
      <c r="J117" s="267">
        <v>85</v>
      </c>
      <c r="K117" s="267">
        <v>97</v>
      </c>
      <c r="L117" s="267">
        <v>105</v>
      </c>
      <c r="M117" s="268">
        <v>122</v>
      </c>
      <c r="O117" s="267">
        <v>83</v>
      </c>
      <c r="P117" s="267">
        <v>92</v>
      </c>
      <c r="Q117" s="267">
        <v>107</v>
      </c>
      <c r="R117" s="267">
        <v>129</v>
      </c>
      <c r="S117" s="268">
        <v>164</v>
      </c>
      <c r="U117" s="267">
        <v>98</v>
      </c>
      <c r="V117" s="267">
        <v>78</v>
      </c>
      <c r="W117" s="267">
        <v>54.999999999999886</v>
      </c>
      <c r="X117" s="267">
        <v>38</v>
      </c>
      <c r="Y117" s="268">
        <v>5</v>
      </c>
      <c r="AA117" s="267">
        <v>82.500000000000028</v>
      </c>
      <c r="AB117" s="267">
        <v>63.5</v>
      </c>
      <c r="AC117" s="267">
        <v>35</v>
      </c>
      <c r="AD117" s="267">
        <v>-9.5</v>
      </c>
      <c r="AE117" s="268">
        <v>-79.5</v>
      </c>
    </row>
    <row r="118" spans="1:31">
      <c r="A118" s="109"/>
      <c r="B118" s="280" t="s">
        <v>65</v>
      </c>
      <c r="C118" s="281" t="s">
        <v>466</v>
      </c>
      <c r="D118" s="533">
        <v>299</v>
      </c>
      <c r="E118" s="534">
        <v>3.25</v>
      </c>
      <c r="F118" s="239" t="s">
        <v>190</v>
      </c>
      <c r="G118" s="345"/>
      <c r="I118" s="282">
        <v>54</v>
      </c>
      <c r="J118" s="282">
        <v>64</v>
      </c>
      <c r="K118" s="282">
        <v>75</v>
      </c>
      <c r="L118" s="282">
        <v>84</v>
      </c>
      <c r="M118" s="283">
        <v>100</v>
      </c>
      <c r="O118" s="282">
        <v>62</v>
      </c>
      <c r="P118" s="282">
        <v>71</v>
      </c>
      <c r="Q118" s="282">
        <v>85</v>
      </c>
      <c r="R118" s="282">
        <v>108</v>
      </c>
      <c r="S118" s="283">
        <v>143</v>
      </c>
      <c r="U118" s="282">
        <v>191.25</v>
      </c>
      <c r="V118" s="282">
        <v>171.25</v>
      </c>
      <c r="W118" s="282">
        <v>148.24999999999989</v>
      </c>
      <c r="X118" s="282">
        <v>131.25</v>
      </c>
      <c r="Y118" s="283">
        <v>98.25</v>
      </c>
      <c r="AA118" s="282">
        <v>175.75000000000003</v>
      </c>
      <c r="AB118" s="282">
        <v>156.75</v>
      </c>
      <c r="AC118" s="282">
        <v>128.25</v>
      </c>
      <c r="AD118" s="282">
        <v>83.75</v>
      </c>
      <c r="AE118" s="283">
        <v>13.75</v>
      </c>
    </row>
    <row r="119" spans="1:31">
      <c r="B119" s="273" t="s">
        <v>65</v>
      </c>
      <c r="C119" s="286" t="s">
        <v>513</v>
      </c>
      <c r="D119" s="531">
        <v>358</v>
      </c>
      <c r="E119" s="532">
        <v>3.25</v>
      </c>
      <c r="F119" s="237" t="s">
        <v>190</v>
      </c>
      <c r="G119" s="314"/>
      <c r="I119" s="267">
        <v>62</v>
      </c>
      <c r="J119" s="267">
        <v>72</v>
      </c>
      <c r="K119" s="267">
        <v>83</v>
      </c>
      <c r="L119" s="267">
        <v>92</v>
      </c>
      <c r="M119" s="268">
        <v>108</v>
      </c>
      <c r="O119" s="267">
        <v>70</v>
      </c>
      <c r="P119" s="267">
        <v>79</v>
      </c>
      <c r="Q119" s="267">
        <v>93</v>
      </c>
      <c r="R119" s="267">
        <v>116</v>
      </c>
      <c r="S119" s="268">
        <v>151</v>
      </c>
      <c r="U119" s="267">
        <v>234.25</v>
      </c>
      <c r="V119" s="267">
        <v>214.25</v>
      </c>
      <c r="W119" s="267">
        <v>191.24999999999989</v>
      </c>
      <c r="X119" s="267">
        <v>174.25</v>
      </c>
      <c r="Y119" s="268">
        <v>141.25</v>
      </c>
      <c r="AA119" s="267">
        <v>218.75</v>
      </c>
      <c r="AB119" s="267">
        <v>199.75</v>
      </c>
      <c r="AC119" s="267">
        <v>171.25</v>
      </c>
      <c r="AD119" s="267">
        <v>126.75</v>
      </c>
      <c r="AE119" s="268">
        <v>56.75</v>
      </c>
    </row>
    <row r="120" spans="1:31">
      <c r="A120" s="109"/>
      <c r="B120" s="280" t="s">
        <v>65</v>
      </c>
      <c r="C120" s="281" t="s">
        <v>514</v>
      </c>
      <c r="D120" s="533">
        <v>442</v>
      </c>
      <c r="E120" s="535">
        <v>3.25</v>
      </c>
      <c r="F120" s="515" t="s">
        <v>190</v>
      </c>
      <c r="G120" s="345"/>
      <c r="I120" s="282">
        <v>104</v>
      </c>
      <c r="J120" s="282">
        <v>114</v>
      </c>
      <c r="K120" s="282">
        <v>126</v>
      </c>
      <c r="L120" s="282">
        <v>134</v>
      </c>
      <c r="M120" s="283">
        <v>151</v>
      </c>
      <c r="O120" s="282">
        <v>112</v>
      </c>
      <c r="P120" s="282">
        <v>122</v>
      </c>
      <c r="Q120" s="282">
        <v>136</v>
      </c>
      <c r="R120" s="282">
        <v>158</v>
      </c>
      <c r="S120" s="283">
        <v>193</v>
      </c>
      <c r="U120" s="282">
        <v>233.25</v>
      </c>
      <c r="V120" s="282">
        <v>213.25</v>
      </c>
      <c r="W120" s="282">
        <v>190.24999999999989</v>
      </c>
      <c r="X120" s="282">
        <v>173.25</v>
      </c>
      <c r="Y120" s="283">
        <v>140.25</v>
      </c>
      <c r="AA120" s="282">
        <v>217.75</v>
      </c>
      <c r="AB120" s="282">
        <v>198.75</v>
      </c>
      <c r="AC120" s="282">
        <v>170.25</v>
      </c>
      <c r="AD120" s="282">
        <v>125.75</v>
      </c>
      <c r="AE120" s="283">
        <v>55.75</v>
      </c>
    </row>
    <row r="121" spans="1:31">
      <c r="B121" s="273" t="s">
        <v>65</v>
      </c>
      <c r="C121" s="286" t="s">
        <v>414</v>
      </c>
      <c r="D121" s="531">
        <v>533</v>
      </c>
      <c r="E121" s="532">
        <v>5.33</v>
      </c>
      <c r="F121" s="237" t="s">
        <v>193</v>
      </c>
      <c r="G121" s="314"/>
      <c r="I121" s="267">
        <v>104</v>
      </c>
      <c r="J121" s="267">
        <v>114</v>
      </c>
      <c r="K121" s="267">
        <v>126</v>
      </c>
      <c r="L121" s="267">
        <v>134</v>
      </c>
      <c r="M121" s="268">
        <v>151</v>
      </c>
      <c r="O121" s="267">
        <v>112</v>
      </c>
      <c r="P121" s="267">
        <v>122</v>
      </c>
      <c r="Q121" s="267">
        <v>136</v>
      </c>
      <c r="R121" s="267">
        <v>158</v>
      </c>
      <c r="S121" s="268">
        <v>193</v>
      </c>
      <c r="U121" s="267">
        <v>324.12</v>
      </c>
      <c r="V121" s="267">
        <v>304.12</v>
      </c>
      <c r="W121" s="267">
        <v>281.11999999999989</v>
      </c>
      <c r="X121" s="267">
        <v>264.12</v>
      </c>
      <c r="Y121" s="268">
        <v>231.12</v>
      </c>
      <c r="AA121" s="267">
        <v>308.62</v>
      </c>
      <c r="AB121" s="267">
        <v>289.62</v>
      </c>
      <c r="AC121" s="267">
        <v>261.12</v>
      </c>
      <c r="AD121" s="267">
        <v>216.62</v>
      </c>
      <c r="AE121" s="268">
        <v>146.62</v>
      </c>
    </row>
    <row r="122" spans="1:31">
      <c r="A122" s="109"/>
      <c r="B122" s="280" t="s">
        <v>65</v>
      </c>
      <c r="C122" s="118" t="s">
        <v>635</v>
      </c>
      <c r="D122" s="533">
        <v>921</v>
      </c>
      <c r="E122" s="535">
        <v>5.33</v>
      </c>
      <c r="F122" s="515" t="s">
        <v>193</v>
      </c>
      <c r="G122" s="345"/>
      <c r="I122" s="282">
        <v>26</v>
      </c>
      <c r="J122" s="282">
        <v>153</v>
      </c>
      <c r="K122" s="282">
        <v>165</v>
      </c>
      <c r="L122" s="282">
        <v>173</v>
      </c>
      <c r="M122" s="283">
        <v>190</v>
      </c>
      <c r="O122" s="282">
        <v>34</v>
      </c>
      <c r="P122" s="282">
        <v>161</v>
      </c>
      <c r="Q122" s="282">
        <v>175</v>
      </c>
      <c r="R122" s="282">
        <v>197</v>
      </c>
      <c r="S122" s="283">
        <v>232</v>
      </c>
      <c r="U122" s="282">
        <v>869</v>
      </c>
      <c r="V122" s="282">
        <v>614.33000000000004</v>
      </c>
      <c r="W122" s="282">
        <v>591.32999999999993</v>
      </c>
      <c r="X122" s="282">
        <v>574.33000000000004</v>
      </c>
      <c r="Y122" s="283">
        <v>541.33000000000004</v>
      </c>
      <c r="AA122" s="282">
        <v>853.5</v>
      </c>
      <c r="AB122" s="282">
        <v>599.83000000000004</v>
      </c>
      <c r="AC122" s="282">
        <v>571.33000000000004</v>
      </c>
      <c r="AD122" s="282">
        <v>526.83000000000004</v>
      </c>
      <c r="AE122" s="283">
        <v>456.83000000000004</v>
      </c>
    </row>
    <row r="123" spans="1:31">
      <c r="B123" s="273" t="s">
        <v>65</v>
      </c>
      <c r="C123" s="286" t="s">
        <v>616</v>
      </c>
      <c r="D123" s="531">
        <v>801</v>
      </c>
      <c r="E123" s="532">
        <v>5.33</v>
      </c>
      <c r="F123" s="237" t="s">
        <v>193</v>
      </c>
      <c r="G123" s="314"/>
      <c r="I123" s="267">
        <v>26</v>
      </c>
      <c r="J123" s="267">
        <v>134</v>
      </c>
      <c r="K123" s="267">
        <v>145</v>
      </c>
      <c r="L123" s="267">
        <v>154</v>
      </c>
      <c r="M123" s="268">
        <v>170</v>
      </c>
      <c r="O123" s="267">
        <v>34</v>
      </c>
      <c r="P123" s="267">
        <v>141</v>
      </c>
      <c r="Q123" s="267">
        <v>155</v>
      </c>
      <c r="R123" s="267">
        <v>178</v>
      </c>
      <c r="S123" s="268">
        <v>213</v>
      </c>
      <c r="U123" s="267">
        <v>749</v>
      </c>
      <c r="V123" s="267">
        <v>533.09</v>
      </c>
      <c r="W123" s="267">
        <v>510.08999999999992</v>
      </c>
      <c r="X123" s="267">
        <v>493.09000000000003</v>
      </c>
      <c r="Y123" s="268">
        <v>460.09000000000003</v>
      </c>
      <c r="AA123" s="267">
        <v>733.5</v>
      </c>
      <c r="AB123" s="267">
        <v>518.59</v>
      </c>
      <c r="AC123" s="267">
        <v>490.09000000000003</v>
      </c>
      <c r="AD123" s="267">
        <v>445.59000000000003</v>
      </c>
      <c r="AE123" s="268">
        <v>375.59000000000003</v>
      </c>
    </row>
    <row r="124" spans="1:31">
      <c r="A124" s="109"/>
      <c r="B124" s="280" t="s">
        <v>65</v>
      </c>
      <c r="C124" s="281" t="s">
        <v>483</v>
      </c>
      <c r="D124" s="533">
        <v>1487</v>
      </c>
      <c r="E124" s="535">
        <v>5.33</v>
      </c>
      <c r="F124" s="515" t="s">
        <v>193</v>
      </c>
      <c r="G124" s="345"/>
      <c r="I124" s="282">
        <v>26</v>
      </c>
      <c r="J124" s="282">
        <v>225</v>
      </c>
      <c r="K124" s="282">
        <v>236</v>
      </c>
      <c r="L124" s="282">
        <v>245</v>
      </c>
      <c r="M124" s="283">
        <v>261</v>
      </c>
      <c r="O124" s="282">
        <v>34</v>
      </c>
      <c r="P124" s="282">
        <v>232</v>
      </c>
      <c r="Q124" s="282">
        <v>246</v>
      </c>
      <c r="R124" s="282">
        <v>269</v>
      </c>
      <c r="S124" s="283">
        <v>304</v>
      </c>
      <c r="U124" s="282">
        <v>1435</v>
      </c>
      <c r="V124" s="282">
        <v>1037.33</v>
      </c>
      <c r="W124" s="282">
        <v>1014.3299999999999</v>
      </c>
      <c r="X124" s="282">
        <v>997.32999999999993</v>
      </c>
      <c r="Y124" s="283">
        <v>964.32999999999993</v>
      </c>
      <c r="AA124" s="282">
        <v>1419.5</v>
      </c>
      <c r="AB124" s="282">
        <v>1022.8299999999999</v>
      </c>
      <c r="AC124" s="282">
        <v>994.32999999999993</v>
      </c>
      <c r="AD124" s="282">
        <v>949.82999999999993</v>
      </c>
      <c r="AE124" s="283">
        <v>879.82999999999993</v>
      </c>
    </row>
    <row r="125" spans="1:31">
      <c r="B125" s="273" t="s">
        <v>65</v>
      </c>
      <c r="C125" s="123" t="s">
        <v>636</v>
      </c>
      <c r="D125" s="531">
        <v>1487</v>
      </c>
      <c r="E125" s="532">
        <v>5.33</v>
      </c>
      <c r="F125" s="237" t="s">
        <v>193</v>
      </c>
      <c r="G125" s="314"/>
      <c r="I125" s="267">
        <v>26</v>
      </c>
      <c r="J125" s="267">
        <v>125</v>
      </c>
      <c r="K125" s="267">
        <v>136</v>
      </c>
      <c r="L125" s="267">
        <v>145</v>
      </c>
      <c r="M125" s="268">
        <v>161</v>
      </c>
      <c r="O125" s="267">
        <v>34</v>
      </c>
      <c r="P125" s="267">
        <v>132</v>
      </c>
      <c r="Q125" s="267">
        <v>146</v>
      </c>
      <c r="R125" s="267">
        <v>169</v>
      </c>
      <c r="S125" s="268">
        <v>204</v>
      </c>
      <c r="U125" s="267">
        <v>1435</v>
      </c>
      <c r="V125" s="267">
        <v>1237.33</v>
      </c>
      <c r="W125" s="267">
        <v>1214.33</v>
      </c>
      <c r="X125" s="267">
        <v>1197.33</v>
      </c>
      <c r="Y125" s="268">
        <v>1164.33</v>
      </c>
      <c r="AA125" s="267">
        <v>1419.5</v>
      </c>
      <c r="AB125" s="267">
        <v>1222.83</v>
      </c>
      <c r="AC125" s="267">
        <v>1194.33</v>
      </c>
      <c r="AD125" s="267">
        <v>1149.83</v>
      </c>
      <c r="AE125" s="268">
        <v>1079.83</v>
      </c>
    </row>
    <row r="126" spans="1:31">
      <c r="A126" s="109"/>
      <c r="B126" s="280" t="s">
        <v>65</v>
      </c>
      <c r="C126" s="281" t="s">
        <v>352</v>
      </c>
      <c r="D126" s="533">
        <v>938</v>
      </c>
      <c r="E126" s="535">
        <v>3.25</v>
      </c>
      <c r="F126" s="515" t="s">
        <v>190</v>
      </c>
      <c r="G126" s="345"/>
      <c r="I126" s="282">
        <v>26</v>
      </c>
      <c r="J126" s="282">
        <v>253</v>
      </c>
      <c r="K126" s="282">
        <v>264</v>
      </c>
      <c r="L126" s="282">
        <v>273</v>
      </c>
      <c r="M126" s="283">
        <v>289</v>
      </c>
      <c r="O126" s="282">
        <v>34</v>
      </c>
      <c r="P126" s="282">
        <v>260</v>
      </c>
      <c r="Q126" s="282">
        <v>274</v>
      </c>
      <c r="R126" s="282">
        <v>297</v>
      </c>
      <c r="S126" s="283">
        <v>332</v>
      </c>
      <c r="U126" s="282">
        <v>886</v>
      </c>
      <c r="V126" s="282">
        <v>432.25</v>
      </c>
      <c r="W126" s="282">
        <v>409.24999999999989</v>
      </c>
      <c r="X126" s="282">
        <v>392.25</v>
      </c>
      <c r="Y126" s="283">
        <v>359.25</v>
      </c>
      <c r="AA126" s="282">
        <v>870.5</v>
      </c>
      <c r="AB126" s="282">
        <v>417.75</v>
      </c>
      <c r="AC126" s="282">
        <v>389.25</v>
      </c>
      <c r="AD126" s="282">
        <v>344.75</v>
      </c>
      <c r="AE126" s="283">
        <v>274.75</v>
      </c>
    </row>
    <row r="127" spans="1:31">
      <c r="B127" s="273" t="s">
        <v>65</v>
      </c>
      <c r="C127" s="286" t="s">
        <v>485</v>
      </c>
      <c r="D127" s="531">
        <v>842</v>
      </c>
      <c r="E127" s="532">
        <v>3.25</v>
      </c>
      <c r="F127" s="237" t="s">
        <v>190</v>
      </c>
      <c r="G127" s="314"/>
      <c r="I127" s="267">
        <v>26</v>
      </c>
      <c r="J127" s="267">
        <v>164</v>
      </c>
      <c r="K127" s="267">
        <v>176</v>
      </c>
      <c r="L127" s="267">
        <v>184</v>
      </c>
      <c r="M127" s="268">
        <v>201</v>
      </c>
      <c r="O127" s="267">
        <v>34</v>
      </c>
      <c r="P127" s="267">
        <v>172</v>
      </c>
      <c r="Q127" s="267">
        <v>186</v>
      </c>
      <c r="R127" s="267">
        <v>208</v>
      </c>
      <c r="S127" s="268">
        <v>243</v>
      </c>
      <c r="U127" s="267">
        <v>790</v>
      </c>
      <c r="V127" s="267">
        <v>513.25</v>
      </c>
      <c r="W127" s="267">
        <v>490.24999999999989</v>
      </c>
      <c r="X127" s="267">
        <v>473.25</v>
      </c>
      <c r="Y127" s="268">
        <v>440.25</v>
      </c>
      <c r="AA127" s="267">
        <v>774.5</v>
      </c>
      <c r="AB127" s="267">
        <v>498.75</v>
      </c>
      <c r="AC127" s="267">
        <v>470.25</v>
      </c>
      <c r="AD127" s="267">
        <v>425.75</v>
      </c>
      <c r="AE127" s="268">
        <v>355.75</v>
      </c>
    </row>
    <row r="128" spans="1:31">
      <c r="A128" s="109"/>
      <c r="B128" s="280" t="s">
        <v>65</v>
      </c>
      <c r="C128" s="281" t="s">
        <v>486</v>
      </c>
      <c r="D128" s="529">
        <v>902</v>
      </c>
      <c r="E128" s="535">
        <v>3.25</v>
      </c>
      <c r="F128" s="515" t="s">
        <v>190</v>
      </c>
      <c r="G128" s="345"/>
      <c r="I128" s="282">
        <v>26</v>
      </c>
      <c r="J128" s="282">
        <v>185</v>
      </c>
      <c r="K128" s="282">
        <v>196</v>
      </c>
      <c r="L128" s="282">
        <v>205</v>
      </c>
      <c r="M128" s="283">
        <v>221</v>
      </c>
      <c r="O128" s="282">
        <v>34</v>
      </c>
      <c r="P128" s="282">
        <v>192</v>
      </c>
      <c r="Q128" s="282">
        <v>206</v>
      </c>
      <c r="R128" s="282">
        <v>229</v>
      </c>
      <c r="S128" s="283">
        <v>264</v>
      </c>
      <c r="U128" s="282">
        <v>850</v>
      </c>
      <c r="V128" s="282">
        <v>532.25</v>
      </c>
      <c r="W128" s="282">
        <v>509.24999999999989</v>
      </c>
      <c r="X128" s="282">
        <v>492.25</v>
      </c>
      <c r="Y128" s="283">
        <v>459.25</v>
      </c>
      <c r="AA128" s="282">
        <v>834.5</v>
      </c>
      <c r="AB128" s="282">
        <v>517.75</v>
      </c>
      <c r="AC128" s="282">
        <v>489.25</v>
      </c>
      <c r="AD128" s="282">
        <v>444.75</v>
      </c>
      <c r="AE128" s="283">
        <v>374.75</v>
      </c>
    </row>
    <row r="129" spans="1:31">
      <c r="B129" s="273" t="s">
        <v>65</v>
      </c>
      <c r="C129" s="286" t="s">
        <v>602</v>
      </c>
      <c r="D129" s="531">
        <v>686</v>
      </c>
      <c r="E129" s="532">
        <v>3.25</v>
      </c>
      <c r="F129" s="237" t="s">
        <v>190</v>
      </c>
      <c r="G129" s="314"/>
      <c r="I129" s="267">
        <v>26</v>
      </c>
      <c r="J129" s="267">
        <v>99</v>
      </c>
      <c r="K129" s="267">
        <v>110</v>
      </c>
      <c r="L129" s="267">
        <v>119</v>
      </c>
      <c r="M129" s="268">
        <v>135</v>
      </c>
      <c r="O129" s="267">
        <v>34</v>
      </c>
      <c r="P129" s="267">
        <v>106</v>
      </c>
      <c r="Q129" s="267">
        <v>120</v>
      </c>
      <c r="R129" s="267">
        <v>143</v>
      </c>
      <c r="S129" s="268">
        <v>178</v>
      </c>
      <c r="U129" s="267">
        <v>634</v>
      </c>
      <c r="V129" s="267">
        <v>488.25</v>
      </c>
      <c r="W129" s="267">
        <v>465.24999999999989</v>
      </c>
      <c r="X129" s="267">
        <v>448.25</v>
      </c>
      <c r="Y129" s="268">
        <v>415.25</v>
      </c>
      <c r="AA129" s="267">
        <v>618.5</v>
      </c>
      <c r="AB129" s="267">
        <v>473.75</v>
      </c>
      <c r="AC129" s="267">
        <v>445.25</v>
      </c>
      <c r="AD129" s="267">
        <v>400.75</v>
      </c>
      <c r="AE129" s="268">
        <v>330.75</v>
      </c>
    </row>
    <row r="130" spans="1:31">
      <c r="A130" s="109"/>
      <c r="B130" s="280" t="s">
        <v>65</v>
      </c>
      <c r="C130" s="281" t="s">
        <v>487</v>
      </c>
      <c r="D130" s="529">
        <v>1556</v>
      </c>
      <c r="E130" s="535">
        <v>3.25</v>
      </c>
      <c r="F130" s="239" t="s">
        <v>190</v>
      </c>
      <c r="G130" s="315"/>
      <c r="I130" s="282">
        <v>26</v>
      </c>
      <c r="J130" s="282">
        <v>226</v>
      </c>
      <c r="K130" s="282">
        <v>237</v>
      </c>
      <c r="L130" s="282">
        <v>246</v>
      </c>
      <c r="M130" s="283">
        <v>262</v>
      </c>
      <c r="O130" s="282">
        <v>34</v>
      </c>
      <c r="P130" s="282">
        <v>233</v>
      </c>
      <c r="Q130" s="282">
        <v>247</v>
      </c>
      <c r="R130" s="282">
        <v>270</v>
      </c>
      <c r="S130" s="283">
        <v>305</v>
      </c>
      <c r="U130" s="282">
        <v>1504</v>
      </c>
      <c r="V130" s="282">
        <v>1104.25</v>
      </c>
      <c r="W130" s="282">
        <v>1081.25</v>
      </c>
      <c r="X130" s="282">
        <v>1064.25</v>
      </c>
      <c r="Y130" s="283">
        <v>1031.25</v>
      </c>
      <c r="AA130" s="282">
        <v>1488.5</v>
      </c>
      <c r="AB130" s="282">
        <v>1089.75</v>
      </c>
      <c r="AC130" s="282">
        <v>1061.25</v>
      </c>
      <c r="AD130" s="282">
        <v>1016.75</v>
      </c>
      <c r="AE130" s="283">
        <v>946.75</v>
      </c>
    </row>
    <row r="131" spans="1:31">
      <c r="B131" s="273" t="s">
        <v>65</v>
      </c>
      <c r="C131" s="286" t="s">
        <v>488</v>
      </c>
      <c r="D131" s="531">
        <v>1279</v>
      </c>
      <c r="E131" s="532">
        <v>3.25</v>
      </c>
      <c r="F131" s="237" t="s">
        <v>190</v>
      </c>
      <c r="G131" s="314"/>
      <c r="I131" s="267">
        <v>26</v>
      </c>
      <c r="J131" s="267">
        <v>231</v>
      </c>
      <c r="K131" s="267">
        <v>242</v>
      </c>
      <c r="L131" s="267">
        <v>251</v>
      </c>
      <c r="M131" s="268">
        <v>267</v>
      </c>
      <c r="O131" s="267">
        <v>34</v>
      </c>
      <c r="P131" s="267">
        <v>238</v>
      </c>
      <c r="Q131" s="267">
        <v>252</v>
      </c>
      <c r="R131" s="267">
        <v>275</v>
      </c>
      <c r="S131" s="268">
        <v>310</v>
      </c>
      <c r="U131" s="267">
        <v>1227</v>
      </c>
      <c r="V131" s="267">
        <v>817.25</v>
      </c>
      <c r="W131" s="267">
        <v>794.25</v>
      </c>
      <c r="X131" s="267">
        <v>777.25</v>
      </c>
      <c r="Y131" s="268">
        <v>744.25</v>
      </c>
      <c r="AA131" s="267">
        <v>1211.5</v>
      </c>
      <c r="AB131" s="267">
        <v>802.75</v>
      </c>
      <c r="AC131" s="267">
        <v>774.25</v>
      </c>
      <c r="AD131" s="267">
        <v>729.75</v>
      </c>
      <c r="AE131" s="268">
        <v>659.75</v>
      </c>
    </row>
    <row r="132" spans="1:31">
      <c r="A132" s="109"/>
      <c r="B132" s="280" t="s">
        <v>65</v>
      </c>
      <c r="C132" s="281" t="s">
        <v>489</v>
      </c>
      <c r="D132" s="529">
        <v>1372</v>
      </c>
      <c r="E132" s="535">
        <v>3.25</v>
      </c>
      <c r="F132" s="239" t="s">
        <v>190</v>
      </c>
      <c r="G132" s="315"/>
      <c r="I132" s="282">
        <v>26</v>
      </c>
      <c r="J132" s="282">
        <v>171</v>
      </c>
      <c r="K132" s="282">
        <v>183</v>
      </c>
      <c r="L132" s="282">
        <v>191</v>
      </c>
      <c r="M132" s="283">
        <v>208</v>
      </c>
      <c r="O132" s="282">
        <v>34</v>
      </c>
      <c r="P132" s="282">
        <v>179</v>
      </c>
      <c r="Q132" s="282">
        <v>193</v>
      </c>
      <c r="R132" s="282">
        <v>215</v>
      </c>
      <c r="S132" s="283">
        <v>250</v>
      </c>
      <c r="U132" s="282">
        <v>1320</v>
      </c>
      <c r="V132" s="282">
        <v>1029.25</v>
      </c>
      <c r="W132" s="282">
        <v>1006.25</v>
      </c>
      <c r="X132" s="282">
        <v>989.25</v>
      </c>
      <c r="Y132" s="283">
        <v>956.25</v>
      </c>
      <c r="AA132" s="282">
        <v>1304.5</v>
      </c>
      <c r="AB132" s="282">
        <v>1014.75</v>
      </c>
      <c r="AC132" s="282">
        <v>986.25</v>
      </c>
      <c r="AD132" s="282">
        <v>941.75</v>
      </c>
      <c r="AE132" s="283">
        <v>871.75</v>
      </c>
    </row>
    <row r="133" spans="1:31">
      <c r="B133" s="273" t="s">
        <v>65</v>
      </c>
      <c r="C133" s="286" t="s">
        <v>490</v>
      </c>
      <c r="D133" s="531">
        <v>1047</v>
      </c>
      <c r="E133" s="532">
        <v>3.25</v>
      </c>
      <c r="F133" s="237" t="s">
        <v>190</v>
      </c>
      <c r="G133" s="314"/>
      <c r="I133" s="267">
        <v>26</v>
      </c>
      <c r="J133" s="267">
        <v>216</v>
      </c>
      <c r="K133" s="267">
        <v>227</v>
      </c>
      <c r="L133" s="267">
        <v>236</v>
      </c>
      <c r="M133" s="268">
        <v>252</v>
      </c>
      <c r="O133" s="267">
        <v>34</v>
      </c>
      <c r="P133" s="267">
        <v>223</v>
      </c>
      <c r="Q133" s="267">
        <v>237</v>
      </c>
      <c r="R133" s="267">
        <v>260</v>
      </c>
      <c r="S133" s="268">
        <v>295</v>
      </c>
      <c r="U133" s="267">
        <v>995</v>
      </c>
      <c r="V133" s="267">
        <v>615.25</v>
      </c>
      <c r="W133" s="267">
        <v>592.24999999999989</v>
      </c>
      <c r="X133" s="267">
        <v>575.25</v>
      </c>
      <c r="Y133" s="268">
        <v>542.25</v>
      </c>
      <c r="AA133" s="267">
        <v>979.5</v>
      </c>
      <c r="AB133" s="267">
        <v>600.75</v>
      </c>
      <c r="AC133" s="267">
        <v>572.25</v>
      </c>
      <c r="AD133" s="267">
        <v>527.75</v>
      </c>
      <c r="AE133" s="268">
        <v>457.75</v>
      </c>
    </row>
    <row r="134" spans="1:31">
      <c r="A134" s="109"/>
      <c r="B134" s="280" t="s">
        <v>65</v>
      </c>
      <c r="C134" s="281" t="s">
        <v>491</v>
      </c>
      <c r="D134" s="529">
        <v>182</v>
      </c>
      <c r="E134" s="535">
        <v>3.75</v>
      </c>
      <c r="F134" s="239" t="s">
        <v>191</v>
      </c>
      <c r="G134" s="315"/>
      <c r="I134" s="282">
        <v>36</v>
      </c>
      <c r="J134" s="282">
        <v>46</v>
      </c>
      <c r="K134" s="282">
        <v>57</v>
      </c>
      <c r="L134" s="282">
        <v>66</v>
      </c>
      <c r="M134" s="283">
        <v>82</v>
      </c>
      <c r="O134" s="282">
        <v>43</v>
      </c>
      <c r="P134" s="282">
        <v>53</v>
      </c>
      <c r="Q134" s="282">
        <v>67</v>
      </c>
      <c r="R134" s="282">
        <v>89</v>
      </c>
      <c r="S134" s="283">
        <v>124</v>
      </c>
      <c r="U134" s="282">
        <v>110.75</v>
      </c>
      <c r="V134" s="282">
        <v>90.75</v>
      </c>
      <c r="W134" s="282">
        <v>67.749999999999886</v>
      </c>
      <c r="X134" s="282">
        <v>50.75</v>
      </c>
      <c r="Y134" s="283">
        <v>17.75</v>
      </c>
      <c r="AA134" s="282">
        <v>95.250000000000028</v>
      </c>
      <c r="AB134" s="282">
        <v>76.25</v>
      </c>
      <c r="AC134" s="282">
        <v>47.75</v>
      </c>
      <c r="AD134" s="282">
        <v>3.25</v>
      </c>
      <c r="AE134" s="283">
        <v>-66.75</v>
      </c>
    </row>
    <row r="135" spans="1:31">
      <c r="B135" s="273" t="s">
        <v>65</v>
      </c>
      <c r="C135" s="286" t="s">
        <v>492</v>
      </c>
      <c r="D135" s="531">
        <v>310</v>
      </c>
      <c r="E135" s="532">
        <v>3.75</v>
      </c>
      <c r="F135" s="237" t="s">
        <v>191</v>
      </c>
      <c r="G135" s="314"/>
      <c r="I135" s="267">
        <v>64</v>
      </c>
      <c r="J135" s="267">
        <v>74</v>
      </c>
      <c r="K135" s="267">
        <v>85</v>
      </c>
      <c r="L135" s="267">
        <v>94</v>
      </c>
      <c r="M135" s="268">
        <v>110</v>
      </c>
      <c r="O135" s="267">
        <v>71</v>
      </c>
      <c r="P135" s="267">
        <v>81</v>
      </c>
      <c r="Q135" s="267">
        <v>95</v>
      </c>
      <c r="R135" s="267">
        <v>117</v>
      </c>
      <c r="S135" s="268">
        <v>152</v>
      </c>
      <c r="U135" s="267">
        <v>182.75</v>
      </c>
      <c r="V135" s="267">
        <v>162.75</v>
      </c>
      <c r="W135" s="267">
        <v>139.74999999999989</v>
      </c>
      <c r="X135" s="267">
        <v>122.75</v>
      </c>
      <c r="Y135" s="268">
        <v>89.75</v>
      </c>
      <c r="AA135" s="267">
        <v>167.25000000000003</v>
      </c>
      <c r="AB135" s="267">
        <v>148.25</v>
      </c>
      <c r="AC135" s="267">
        <v>119.75</v>
      </c>
      <c r="AD135" s="267">
        <v>75.25</v>
      </c>
      <c r="AE135" s="268">
        <v>5.25</v>
      </c>
    </row>
    <row r="136" spans="1:31">
      <c r="A136" s="109"/>
      <c r="B136" s="280" t="s">
        <v>65</v>
      </c>
      <c r="C136" s="281" t="s">
        <v>493</v>
      </c>
      <c r="D136" s="529">
        <v>310</v>
      </c>
      <c r="E136" s="535">
        <v>3.75</v>
      </c>
      <c r="F136" s="239" t="s">
        <v>191</v>
      </c>
      <c r="G136" s="315"/>
      <c r="I136" s="282">
        <v>69</v>
      </c>
      <c r="J136" s="282">
        <v>79</v>
      </c>
      <c r="K136" s="282">
        <v>90</v>
      </c>
      <c r="L136" s="282">
        <v>99</v>
      </c>
      <c r="M136" s="283">
        <v>115</v>
      </c>
      <c r="O136" s="282">
        <v>76</v>
      </c>
      <c r="P136" s="282">
        <v>86</v>
      </c>
      <c r="Q136" s="282">
        <v>100</v>
      </c>
      <c r="R136" s="282">
        <v>122</v>
      </c>
      <c r="S136" s="283">
        <v>157</v>
      </c>
      <c r="U136" s="282">
        <v>172.75</v>
      </c>
      <c r="V136" s="282">
        <v>152.75</v>
      </c>
      <c r="W136" s="282">
        <v>129.74999999999989</v>
      </c>
      <c r="X136" s="282">
        <v>112.75</v>
      </c>
      <c r="Y136" s="283">
        <v>79.75</v>
      </c>
      <c r="AA136" s="282">
        <v>157.25000000000003</v>
      </c>
      <c r="AB136" s="282">
        <v>138.25</v>
      </c>
      <c r="AC136" s="282">
        <v>109.75</v>
      </c>
      <c r="AD136" s="282">
        <v>65.25</v>
      </c>
      <c r="AE136" s="283">
        <v>-4.75</v>
      </c>
    </row>
    <row r="137" spans="1:31">
      <c r="B137" s="273" t="s">
        <v>65</v>
      </c>
      <c r="C137" s="286" t="s">
        <v>617</v>
      </c>
      <c r="D137" s="531">
        <v>1195</v>
      </c>
      <c r="E137" s="532">
        <v>3.75</v>
      </c>
      <c r="F137" s="237" t="s">
        <v>191</v>
      </c>
      <c r="G137" s="314"/>
      <c r="I137" s="267">
        <v>26</v>
      </c>
      <c r="J137" s="267">
        <v>196</v>
      </c>
      <c r="K137" s="267">
        <v>208</v>
      </c>
      <c r="L137" s="267">
        <v>216</v>
      </c>
      <c r="M137" s="268">
        <v>233</v>
      </c>
      <c r="O137" s="267">
        <v>34</v>
      </c>
      <c r="P137" s="267">
        <v>203</v>
      </c>
      <c r="Q137" s="267">
        <v>218</v>
      </c>
      <c r="R137" s="267">
        <v>240</v>
      </c>
      <c r="S137" s="268">
        <v>275</v>
      </c>
      <c r="U137" s="267">
        <v>1143</v>
      </c>
      <c r="V137" s="267">
        <v>802.75</v>
      </c>
      <c r="W137" s="267">
        <v>779.75</v>
      </c>
      <c r="X137" s="267">
        <v>762.75</v>
      </c>
      <c r="Y137" s="268">
        <v>729.75</v>
      </c>
      <c r="AA137" s="267">
        <v>1127.5</v>
      </c>
      <c r="AB137" s="267">
        <v>788.25</v>
      </c>
      <c r="AC137" s="267">
        <v>759.75</v>
      </c>
      <c r="AD137" s="267">
        <v>715.25</v>
      </c>
      <c r="AE137" s="268">
        <v>645.25</v>
      </c>
    </row>
    <row r="138" spans="1:31">
      <c r="A138" s="109"/>
      <c r="B138" s="280" t="s">
        <v>65</v>
      </c>
      <c r="C138" s="281" t="s">
        <v>427</v>
      </c>
      <c r="D138" s="529">
        <v>537</v>
      </c>
      <c r="E138" s="535">
        <v>3.75</v>
      </c>
      <c r="F138" s="239" t="s">
        <v>191</v>
      </c>
      <c r="G138" s="315"/>
      <c r="I138" s="282">
        <v>119</v>
      </c>
      <c r="J138" s="282">
        <v>129</v>
      </c>
      <c r="K138" s="282">
        <v>140</v>
      </c>
      <c r="L138" s="282">
        <v>149</v>
      </c>
      <c r="M138" s="283">
        <v>165</v>
      </c>
      <c r="O138" s="282">
        <v>126</v>
      </c>
      <c r="P138" s="282">
        <v>136</v>
      </c>
      <c r="Q138" s="282">
        <v>150</v>
      </c>
      <c r="R138" s="282">
        <v>172</v>
      </c>
      <c r="S138" s="283">
        <v>207</v>
      </c>
      <c r="U138" s="282">
        <v>299.75</v>
      </c>
      <c r="V138" s="282">
        <v>279.75</v>
      </c>
      <c r="W138" s="282">
        <v>256.74999999999989</v>
      </c>
      <c r="X138" s="282">
        <v>239.75</v>
      </c>
      <c r="Y138" s="283">
        <v>206.75</v>
      </c>
      <c r="AA138" s="282">
        <v>284.25</v>
      </c>
      <c r="AB138" s="282">
        <v>265.25</v>
      </c>
      <c r="AC138" s="282">
        <v>236.75</v>
      </c>
      <c r="AD138" s="282">
        <v>192.25</v>
      </c>
      <c r="AE138" s="283">
        <v>122.25</v>
      </c>
    </row>
    <row r="139" spans="1:31">
      <c r="B139" s="273" t="s">
        <v>65</v>
      </c>
      <c r="C139" s="286" t="s">
        <v>418</v>
      </c>
      <c r="D139" s="531">
        <v>421</v>
      </c>
      <c r="E139" s="532">
        <v>2.5</v>
      </c>
      <c r="F139" s="237" t="s">
        <v>459</v>
      </c>
      <c r="G139" s="314"/>
      <c r="I139" s="267">
        <v>49</v>
      </c>
      <c r="J139" s="267">
        <v>59</v>
      </c>
      <c r="K139" s="267">
        <v>71</v>
      </c>
      <c r="L139" s="267">
        <v>79</v>
      </c>
      <c r="M139" s="268">
        <v>96</v>
      </c>
      <c r="O139" s="267">
        <v>57</v>
      </c>
      <c r="P139" s="267">
        <v>67</v>
      </c>
      <c r="Q139" s="267">
        <v>81</v>
      </c>
      <c r="R139" s="267">
        <v>103</v>
      </c>
      <c r="S139" s="268">
        <v>138</v>
      </c>
      <c r="U139" s="267">
        <v>322.5</v>
      </c>
      <c r="V139" s="267">
        <v>302.5</v>
      </c>
      <c r="W139" s="267">
        <v>279.49999999999989</v>
      </c>
      <c r="X139" s="267">
        <v>262.5</v>
      </c>
      <c r="Y139" s="268">
        <v>229.5</v>
      </c>
      <c r="AA139" s="267">
        <v>307</v>
      </c>
      <c r="AB139" s="267">
        <v>288</v>
      </c>
      <c r="AC139" s="267">
        <v>259.5</v>
      </c>
      <c r="AD139" s="267">
        <v>215</v>
      </c>
      <c r="AE139" s="268">
        <v>145</v>
      </c>
    </row>
    <row r="140" spans="1:31">
      <c r="A140" s="109"/>
      <c r="B140" s="280" t="s">
        <v>65</v>
      </c>
      <c r="C140" s="281" t="s">
        <v>566</v>
      </c>
      <c r="D140" s="529">
        <v>315</v>
      </c>
      <c r="E140" s="535">
        <v>2.5</v>
      </c>
      <c r="F140" s="239" t="s">
        <v>459</v>
      </c>
      <c r="G140" s="315"/>
      <c r="I140" s="282">
        <v>64</v>
      </c>
      <c r="J140" s="282">
        <v>74</v>
      </c>
      <c r="K140" s="282">
        <v>86</v>
      </c>
      <c r="L140" s="282">
        <v>94</v>
      </c>
      <c r="M140" s="283">
        <v>111</v>
      </c>
      <c r="O140" s="282">
        <v>72</v>
      </c>
      <c r="P140" s="282">
        <v>82</v>
      </c>
      <c r="Q140" s="282">
        <v>96</v>
      </c>
      <c r="R140" s="282">
        <v>118</v>
      </c>
      <c r="S140" s="283">
        <v>153</v>
      </c>
      <c r="U140" s="282">
        <v>186.5</v>
      </c>
      <c r="V140" s="282">
        <v>166.5</v>
      </c>
      <c r="W140" s="282">
        <v>143.49999999999989</v>
      </c>
      <c r="X140" s="282">
        <v>126.5</v>
      </c>
      <c r="Y140" s="283">
        <v>93.5</v>
      </c>
      <c r="AA140" s="282">
        <v>171.00000000000003</v>
      </c>
      <c r="AB140" s="282">
        <v>152</v>
      </c>
      <c r="AC140" s="282">
        <v>123.5</v>
      </c>
      <c r="AD140" s="282">
        <v>79</v>
      </c>
      <c r="AE140" s="283">
        <v>9</v>
      </c>
    </row>
    <row r="141" spans="1:31">
      <c r="B141" s="273" t="s">
        <v>65</v>
      </c>
      <c r="C141" s="286" t="s">
        <v>567</v>
      </c>
      <c r="D141" s="531">
        <v>373</v>
      </c>
      <c r="E141" s="532">
        <v>2.5</v>
      </c>
      <c r="F141" s="237" t="s">
        <v>459</v>
      </c>
      <c r="G141" s="314"/>
      <c r="I141" s="267">
        <v>64</v>
      </c>
      <c r="J141" s="267">
        <v>74</v>
      </c>
      <c r="K141" s="267">
        <v>85</v>
      </c>
      <c r="L141" s="267">
        <v>94</v>
      </c>
      <c r="M141" s="268">
        <v>110</v>
      </c>
      <c r="O141" s="267">
        <v>72</v>
      </c>
      <c r="P141" s="267">
        <v>81</v>
      </c>
      <c r="Q141" s="267">
        <v>95</v>
      </c>
      <c r="R141" s="267">
        <v>118</v>
      </c>
      <c r="S141" s="268">
        <v>153</v>
      </c>
      <c r="U141" s="267">
        <v>245.5</v>
      </c>
      <c r="V141" s="267">
        <v>225.5</v>
      </c>
      <c r="W141" s="267">
        <v>202.49999999999989</v>
      </c>
      <c r="X141" s="267">
        <v>185.5</v>
      </c>
      <c r="Y141" s="268">
        <v>152.5</v>
      </c>
      <c r="AA141" s="267">
        <v>230</v>
      </c>
      <c r="AB141" s="267">
        <v>211</v>
      </c>
      <c r="AC141" s="267">
        <v>182.5</v>
      </c>
      <c r="AD141" s="267">
        <v>138</v>
      </c>
      <c r="AE141" s="268">
        <v>68</v>
      </c>
    </row>
    <row r="142" spans="1:31">
      <c r="A142" s="109"/>
      <c r="B142" s="280" t="s">
        <v>65</v>
      </c>
      <c r="C142" s="281" t="s">
        <v>568</v>
      </c>
      <c r="D142" s="529">
        <v>338</v>
      </c>
      <c r="E142" s="535">
        <v>2.5</v>
      </c>
      <c r="F142" s="239" t="s">
        <v>459</v>
      </c>
      <c r="G142" s="315"/>
      <c r="I142" s="282">
        <v>64</v>
      </c>
      <c r="J142" s="282">
        <v>74</v>
      </c>
      <c r="K142" s="282">
        <v>86</v>
      </c>
      <c r="L142" s="282">
        <v>94</v>
      </c>
      <c r="M142" s="283">
        <v>111</v>
      </c>
      <c r="O142" s="282">
        <v>72</v>
      </c>
      <c r="P142" s="282">
        <v>82</v>
      </c>
      <c r="Q142" s="282">
        <v>96</v>
      </c>
      <c r="R142" s="282">
        <v>118</v>
      </c>
      <c r="S142" s="283">
        <v>153</v>
      </c>
      <c r="U142" s="282">
        <v>209.5</v>
      </c>
      <c r="V142" s="282">
        <v>189.5</v>
      </c>
      <c r="W142" s="282">
        <v>166.49999999999989</v>
      </c>
      <c r="X142" s="282">
        <v>149.5</v>
      </c>
      <c r="Y142" s="283">
        <v>116.5</v>
      </c>
      <c r="AA142" s="282">
        <v>194</v>
      </c>
      <c r="AB142" s="282">
        <v>175</v>
      </c>
      <c r="AC142" s="282">
        <v>146.5</v>
      </c>
      <c r="AD142" s="282">
        <v>102</v>
      </c>
      <c r="AE142" s="283">
        <v>32</v>
      </c>
    </row>
    <row r="143" spans="1:31">
      <c r="B143" s="273" t="s">
        <v>65</v>
      </c>
      <c r="C143" s="286" t="s">
        <v>557</v>
      </c>
      <c r="D143" s="531">
        <v>207</v>
      </c>
      <c r="E143" s="532">
        <v>2.5</v>
      </c>
      <c r="F143" s="237" t="s">
        <v>459</v>
      </c>
      <c r="G143" s="314"/>
      <c r="I143" s="267">
        <v>38</v>
      </c>
      <c r="J143" s="267">
        <v>48</v>
      </c>
      <c r="K143" s="267">
        <v>60</v>
      </c>
      <c r="L143" s="267">
        <v>68</v>
      </c>
      <c r="M143" s="268">
        <v>85</v>
      </c>
      <c r="O143" s="267">
        <v>46</v>
      </c>
      <c r="P143" s="267">
        <v>56</v>
      </c>
      <c r="Q143" s="267">
        <v>70</v>
      </c>
      <c r="R143" s="267">
        <v>92</v>
      </c>
      <c r="S143" s="268">
        <v>127</v>
      </c>
      <c r="U143" s="267">
        <v>130.5</v>
      </c>
      <c r="V143" s="267">
        <v>110.5</v>
      </c>
      <c r="W143" s="267">
        <v>87.499999999999886</v>
      </c>
      <c r="X143" s="267">
        <v>70.5</v>
      </c>
      <c r="Y143" s="268">
        <v>37.5</v>
      </c>
      <c r="AA143" s="267">
        <v>115.00000000000003</v>
      </c>
      <c r="AB143" s="267">
        <v>96</v>
      </c>
      <c r="AC143" s="267">
        <v>67.5</v>
      </c>
      <c r="AD143" s="267">
        <v>23</v>
      </c>
      <c r="AE143" s="268">
        <v>-47</v>
      </c>
    </row>
    <row r="144" spans="1:31">
      <c r="A144" s="109"/>
      <c r="B144" s="280" t="s">
        <v>65</v>
      </c>
      <c r="C144" s="281" t="s">
        <v>569</v>
      </c>
      <c r="D144" s="529">
        <v>626</v>
      </c>
      <c r="E144" s="535">
        <v>2.5</v>
      </c>
      <c r="F144" s="239" t="s">
        <v>459</v>
      </c>
      <c r="G144" s="315"/>
      <c r="I144" s="282">
        <v>26</v>
      </c>
      <c r="J144" s="282">
        <v>119</v>
      </c>
      <c r="K144" s="282">
        <v>131</v>
      </c>
      <c r="L144" s="282">
        <v>139</v>
      </c>
      <c r="M144" s="283">
        <v>156</v>
      </c>
      <c r="O144" s="282">
        <v>34</v>
      </c>
      <c r="P144" s="282">
        <v>127</v>
      </c>
      <c r="Q144" s="282">
        <v>141</v>
      </c>
      <c r="R144" s="282">
        <v>163</v>
      </c>
      <c r="S144" s="283">
        <v>198</v>
      </c>
      <c r="U144" s="282">
        <v>574</v>
      </c>
      <c r="V144" s="282">
        <v>387.5</v>
      </c>
      <c r="W144" s="282">
        <v>364.49999999999989</v>
      </c>
      <c r="X144" s="282">
        <v>347.5</v>
      </c>
      <c r="Y144" s="283">
        <v>314.5</v>
      </c>
      <c r="AA144" s="282">
        <v>558.5</v>
      </c>
      <c r="AB144" s="282">
        <v>373</v>
      </c>
      <c r="AC144" s="282">
        <v>344.5</v>
      </c>
      <c r="AD144" s="282">
        <v>300</v>
      </c>
      <c r="AE144" s="283">
        <v>230</v>
      </c>
    </row>
    <row r="145" spans="1:31">
      <c r="B145" s="273" t="s">
        <v>65</v>
      </c>
      <c r="C145" s="286" t="s">
        <v>500</v>
      </c>
      <c r="D145" s="531">
        <v>343</v>
      </c>
      <c r="E145" s="532">
        <v>3.25</v>
      </c>
      <c r="F145" s="237" t="s">
        <v>190</v>
      </c>
      <c r="G145" s="314"/>
      <c r="I145" s="267">
        <v>84</v>
      </c>
      <c r="J145" s="267">
        <v>94</v>
      </c>
      <c r="K145" s="267">
        <v>105</v>
      </c>
      <c r="L145" s="267">
        <v>114</v>
      </c>
      <c r="M145" s="268">
        <v>130</v>
      </c>
      <c r="O145" s="267">
        <v>92</v>
      </c>
      <c r="P145" s="267">
        <v>101</v>
      </c>
      <c r="Q145" s="267">
        <v>115</v>
      </c>
      <c r="R145" s="267">
        <v>138</v>
      </c>
      <c r="S145" s="268">
        <v>173</v>
      </c>
      <c r="U145" s="267">
        <v>175.25</v>
      </c>
      <c r="V145" s="267">
        <v>155.25</v>
      </c>
      <c r="W145" s="267">
        <v>132.24999999999989</v>
      </c>
      <c r="X145" s="267">
        <v>115.25</v>
      </c>
      <c r="Y145" s="268">
        <v>82.25</v>
      </c>
      <c r="AA145" s="267">
        <v>159.75</v>
      </c>
      <c r="AB145" s="267">
        <v>140.75</v>
      </c>
      <c r="AC145" s="267">
        <v>112.25</v>
      </c>
      <c r="AD145" s="267">
        <v>67.75</v>
      </c>
      <c r="AE145" s="268">
        <v>-2.25</v>
      </c>
    </row>
    <row r="146" spans="1:31">
      <c r="A146" s="109"/>
      <c r="B146" s="280" t="s">
        <v>65</v>
      </c>
      <c r="C146" s="281" t="s">
        <v>570</v>
      </c>
      <c r="D146" s="529">
        <v>1086</v>
      </c>
      <c r="E146" s="535">
        <v>3.25</v>
      </c>
      <c r="F146" s="239" t="s">
        <v>190</v>
      </c>
      <c r="G146" s="315"/>
      <c r="I146" s="282">
        <v>26</v>
      </c>
      <c r="J146" s="282">
        <v>146</v>
      </c>
      <c r="K146" s="282">
        <v>157</v>
      </c>
      <c r="L146" s="282">
        <v>166</v>
      </c>
      <c r="M146" s="283">
        <v>182</v>
      </c>
      <c r="O146" s="282">
        <v>34</v>
      </c>
      <c r="P146" s="282">
        <v>153</v>
      </c>
      <c r="Q146" s="282">
        <v>167</v>
      </c>
      <c r="R146" s="282">
        <v>190</v>
      </c>
      <c r="S146" s="283">
        <v>225</v>
      </c>
      <c r="U146" s="282">
        <v>1034</v>
      </c>
      <c r="V146" s="282">
        <v>794.25</v>
      </c>
      <c r="W146" s="282">
        <v>771.24999999999989</v>
      </c>
      <c r="X146" s="282">
        <v>754.25</v>
      </c>
      <c r="Y146" s="283">
        <v>721.25</v>
      </c>
      <c r="AA146" s="282">
        <v>1018.5</v>
      </c>
      <c r="AB146" s="282">
        <v>779.75</v>
      </c>
      <c r="AC146" s="282">
        <v>751.25</v>
      </c>
      <c r="AD146" s="282">
        <v>706.75</v>
      </c>
      <c r="AE146" s="283">
        <v>636.75</v>
      </c>
    </row>
    <row r="147" spans="1:31">
      <c r="B147" s="273" t="s">
        <v>65</v>
      </c>
      <c r="C147" s="286" t="s">
        <v>571</v>
      </c>
      <c r="D147" s="531">
        <v>1179</v>
      </c>
      <c r="E147" s="532">
        <v>3.25</v>
      </c>
      <c r="F147" s="237" t="s">
        <v>190</v>
      </c>
      <c r="G147" s="314"/>
      <c r="I147" s="267">
        <v>26</v>
      </c>
      <c r="J147" s="267">
        <v>146</v>
      </c>
      <c r="K147" s="267">
        <v>157</v>
      </c>
      <c r="L147" s="267">
        <v>166</v>
      </c>
      <c r="M147" s="268">
        <v>182</v>
      </c>
      <c r="O147" s="267">
        <v>34</v>
      </c>
      <c r="P147" s="267">
        <v>153</v>
      </c>
      <c r="Q147" s="267">
        <v>167</v>
      </c>
      <c r="R147" s="267">
        <v>190</v>
      </c>
      <c r="S147" s="268">
        <v>225</v>
      </c>
      <c r="U147" s="267">
        <v>1127</v>
      </c>
      <c r="V147" s="267">
        <v>887.25</v>
      </c>
      <c r="W147" s="267">
        <v>864.25</v>
      </c>
      <c r="X147" s="267">
        <v>847.25</v>
      </c>
      <c r="Y147" s="268">
        <v>814.25</v>
      </c>
      <c r="AA147" s="267">
        <v>1111.5</v>
      </c>
      <c r="AB147" s="267">
        <v>872.75</v>
      </c>
      <c r="AC147" s="267">
        <v>844.25</v>
      </c>
      <c r="AD147" s="267">
        <v>799.75</v>
      </c>
      <c r="AE147" s="268">
        <v>729.75</v>
      </c>
    </row>
    <row r="148" spans="1:31">
      <c r="A148" s="109"/>
      <c r="B148" s="280" t="s">
        <v>65</v>
      </c>
      <c r="C148" s="281" t="s">
        <v>572</v>
      </c>
      <c r="D148" s="529">
        <v>1980</v>
      </c>
      <c r="E148" s="535">
        <v>3.25</v>
      </c>
      <c r="F148" s="239" t="s">
        <v>190</v>
      </c>
      <c r="G148" s="315"/>
      <c r="I148" s="282">
        <v>26</v>
      </c>
      <c r="J148" s="282">
        <v>246</v>
      </c>
      <c r="K148" s="282">
        <v>257</v>
      </c>
      <c r="L148" s="282">
        <v>266</v>
      </c>
      <c r="M148" s="283">
        <v>282</v>
      </c>
      <c r="O148" s="282">
        <v>34</v>
      </c>
      <c r="P148" s="282">
        <v>253</v>
      </c>
      <c r="Q148" s="282">
        <v>267</v>
      </c>
      <c r="R148" s="282">
        <v>290</v>
      </c>
      <c r="S148" s="283">
        <v>325</v>
      </c>
      <c r="U148" s="282">
        <v>1928</v>
      </c>
      <c r="V148" s="282">
        <v>1488.5</v>
      </c>
      <c r="W148" s="282">
        <v>1465.5</v>
      </c>
      <c r="X148" s="282">
        <v>1448.5</v>
      </c>
      <c r="Y148" s="283">
        <v>1415.5</v>
      </c>
      <c r="AA148" s="282">
        <v>1912.5</v>
      </c>
      <c r="AB148" s="282">
        <v>1474</v>
      </c>
      <c r="AC148" s="282">
        <v>1445.5</v>
      </c>
      <c r="AD148" s="282">
        <v>1401</v>
      </c>
      <c r="AE148" s="283">
        <v>1331</v>
      </c>
    </row>
    <row r="149" spans="1:31">
      <c r="B149" s="273" t="s">
        <v>65</v>
      </c>
      <c r="C149" s="286" t="s">
        <v>573</v>
      </c>
      <c r="D149" s="531">
        <v>1703</v>
      </c>
      <c r="E149" s="532">
        <v>3.25</v>
      </c>
      <c r="F149" s="237" t="s">
        <v>190</v>
      </c>
      <c r="G149" s="314"/>
      <c r="I149" s="267">
        <v>26</v>
      </c>
      <c r="J149" s="267">
        <v>171</v>
      </c>
      <c r="K149" s="267">
        <v>182</v>
      </c>
      <c r="L149" s="267">
        <v>191</v>
      </c>
      <c r="M149" s="268">
        <v>207</v>
      </c>
      <c r="O149" s="267">
        <v>34</v>
      </c>
      <c r="P149" s="267">
        <v>178</v>
      </c>
      <c r="Q149" s="267">
        <v>192</v>
      </c>
      <c r="R149" s="267">
        <v>215</v>
      </c>
      <c r="S149" s="268">
        <v>250</v>
      </c>
      <c r="U149" s="267">
        <v>1651</v>
      </c>
      <c r="V149" s="267">
        <v>1361.25</v>
      </c>
      <c r="W149" s="267">
        <v>1338.25</v>
      </c>
      <c r="X149" s="267">
        <v>1321.25</v>
      </c>
      <c r="Y149" s="268">
        <v>1288.25</v>
      </c>
      <c r="AA149" s="267">
        <v>1635.5</v>
      </c>
      <c r="AB149" s="267">
        <v>1346.75</v>
      </c>
      <c r="AC149" s="267">
        <v>1318.25</v>
      </c>
      <c r="AD149" s="267">
        <v>1273.75</v>
      </c>
      <c r="AE149" s="268">
        <v>1203.75</v>
      </c>
    </row>
    <row r="150" spans="1:31">
      <c r="A150" s="109"/>
      <c r="B150" s="280" t="s">
        <v>65</v>
      </c>
      <c r="C150" s="281" t="s">
        <v>574</v>
      </c>
      <c r="D150" s="529">
        <v>1796</v>
      </c>
      <c r="E150" s="535">
        <v>3.25</v>
      </c>
      <c r="F150" s="239" t="s">
        <v>190</v>
      </c>
      <c r="G150" s="315"/>
      <c r="I150" s="282">
        <v>26</v>
      </c>
      <c r="J150" s="282">
        <v>171</v>
      </c>
      <c r="K150" s="282">
        <v>183</v>
      </c>
      <c r="L150" s="282">
        <v>191</v>
      </c>
      <c r="M150" s="283">
        <v>208</v>
      </c>
      <c r="O150" s="282">
        <v>34</v>
      </c>
      <c r="P150" s="282">
        <v>179</v>
      </c>
      <c r="Q150" s="282">
        <v>193</v>
      </c>
      <c r="R150" s="282">
        <v>215</v>
      </c>
      <c r="S150" s="283">
        <v>250</v>
      </c>
      <c r="U150" s="282">
        <v>1744</v>
      </c>
      <c r="V150" s="282">
        <v>1453.25</v>
      </c>
      <c r="W150" s="282">
        <v>1430.25</v>
      </c>
      <c r="X150" s="282">
        <v>1413.25</v>
      </c>
      <c r="Y150" s="283">
        <v>1380.25</v>
      </c>
      <c r="AA150" s="282">
        <v>1728.5</v>
      </c>
      <c r="AB150" s="282">
        <v>1438.75</v>
      </c>
      <c r="AC150" s="282">
        <v>1410.25</v>
      </c>
      <c r="AD150" s="282">
        <v>1365.75</v>
      </c>
      <c r="AE150" s="283">
        <v>1295.75</v>
      </c>
    </row>
    <row r="151" spans="1:31">
      <c r="B151" s="273" t="s">
        <v>65</v>
      </c>
      <c r="C151" s="286" t="s">
        <v>515</v>
      </c>
      <c r="D151" s="531">
        <v>429</v>
      </c>
      <c r="E151" s="532">
        <v>0</v>
      </c>
      <c r="F151" s="237" t="s">
        <v>195</v>
      </c>
      <c r="G151" s="314"/>
      <c r="I151" s="267">
        <v>95</v>
      </c>
      <c r="J151" s="267">
        <v>105</v>
      </c>
      <c r="K151" s="267">
        <v>117</v>
      </c>
      <c r="L151" s="267">
        <v>125</v>
      </c>
      <c r="M151" s="268">
        <v>142</v>
      </c>
      <c r="O151" s="267">
        <v>103</v>
      </c>
      <c r="P151" s="267">
        <v>113</v>
      </c>
      <c r="Q151" s="267">
        <v>127</v>
      </c>
      <c r="R151" s="267">
        <v>149</v>
      </c>
      <c r="S151" s="268">
        <v>184</v>
      </c>
      <c r="U151" s="267">
        <v>238.36</v>
      </c>
      <c r="V151" s="267">
        <v>218.36</v>
      </c>
      <c r="W151" s="267">
        <v>195.3599999999999</v>
      </c>
      <c r="X151" s="267">
        <v>178.36</v>
      </c>
      <c r="Y151" s="268">
        <v>145.36000000000001</v>
      </c>
      <c r="AA151" s="267">
        <v>222.86</v>
      </c>
      <c r="AB151" s="267">
        <v>203.86</v>
      </c>
      <c r="AC151" s="267">
        <v>175.36</v>
      </c>
      <c r="AD151" s="267">
        <v>130.86000000000001</v>
      </c>
      <c r="AE151" s="268">
        <v>60.860000000000014</v>
      </c>
    </row>
    <row r="152" spans="1:31">
      <c r="A152" s="109"/>
      <c r="B152" s="280" t="s">
        <v>65</v>
      </c>
      <c r="C152" s="281" t="s">
        <v>516</v>
      </c>
      <c r="D152" s="529">
        <v>537</v>
      </c>
      <c r="E152" s="535">
        <v>0</v>
      </c>
      <c r="F152" s="239" t="s">
        <v>195</v>
      </c>
      <c r="G152" s="315"/>
      <c r="I152" s="282">
        <v>26</v>
      </c>
      <c r="J152" s="282">
        <v>36</v>
      </c>
      <c r="K152" s="282">
        <v>96</v>
      </c>
      <c r="L152" s="282">
        <v>105</v>
      </c>
      <c r="M152" s="283">
        <v>121</v>
      </c>
      <c r="O152" s="282">
        <v>34</v>
      </c>
      <c r="P152" s="282">
        <v>43</v>
      </c>
      <c r="Q152" s="282">
        <v>106</v>
      </c>
      <c r="R152" s="282">
        <v>128</v>
      </c>
      <c r="S152" s="283">
        <v>163</v>
      </c>
      <c r="U152" s="282">
        <v>485</v>
      </c>
      <c r="V152" s="282">
        <v>465</v>
      </c>
      <c r="W152" s="282">
        <v>344.7999999999999</v>
      </c>
      <c r="X152" s="282">
        <v>327.8</v>
      </c>
      <c r="Y152" s="283">
        <v>294.8</v>
      </c>
      <c r="AA152" s="282">
        <v>469.5</v>
      </c>
      <c r="AB152" s="282">
        <v>450.5</v>
      </c>
      <c r="AC152" s="282">
        <v>324.8</v>
      </c>
      <c r="AD152" s="282">
        <v>280.3</v>
      </c>
      <c r="AE152" s="283">
        <v>210.3</v>
      </c>
    </row>
    <row r="153" spans="1:31">
      <c r="B153" s="273" t="s">
        <v>65</v>
      </c>
      <c r="C153" s="286" t="s">
        <v>517</v>
      </c>
      <c r="D153" s="531">
        <v>702</v>
      </c>
      <c r="E153" s="532">
        <v>0</v>
      </c>
      <c r="F153" s="237" t="s">
        <v>195</v>
      </c>
      <c r="G153" s="314"/>
      <c r="I153" s="267">
        <v>26</v>
      </c>
      <c r="J153" s="267">
        <v>36</v>
      </c>
      <c r="K153" s="267">
        <v>146</v>
      </c>
      <c r="L153" s="267">
        <v>155</v>
      </c>
      <c r="M153" s="268">
        <v>171</v>
      </c>
      <c r="O153" s="267">
        <v>34</v>
      </c>
      <c r="P153" s="267">
        <v>43</v>
      </c>
      <c r="Q153" s="267">
        <v>156</v>
      </c>
      <c r="R153" s="267">
        <v>178</v>
      </c>
      <c r="S153" s="268">
        <v>213</v>
      </c>
      <c r="U153" s="267">
        <v>650</v>
      </c>
      <c r="V153" s="267">
        <v>630</v>
      </c>
      <c r="W153" s="267">
        <v>409.7999999999999</v>
      </c>
      <c r="X153" s="267">
        <v>392.8</v>
      </c>
      <c r="Y153" s="268">
        <v>359.8</v>
      </c>
      <c r="AA153" s="267">
        <v>634.5</v>
      </c>
      <c r="AB153" s="267">
        <v>615.5</v>
      </c>
      <c r="AC153" s="267">
        <v>389.8</v>
      </c>
      <c r="AD153" s="267">
        <v>345.3</v>
      </c>
      <c r="AE153" s="268">
        <v>275.3</v>
      </c>
    </row>
    <row r="154" spans="1:31">
      <c r="A154" s="109"/>
      <c r="B154" s="280" t="s">
        <v>65</v>
      </c>
      <c r="C154" s="281" t="s">
        <v>417</v>
      </c>
      <c r="D154" s="529">
        <v>2727</v>
      </c>
      <c r="E154" s="535">
        <v>0</v>
      </c>
      <c r="F154" s="239" t="s">
        <v>195</v>
      </c>
      <c r="G154" s="315"/>
      <c r="I154" s="282">
        <v>26</v>
      </c>
      <c r="J154" s="282">
        <v>36</v>
      </c>
      <c r="K154" s="282">
        <v>462</v>
      </c>
      <c r="L154" s="282">
        <v>470</v>
      </c>
      <c r="M154" s="283">
        <v>487</v>
      </c>
      <c r="O154" s="282">
        <v>34</v>
      </c>
      <c r="P154" s="282">
        <v>43</v>
      </c>
      <c r="Q154" s="282">
        <v>472</v>
      </c>
      <c r="R154" s="282">
        <v>494</v>
      </c>
      <c r="S154" s="283">
        <v>529</v>
      </c>
      <c r="U154" s="282">
        <v>2675</v>
      </c>
      <c r="V154" s="282">
        <v>2655</v>
      </c>
      <c r="W154" s="282">
        <v>1803.8</v>
      </c>
      <c r="X154" s="282">
        <v>1786.8</v>
      </c>
      <c r="Y154" s="283">
        <v>1753.8</v>
      </c>
      <c r="AA154" s="282">
        <v>2659.5</v>
      </c>
      <c r="AB154" s="282">
        <v>2640.5</v>
      </c>
      <c r="AC154" s="282">
        <v>1783.8</v>
      </c>
      <c r="AD154" s="282">
        <v>1739.3</v>
      </c>
      <c r="AE154" s="283">
        <v>1669.3</v>
      </c>
    </row>
    <row r="155" spans="1:31">
      <c r="B155" s="273" t="s">
        <v>65</v>
      </c>
      <c r="C155" s="286" t="s">
        <v>518</v>
      </c>
      <c r="D155" s="531">
        <v>1012</v>
      </c>
      <c r="E155" s="532">
        <v>0</v>
      </c>
      <c r="F155" s="237" t="s">
        <v>195</v>
      </c>
      <c r="G155" s="314"/>
      <c r="I155" s="267">
        <v>26</v>
      </c>
      <c r="J155" s="267">
        <v>36</v>
      </c>
      <c r="K155" s="267">
        <v>180</v>
      </c>
      <c r="L155" s="267">
        <v>188</v>
      </c>
      <c r="M155" s="268">
        <v>205</v>
      </c>
      <c r="O155" s="267">
        <v>34</v>
      </c>
      <c r="P155" s="267">
        <v>43</v>
      </c>
      <c r="Q155" s="267">
        <v>190</v>
      </c>
      <c r="R155" s="267">
        <v>212</v>
      </c>
      <c r="S155" s="268">
        <v>247</v>
      </c>
      <c r="U155" s="267">
        <v>960</v>
      </c>
      <c r="V155" s="267">
        <v>940</v>
      </c>
      <c r="W155" s="267">
        <v>652.84999999999991</v>
      </c>
      <c r="X155" s="267">
        <v>635.85</v>
      </c>
      <c r="Y155" s="268">
        <v>602.85</v>
      </c>
      <c r="AA155" s="267">
        <v>944.5</v>
      </c>
      <c r="AB155" s="267">
        <v>925.5</v>
      </c>
      <c r="AC155" s="267">
        <v>632.85</v>
      </c>
      <c r="AD155" s="267">
        <v>588.35</v>
      </c>
      <c r="AE155" s="268">
        <v>518.35</v>
      </c>
    </row>
    <row r="156" spans="1:31">
      <c r="A156" s="109"/>
      <c r="B156" s="280" t="s">
        <v>180</v>
      </c>
      <c r="C156" s="281" t="s">
        <v>384</v>
      </c>
      <c r="D156" s="529">
        <v>162</v>
      </c>
      <c r="E156" s="535">
        <v>3.25</v>
      </c>
      <c r="F156" s="239" t="s">
        <v>190</v>
      </c>
      <c r="G156" s="315"/>
      <c r="I156" s="282">
        <v>49</v>
      </c>
      <c r="J156" s="282">
        <v>59</v>
      </c>
      <c r="K156" s="282">
        <v>71</v>
      </c>
      <c r="L156" s="282">
        <v>79</v>
      </c>
      <c r="M156" s="283">
        <v>96</v>
      </c>
      <c r="O156" s="282">
        <v>57</v>
      </c>
      <c r="P156" s="282">
        <v>67</v>
      </c>
      <c r="Q156" s="282">
        <v>81</v>
      </c>
      <c r="R156" s="282">
        <v>103</v>
      </c>
      <c r="S156" s="283">
        <v>138</v>
      </c>
      <c r="U156" s="282">
        <v>63.25</v>
      </c>
      <c r="V156" s="282">
        <v>43.25</v>
      </c>
      <c r="W156" s="282">
        <v>20.249999999999886</v>
      </c>
      <c r="X156" s="282">
        <v>3.25</v>
      </c>
      <c r="Y156" s="283">
        <v>-29.75</v>
      </c>
      <c r="AA156" s="282">
        <v>47.750000000000028</v>
      </c>
      <c r="AB156" s="282">
        <v>28.75</v>
      </c>
      <c r="AC156" s="282">
        <v>0.25</v>
      </c>
      <c r="AD156" s="282">
        <v>-44.25</v>
      </c>
      <c r="AE156" s="283">
        <v>-114.25</v>
      </c>
    </row>
    <row r="157" spans="1:31">
      <c r="B157" s="273" t="s">
        <v>180</v>
      </c>
      <c r="C157" s="286" t="s">
        <v>519</v>
      </c>
      <c r="D157" s="531">
        <v>161</v>
      </c>
      <c r="E157" s="532">
        <v>3.25</v>
      </c>
      <c r="F157" s="237" t="s">
        <v>190</v>
      </c>
      <c r="G157" s="314"/>
      <c r="I157" s="267">
        <v>33</v>
      </c>
      <c r="J157" s="267">
        <v>43</v>
      </c>
      <c r="K157" s="267">
        <v>55</v>
      </c>
      <c r="L157" s="267">
        <v>63</v>
      </c>
      <c r="M157" s="268">
        <v>80</v>
      </c>
      <c r="O157" s="267">
        <v>41</v>
      </c>
      <c r="P157" s="267">
        <v>51</v>
      </c>
      <c r="Q157" s="267">
        <v>65</v>
      </c>
      <c r="R157" s="267">
        <v>87</v>
      </c>
      <c r="S157" s="268">
        <v>122</v>
      </c>
      <c r="U157" s="267">
        <v>94.25</v>
      </c>
      <c r="V157" s="267">
        <v>74.25</v>
      </c>
      <c r="W157" s="267">
        <v>51.249999999999886</v>
      </c>
      <c r="X157" s="267">
        <v>34.25</v>
      </c>
      <c r="Y157" s="268">
        <v>1.25</v>
      </c>
      <c r="AA157" s="267">
        <v>78.750000000000028</v>
      </c>
      <c r="AB157" s="267">
        <v>59.75</v>
      </c>
      <c r="AC157" s="267">
        <v>31.25</v>
      </c>
      <c r="AD157" s="267">
        <v>-13.25</v>
      </c>
      <c r="AE157" s="268">
        <v>-83.25</v>
      </c>
    </row>
    <row r="158" spans="1:31">
      <c r="A158" s="161"/>
      <c r="B158" s="280" t="s">
        <v>180</v>
      </c>
      <c r="C158" s="281" t="s">
        <v>558</v>
      </c>
      <c r="D158" s="529">
        <v>201</v>
      </c>
      <c r="E158" s="535">
        <v>3.25</v>
      </c>
      <c r="F158" s="239" t="s">
        <v>190</v>
      </c>
      <c r="G158" s="315"/>
      <c r="I158" s="282">
        <v>33</v>
      </c>
      <c r="J158" s="282">
        <v>43</v>
      </c>
      <c r="K158" s="282">
        <v>54</v>
      </c>
      <c r="L158" s="282">
        <v>63</v>
      </c>
      <c r="M158" s="283">
        <v>79</v>
      </c>
      <c r="O158" s="282">
        <v>41</v>
      </c>
      <c r="P158" s="282">
        <v>50</v>
      </c>
      <c r="Q158" s="282">
        <v>64</v>
      </c>
      <c r="R158" s="282">
        <v>87</v>
      </c>
      <c r="S158" s="283">
        <v>122</v>
      </c>
      <c r="U158" s="282">
        <v>135.25</v>
      </c>
      <c r="V158" s="282">
        <v>115.25</v>
      </c>
      <c r="W158" s="282">
        <v>92.249999999999886</v>
      </c>
      <c r="X158" s="282">
        <v>75.25</v>
      </c>
      <c r="Y158" s="283">
        <v>42.25</v>
      </c>
      <c r="AA158" s="282">
        <v>119.75000000000003</v>
      </c>
      <c r="AB158" s="282">
        <v>100.75</v>
      </c>
      <c r="AC158" s="282">
        <v>72.25</v>
      </c>
      <c r="AD158" s="282">
        <v>27.75</v>
      </c>
      <c r="AE158" s="283">
        <v>-42.25</v>
      </c>
    </row>
    <row r="159" spans="1:31">
      <c r="A159" s="161"/>
      <c r="B159" s="273" t="s">
        <v>180</v>
      </c>
      <c r="C159" s="286" t="s">
        <v>520</v>
      </c>
      <c r="D159" s="531">
        <v>159</v>
      </c>
      <c r="E159" s="532">
        <v>0</v>
      </c>
      <c r="F159" s="237" t="s">
        <v>195</v>
      </c>
      <c r="G159" s="314"/>
      <c r="I159" s="267">
        <v>26</v>
      </c>
      <c r="J159" s="267">
        <v>36</v>
      </c>
      <c r="K159" s="267">
        <v>48</v>
      </c>
      <c r="L159" s="267">
        <v>56</v>
      </c>
      <c r="M159" s="268">
        <v>73</v>
      </c>
      <c r="O159" s="267">
        <v>34</v>
      </c>
      <c r="P159" s="267">
        <v>43</v>
      </c>
      <c r="Q159" s="267">
        <v>58</v>
      </c>
      <c r="R159" s="267">
        <v>80</v>
      </c>
      <c r="S159" s="268">
        <v>59</v>
      </c>
      <c r="U159" s="267">
        <v>107</v>
      </c>
      <c r="V159" s="267">
        <v>87</v>
      </c>
      <c r="W159" s="267">
        <v>63.999999999999886</v>
      </c>
      <c r="X159" s="267">
        <v>47</v>
      </c>
      <c r="Y159" s="268">
        <v>14</v>
      </c>
      <c r="AA159" s="267">
        <v>91.500000000000028</v>
      </c>
      <c r="AB159" s="267">
        <v>72.5</v>
      </c>
      <c r="AC159" s="267">
        <v>44</v>
      </c>
      <c r="AD159" s="267">
        <v>-0.5</v>
      </c>
      <c r="AE159" s="268">
        <v>41.5</v>
      </c>
    </row>
    <row r="160" spans="1:31">
      <c r="A160" s="161"/>
      <c r="B160" s="280" t="s">
        <v>180</v>
      </c>
      <c r="C160" s="281" t="s">
        <v>428</v>
      </c>
      <c r="D160" s="529">
        <v>49</v>
      </c>
      <c r="E160" s="535">
        <v>1.1000000000000001</v>
      </c>
      <c r="F160" s="239" t="s">
        <v>4</v>
      </c>
      <c r="G160" s="315"/>
      <c r="I160" s="282">
        <v>25</v>
      </c>
      <c r="J160" s="282">
        <v>25</v>
      </c>
      <c r="K160" s="282">
        <v>0</v>
      </c>
      <c r="L160" s="282">
        <v>0</v>
      </c>
      <c r="M160" s="283">
        <v>0</v>
      </c>
      <c r="O160" s="282">
        <v>25</v>
      </c>
      <c r="P160" s="282">
        <v>0</v>
      </c>
      <c r="Q160" s="282">
        <v>0</v>
      </c>
      <c r="R160" s="282">
        <v>0</v>
      </c>
      <c r="S160" s="283">
        <v>0</v>
      </c>
      <c r="U160" s="282">
        <v>0</v>
      </c>
      <c r="V160" s="282">
        <v>0</v>
      </c>
      <c r="W160" s="282" t="s">
        <v>15</v>
      </c>
      <c r="X160" s="282" t="s">
        <v>15</v>
      </c>
      <c r="Y160" s="283" t="s">
        <v>15</v>
      </c>
      <c r="AA160" s="282">
        <v>0</v>
      </c>
      <c r="AB160" s="282" t="s">
        <v>15</v>
      </c>
      <c r="AC160" s="282" t="s">
        <v>15</v>
      </c>
      <c r="AD160" s="282" t="s">
        <v>15</v>
      </c>
      <c r="AE160" s="283" t="s">
        <v>15</v>
      </c>
    </row>
    <row r="161" spans="1:31">
      <c r="A161" s="161"/>
      <c r="B161" s="273" t="s">
        <v>180</v>
      </c>
      <c r="C161" s="286" t="s">
        <v>467</v>
      </c>
      <c r="D161" s="531">
        <v>60</v>
      </c>
      <c r="E161" s="532">
        <v>1.1000000000000001</v>
      </c>
      <c r="F161" s="237" t="s">
        <v>4</v>
      </c>
      <c r="G161" s="314"/>
      <c r="I161" s="267">
        <v>30</v>
      </c>
      <c r="J161" s="267">
        <v>30</v>
      </c>
      <c r="K161" s="267">
        <v>0</v>
      </c>
      <c r="L161" s="267">
        <v>0</v>
      </c>
      <c r="M161" s="268">
        <v>0</v>
      </c>
      <c r="O161" s="267">
        <v>30</v>
      </c>
      <c r="P161" s="267">
        <v>0</v>
      </c>
      <c r="Q161" s="267">
        <v>0</v>
      </c>
      <c r="R161" s="267">
        <v>0</v>
      </c>
      <c r="S161" s="268">
        <v>0</v>
      </c>
      <c r="U161" s="267">
        <v>0</v>
      </c>
      <c r="V161" s="267">
        <v>0</v>
      </c>
      <c r="W161" s="267" t="s">
        <v>15</v>
      </c>
      <c r="X161" s="267" t="s">
        <v>15</v>
      </c>
      <c r="Y161" s="268" t="s">
        <v>15</v>
      </c>
      <c r="AA161" s="267">
        <v>0</v>
      </c>
      <c r="AB161" s="267" t="s">
        <v>15</v>
      </c>
      <c r="AC161" s="267" t="s">
        <v>15</v>
      </c>
      <c r="AD161" s="267" t="s">
        <v>15</v>
      </c>
      <c r="AE161" s="268" t="s">
        <v>15</v>
      </c>
    </row>
    <row r="162" spans="1:31">
      <c r="A162" s="161"/>
      <c r="B162" s="280" t="s">
        <v>180</v>
      </c>
      <c r="C162" s="281" t="s">
        <v>429</v>
      </c>
      <c r="D162" s="529">
        <v>132</v>
      </c>
      <c r="E162" s="535">
        <v>3.75</v>
      </c>
      <c r="F162" s="239" t="s">
        <v>191</v>
      </c>
      <c r="G162" s="315"/>
      <c r="I162" s="282">
        <v>26</v>
      </c>
      <c r="J162" s="282">
        <v>36</v>
      </c>
      <c r="K162" s="282">
        <v>48</v>
      </c>
      <c r="L162" s="282">
        <v>56</v>
      </c>
      <c r="M162" s="283">
        <v>73</v>
      </c>
      <c r="O162" s="282">
        <v>34</v>
      </c>
      <c r="P162" s="282">
        <v>43</v>
      </c>
      <c r="Q162" s="282">
        <v>58</v>
      </c>
      <c r="R162" s="282">
        <v>80</v>
      </c>
      <c r="S162" s="283">
        <v>115</v>
      </c>
      <c r="U162" s="282">
        <v>80</v>
      </c>
      <c r="V162" s="282">
        <v>60</v>
      </c>
      <c r="W162" s="282">
        <v>36.999999999999886</v>
      </c>
      <c r="X162" s="282">
        <v>20</v>
      </c>
      <c r="Y162" s="283">
        <v>-13</v>
      </c>
      <c r="AA162" s="282">
        <v>64.500000000000028</v>
      </c>
      <c r="AB162" s="282">
        <v>45.5</v>
      </c>
      <c r="AC162" s="282">
        <v>17</v>
      </c>
      <c r="AD162" s="282">
        <v>-27.5</v>
      </c>
      <c r="AE162" s="283">
        <v>-97.5</v>
      </c>
    </row>
    <row r="163" spans="1:31">
      <c r="A163" s="161"/>
      <c r="B163" s="273" t="s">
        <v>181</v>
      </c>
      <c r="C163" s="286" t="s">
        <v>484</v>
      </c>
      <c r="D163" s="531">
        <v>1072</v>
      </c>
      <c r="E163" s="532">
        <v>3.25</v>
      </c>
      <c r="F163" s="237" t="s">
        <v>190</v>
      </c>
      <c r="G163" s="314"/>
      <c r="I163" s="267">
        <v>26</v>
      </c>
      <c r="J163" s="267">
        <v>261</v>
      </c>
      <c r="K163" s="267">
        <v>273</v>
      </c>
      <c r="L163" s="267">
        <v>281</v>
      </c>
      <c r="M163" s="268">
        <v>298</v>
      </c>
      <c r="O163" s="267">
        <v>34</v>
      </c>
      <c r="P163" s="267">
        <v>268</v>
      </c>
      <c r="Q163" s="267">
        <v>283</v>
      </c>
      <c r="R163" s="267">
        <v>305</v>
      </c>
      <c r="S163" s="268">
        <v>340</v>
      </c>
      <c r="U163" s="267">
        <v>1020</v>
      </c>
      <c r="V163" s="267">
        <v>549.51</v>
      </c>
      <c r="W163" s="267">
        <v>526.50999999999988</v>
      </c>
      <c r="X163" s="267">
        <v>509.51</v>
      </c>
      <c r="Y163" s="268">
        <v>476.51</v>
      </c>
      <c r="AA163" s="267">
        <v>1004.5</v>
      </c>
      <c r="AB163" s="267">
        <v>535.01</v>
      </c>
      <c r="AC163" s="267">
        <v>506.51</v>
      </c>
      <c r="AD163" s="267">
        <v>462.01</v>
      </c>
      <c r="AE163" s="268">
        <v>392.01</v>
      </c>
    </row>
    <row r="164" spans="1:31">
      <c r="A164" s="161"/>
      <c r="B164" s="280" t="s">
        <v>181</v>
      </c>
      <c r="C164" s="281" t="s">
        <v>501</v>
      </c>
      <c r="D164" s="529">
        <v>1402</v>
      </c>
      <c r="E164" s="535">
        <v>3.25</v>
      </c>
      <c r="F164" s="239" t="s">
        <v>190</v>
      </c>
      <c r="G164" s="315"/>
      <c r="I164" s="282">
        <v>26</v>
      </c>
      <c r="J164" s="282">
        <v>296</v>
      </c>
      <c r="K164" s="282">
        <v>307</v>
      </c>
      <c r="L164" s="282">
        <v>316</v>
      </c>
      <c r="M164" s="283">
        <v>332</v>
      </c>
      <c r="O164" s="282">
        <v>34</v>
      </c>
      <c r="P164" s="282">
        <v>303</v>
      </c>
      <c r="Q164" s="282">
        <v>317</v>
      </c>
      <c r="R164" s="282">
        <v>340</v>
      </c>
      <c r="S164" s="283">
        <v>375</v>
      </c>
      <c r="U164" s="282">
        <v>1350</v>
      </c>
      <c r="V164" s="282">
        <v>810.08999999999992</v>
      </c>
      <c r="W164" s="282">
        <v>787.08999999999992</v>
      </c>
      <c r="X164" s="282">
        <v>770.08999999999992</v>
      </c>
      <c r="Y164" s="283">
        <v>737.08999999999992</v>
      </c>
      <c r="AA164" s="282">
        <v>1334.5</v>
      </c>
      <c r="AB164" s="282">
        <v>795.58999999999992</v>
      </c>
      <c r="AC164" s="282">
        <v>767.08999999999992</v>
      </c>
      <c r="AD164" s="282">
        <v>722.58999999999992</v>
      </c>
      <c r="AE164" s="283">
        <v>652.58999999999992</v>
      </c>
    </row>
    <row r="165" spans="1:31">
      <c r="A165" s="161"/>
      <c r="B165" s="273" t="s">
        <v>181</v>
      </c>
      <c r="C165" s="286" t="s">
        <v>603</v>
      </c>
      <c r="D165" s="531">
        <v>174</v>
      </c>
      <c r="E165" s="532">
        <v>3.25</v>
      </c>
      <c r="F165" s="237" t="s">
        <v>190</v>
      </c>
      <c r="G165" s="314"/>
      <c r="I165" s="267">
        <v>58</v>
      </c>
      <c r="J165" s="267">
        <v>68</v>
      </c>
      <c r="K165" s="267">
        <v>80</v>
      </c>
      <c r="L165" s="267">
        <v>88</v>
      </c>
      <c r="M165" s="268">
        <v>105</v>
      </c>
      <c r="O165" s="267">
        <v>66</v>
      </c>
      <c r="P165" s="267">
        <v>75</v>
      </c>
      <c r="Q165" s="267">
        <v>90</v>
      </c>
      <c r="R165" s="267">
        <v>112</v>
      </c>
      <c r="S165" s="268">
        <v>147</v>
      </c>
      <c r="U165" s="267">
        <v>57.680000000000007</v>
      </c>
      <c r="V165" s="267">
        <v>37.680000000000007</v>
      </c>
      <c r="W165" s="267">
        <v>14.679999999999893</v>
      </c>
      <c r="X165" s="267">
        <v>-2.3199999999999932</v>
      </c>
      <c r="Y165" s="268">
        <v>-35.319999999999993</v>
      </c>
      <c r="AA165" s="267">
        <v>42.180000000000035</v>
      </c>
      <c r="AB165" s="267">
        <v>23.180000000000007</v>
      </c>
      <c r="AC165" s="267">
        <v>-5.3199999999999932</v>
      </c>
      <c r="AD165" s="267">
        <v>-49.819999999999993</v>
      </c>
      <c r="AE165" s="268">
        <v>-119.82</v>
      </c>
    </row>
    <row r="166" spans="1:31">
      <c r="A166" s="161"/>
      <c r="B166" s="280" t="s">
        <v>181</v>
      </c>
      <c r="C166" s="281" t="s">
        <v>604</v>
      </c>
      <c r="D166" s="529">
        <v>638</v>
      </c>
      <c r="E166" s="535">
        <v>3.25</v>
      </c>
      <c r="F166" s="239" t="s">
        <v>190</v>
      </c>
      <c r="G166" s="315"/>
      <c r="I166" s="282">
        <v>26</v>
      </c>
      <c r="J166" s="282">
        <v>134</v>
      </c>
      <c r="K166" s="282">
        <v>146</v>
      </c>
      <c r="L166" s="282">
        <v>154</v>
      </c>
      <c r="M166" s="283">
        <v>171</v>
      </c>
      <c r="O166" s="282">
        <v>34</v>
      </c>
      <c r="P166" s="282">
        <v>141</v>
      </c>
      <c r="Q166" s="282">
        <v>156</v>
      </c>
      <c r="R166" s="282">
        <v>178</v>
      </c>
      <c r="S166" s="283">
        <v>213</v>
      </c>
      <c r="U166" s="282">
        <v>586</v>
      </c>
      <c r="V166" s="282">
        <v>369.57000000000005</v>
      </c>
      <c r="W166" s="282">
        <v>346.56999999999994</v>
      </c>
      <c r="X166" s="282">
        <v>329.57000000000005</v>
      </c>
      <c r="Y166" s="283">
        <v>296.57000000000005</v>
      </c>
      <c r="AA166" s="282">
        <v>570.5</v>
      </c>
      <c r="AB166" s="282">
        <v>355.07000000000005</v>
      </c>
      <c r="AC166" s="282">
        <v>326.57000000000005</v>
      </c>
      <c r="AD166" s="282">
        <v>282.07000000000005</v>
      </c>
      <c r="AE166" s="283">
        <v>212.07000000000005</v>
      </c>
    </row>
    <row r="167" spans="1:31">
      <c r="A167" s="161"/>
      <c r="B167" s="273" t="s">
        <v>181</v>
      </c>
      <c r="C167" s="286" t="s">
        <v>605</v>
      </c>
      <c r="D167" s="531">
        <v>801</v>
      </c>
      <c r="E167" s="532">
        <v>3.25</v>
      </c>
      <c r="F167" s="237" t="s">
        <v>190</v>
      </c>
      <c r="G167" s="314"/>
      <c r="I167" s="267">
        <v>26</v>
      </c>
      <c r="J167" s="267">
        <v>162</v>
      </c>
      <c r="K167" s="267">
        <v>174</v>
      </c>
      <c r="L167" s="267">
        <v>182</v>
      </c>
      <c r="M167" s="268">
        <v>199</v>
      </c>
      <c r="O167" s="267">
        <v>34</v>
      </c>
      <c r="P167" s="267">
        <v>169</v>
      </c>
      <c r="Q167" s="267">
        <v>184</v>
      </c>
      <c r="R167" s="267">
        <v>206</v>
      </c>
      <c r="S167" s="268">
        <v>241</v>
      </c>
      <c r="U167" s="267">
        <v>749</v>
      </c>
      <c r="V167" s="267">
        <v>476.67999999999995</v>
      </c>
      <c r="W167" s="267">
        <v>453.67999999999984</v>
      </c>
      <c r="X167" s="267">
        <v>436.67999999999995</v>
      </c>
      <c r="Y167" s="268">
        <v>403.67999999999995</v>
      </c>
      <c r="AA167" s="267">
        <v>733.5</v>
      </c>
      <c r="AB167" s="267">
        <v>462.17999999999995</v>
      </c>
      <c r="AC167" s="267">
        <v>433.67999999999995</v>
      </c>
      <c r="AD167" s="267">
        <v>389.17999999999995</v>
      </c>
      <c r="AE167" s="268">
        <v>319.17999999999995</v>
      </c>
    </row>
    <row r="168" spans="1:31">
      <c r="A168" s="161"/>
      <c r="B168" s="280" t="s">
        <v>181</v>
      </c>
      <c r="C168" s="281" t="s">
        <v>606</v>
      </c>
      <c r="D168" s="529">
        <v>895</v>
      </c>
      <c r="E168" s="535">
        <v>3.25</v>
      </c>
      <c r="F168" s="239" t="s">
        <v>190</v>
      </c>
      <c r="G168" s="315"/>
      <c r="I168" s="282">
        <v>26</v>
      </c>
      <c r="J168" s="282">
        <v>206</v>
      </c>
      <c r="K168" s="282">
        <v>217</v>
      </c>
      <c r="L168" s="282">
        <v>226</v>
      </c>
      <c r="M168" s="283">
        <v>242</v>
      </c>
      <c r="O168" s="282">
        <v>34</v>
      </c>
      <c r="P168" s="282">
        <v>213</v>
      </c>
      <c r="Q168" s="282">
        <v>227</v>
      </c>
      <c r="R168" s="282">
        <v>250</v>
      </c>
      <c r="S168" s="283">
        <v>285</v>
      </c>
      <c r="U168" s="282">
        <v>843</v>
      </c>
      <c r="V168" s="282">
        <v>483.08000000000004</v>
      </c>
      <c r="W168" s="282">
        <v>460.07999999999993</v>
      </c>
      <c r="X168" s="282">
        <v>443.08000000000004</v>
      </c>
      <c r="Y168" s="283">
        <v>410.08000000000004</v>
      </c>
      <c r="AA168" s="282">
        <v>827.5</v>
      </c>
      <c r="AB168" s="282">
        <v>468.58000000000004</v>
      </c>
      <c r="AC168" s="282">
        <v>440.08000000000004</v>
      </c>
      <c r="AD168" s="282">
        <v>395.58000000000004</v>
      </c>
      <c r="AE168" s="283">
        <v>325.58000000000004</v>
      </c>
    </row>
    <row r="169" spans="1:31">
      <c r="A169" s="161"/>
      <c r="B169" s="273" t="s">
        <v>181</v>
      </c>
      <c r="C169" s="286" t="s">
        <v>521</v>
      </c>
      <c r="D169" s="531">
        <v>298</v>
      </c>
      <c r="E169" s="532">
        <v>0</v>
      </c>
      <c r="F169" s="237" t="s">
        <v>195</v>
      </c>
      <c r="G169" s="314"/>
      <c r="I169" s="267">
        <v>51</v>
      </c>
      <c r="J169" s="267">
        <v>61</v>
      </c>
      <c r="K169" s="267">
        <v>73</v>
      </c>
      <c r="L169" s="267">
        <v>81</v>
      </c>
      <c r="M169" s="268">
        <v>98</v>
      </c>
      <c r="O169" s="267">
        <v>59</v>
      </c>
      <c r="P169" s="267">
        <v>69</v>
      </c>
      <c r="Q169" s="267">
        <v>83</v>
      </c>
      <c r="R169" s="267">
        <v>105</v>
      </c>
      <c r="S169" s="268">
        <v>136</v>
      </c>
      <c r="U169" s="267">
        <v>195.4</v>
      </c>
      <c r="V169" s="267">
        <v>175.4</v>
      </c>
      <c r="W169" s="267">
        <v>152.39999999999989</v>
      </c>
      <c r="X169" s="267">
        <v>135.4</v>
      </c>
      <c r="Y169" s="268">
        <v>102.4</v>
      </c>
      <c r="AA169" s="267">
        <v>179.90000000000003</v>
      </c>
      <c r="AB169" s="267">
        <v>160.9</v>
      </c>
      <c r="AC169" s="267">
        <v>132.4</v>
      </c>
      <c r="AD169" s="267">
        <v>87.9</v>
      </c>
      <c r="AE169" s="268">
        <v>26.799999999999955</v>
      </c>
    </row>
    <row r="170" spans="1:31">
      <c r="A170" s="161"/>
      <c r="B170" s="280" t="s">
        <v>181</v>
      </c>
      <c r="C170" s="281" t="s">
        <v>530</v>
      </c>
      <c r="D170" s="529">
        <v>445</v>
      </c>
      <c r="E170" s="535">
        <v>0</v>
      </c>
      <c r="F170" s="239" t="s">
        <v>195</v>
      </c>
      <c r="G170" s="315"/>
      <c r="I170" s="282">
        <v>49</v>
      </c>
      <c r="J170" s="282">
        <v>59</v>
      </c>
      <c r="K170" s="282">
        <v>71</v>
      </c>
      <c r="L170" s="282">
        <v>79</v>
      </c>
      <c r="M170" s="283">
        <v>96</v>
      </c>
      <c r="O170" s="282">
        <v>57</v>
      </c>
      <c r="P170" s="282">
        <v>66</v>
      </c>
      <c r="Q170" s="282">
        <v>81</v>
      </c>
      <c r="R170" s="282">
        <v>103</v>
      </c>
      <c r="S170" s="283">
        <v>138</v>
      </c>
      <c r="U170" s="282">
        <v>346.77000000000004</v>
      </c>
      <c r="V170" s="282">
        <v>326.77000000000004</v>
      </c>
      <c r="W170" s="282">
        <v>303.76999999999992</v>
      </c>
      <c r="X170" s="282">
        <v>286.77000000000004</v>
      </c>
      <c r="Y170" s="283">
        <v>253.77000000000004</v>
      </c>
      <c r="AA170" s="282">
        <v>331.27000000000004</v>
      </c>
      <c r="AB170" s="282">
        <v>312.27000000000004</v>
      </c>
      <c r="AC170" s="282">
        <v>283.77000000000004</v>
      </c>
      <c r="AD170" s="282">
        <v>239.27000000000004</v>
      </c>
      <c r="AE170" s="283">
        <v>169.27000000000004</v>
      </c>
    </row>
    <row r="171" spans="1:31">
      <c r="A171" s="161"/>
      <c r="B171" s="273" t="s">
        <v>181</v>
      </c>
      <c r="C171" s="286" t="s">
        <v>522</v>
      </c>
      <c r="D171" s="531">
        <v>577</v>
      </c>
      <c r="E171" s="532">
        <v>0</v>
      </c>
      <c r="F171" s="237" t="s">
        <v>195</v>
      </c>
      <c r="G171" s="314"/>
      <c r="I171" s="267">
        <v>26</v>
      </c>
      <c r="J171" s="267">
        <v>36</v>
      </c>
      <c r="K171" s="267">
        <v>106</v>
      </c>
      <c r="L171" s="267">
        <v>114</v>
      </c>
      <c r="M171" s="268">
        <v>131</v>
      </c>
      <c r="O171" s="267">
        <v>34</v>
      </c>
      <c r="P171" s="267">
        <v>43</v>
      </c>
      <c r="Q171" s="267">
        <v>116</v>
      </c>
      <c r="R171" s="267">
        <v>138</v>
      </c>
      <c r="S171" s="268">
        <v>173</v>
      </c>
      <c r="U171" s="267">
        <v>525</v>
      </c>
      <c r="V171" s="267">
        <v>505</v>
      </c>
      <c r="W171" s="267">
        <v>365.33999999999992</v>
      </c>
      <c r="X171" s="267">
        <v>348.34000000000003</v>
      </c>
      <c r="Y171" s="268">
        <v>315.34000000000003</v>
      </c>
      <c r="AA171" s="267">
        <v>509.5</v>
      </c>
      <c r="AB171" s="267">
        <v>490.5</v>
      </c>
      <c r="AC171" s="267">
        <v>345.34000000000003</v>
      </c>
      <c r="AD171" s="267">
        <v>300.84000000000003</v>
      </c>
      <c r="AE171" s="268">
        <v>230.84000000000003</v>
      </c>
    </row>
    <row r="172" spans="1:31">
      <c r="A172" s="161"/>
      <c r="B172" s="280" t="s">
        <v>181</v>
      </c>
      <c r="C172" s="281" t="s">
        <v>451</v>
      </c>
      <c r="D172" s="529">
        <v>459</v>
      </c>
      <c r="E172" s="535">
        <v>0</v>
      </c>
      <c r="F172" s="239" t="s">
        <v>464</v>
      </c>
      <c r="G172" s="315"/>
      <c r="I172" s="282">
        <v>121</v>
      </c>
      <c r="J172" s="282">
        <v>131</v>
      </c>
      <c r="K172" s="282">
        <v>143</v>
      </c>
      <c r="L172" s="282">
        <v>151</v>
      </c>
      <c r="M172" s="283">
        <v>168</v>
      </c>
      <c r="O172" s="282">
        <v>129</v>
      </c>
      <c r="P172" s="282">
        <v>139</v>
      </c>
      <c r="Q172" s="282">
        <v>153</v>
      </c>
      <c r="R172" s="282">
        <v>175</v>
      </c>
      <c r="S172" s="283">
        <v>210</v>
      </c>
      <c r="U172" s="282">
        <v>216.11</v>
      </c>
      <c r="V172" s="282">
        <v>196.11</v>
      </c>
      <c r="W172" s="282">
        <v>173.1099999999999</v>
      </c>
      <c r="X172" s="282">
        <v>156.11000000000001</v>
      </c>
      <c r="Y172" s="283">
        <v>123.11000000000001</v>
      </c>
      <c r="AA172" s="282">
        <v>200.61</v>
      </c>
      <c r="AB172" s="282">
        <v>181.61</v>
      </c>
      <c r="AC172" s="282">
        <v>153.11000000000001</v>
      </c>
      <c r="AD172" s="282">
        <v>108.61000000000001</v>
      </c>
      <c r="AE172" s="283">
        <v>38.610000000000014</v>
      </c>
    </row>
    <row r="173" spans="1:31">
      <c r="A173" s="161"/>
      <c r="B173" s="273" t="s">
        <v>181</v>
      </c>
      <c r="C173" s="286" t="s">
        <v>559</v>
      </c>
      <c r="D173" s="531">
        <v>516</v>
      </c>
      <c r="E173" s="532">
        <v>0</v>
      </c>
      <c r="F173" s="237" t="s">
        <v>464</v>
      </c>
      <c r="G173" s="314"/>
      <c r="I173" s="267">
        <v>109</v>
      </c>
      <c r="J173" s="267">
        <v>119</v>
      </c>
      <c r="K173" s="267">
        <v>131</v>
      </c>
      <c r="L173" s="267">
        <v>139</v>
      </c>
      <c r="M173" s="268">
        <v>156</v>
      </c>
      <c r="O173" s="267">
        <v>117</v>
      </c>
      <c r="P173" s="267">
        <v>126</v>
      </c>
      <c r="Q173" s="267">
        <v>141</v>
      </c>
      <c r="R173" s="267">
        <v>163</v>
      </c>
      <c r="S173" s="268">
        <v>198</v>
      </c>
      <c r="U173" s="267">
        <v>297.89999999999998</v>
      </c>
      <c r="V173" s="267">
        <v>277.89999999999998</v>
      </c>
      <c r="W173" s="267">
        <v>254.89999999999986</v>
      </c>
      <c r="X173" s="267">
        <v>237.89999999999998</v>
      </c>
      <c r="Y173" s="268">
        <v>204.89999999999998</v>
      </c>
      <c r="AA173" s="267">
        <v>282.39999999999998</v>
      </c>
      <c r="AB173" s="267">
        <v>263.39999999999998</v>
      </c>
      <c r="AC173" s="267">
        <v>234.89999999999998</v>
      </c>
      <c r="AD173" s="267">
        <v>190.39999999999998</v>
      </c>
      <c r="AE173" s="268">
        <v>120.39999999999998</v>
      </c>
    </row>
    <row r="174" spans="1:31">
      <c r="A174" s="161"/>
      <c r="B174" s="280" t="s">
        <v>181</v>
      </c>
      <c r="C174" s="281" t="s">
        <v>541</v>
      </c>
      <c r="D174" s="529">
        <v>647</v>
      </c>
      <c r="E174" s="535">
        <v>3.75</v>
      </c>
      <c r="F174" s="239" t="s">
        <v>191</v>
      </c>
      <c r="G174" s="315"/>
      <c r="I174" s="282">
        <v>26</v>
      </c>
      <c r="J174" s="282">
        <v>149</v>
      </c>
      <c r="K174" s="282">
        <v>161</v>
      </c>
      <c r="L174" s="282">
        <v>169</v>
      </c>
      <c r="M174" s="283">
        <v>186</v>
      </c>
      <c r="O174" s="282">
        <v>34</v>
      </c>
      <c r="P174" s="282">
        <v>157</v>
      </c>
      <c r="Q174" s="282">
        <v>171</v>
      </c>
      <c r="R174" s="282">
        <v>193</v>
      </c>
      <c r="S174" s="283">
        <v>228</v>
      </c>
      <c r="U174" s="282">
        <v>595</v>
      </c>
      <c r="V174" s="282">
        <v>348.11</v>
      </c>
      <c r="W174" s="282">
        <v>325.1099999999999</v>
      </c>
      <c r="X174" s="282">
        <v>308.11</v>
      </c>
      <c r="Y174" s="283">
        <v>275.11</v>
      </c>
      <c r="AA174" s="282">
        <v>579.5</v>
      </c>
      <c r="AB174" s="282">
        <v>333.61</v>
      </c>
      <c r="AC174" s="282">
        <v>305.11</v>
      </c>
      <c r="AD174" s="282">
        <v>260.61</v>
      </c>
      <c r="AE174" s="283">
        <v>190.61</v>
      </c>
    </row>
    <row r="175" spans="1:31">
      <c r="A175" s="161"/>
      <c r="B175" s="273" t="s">
        <v>181</v>
      </c>
      <c r="C175" s="286" t="s">
        <v>430</v>
      </c>
      <c r="D175" s="531">
        <v>208</v>
      </c>
      <c r="E175" s="532">
        <v>3.75</v>
      </c>
      <c r="F175" s="237" t="s">
        <v>191</v>
      </c>
      <c r="G175" s="314"/>
      <c r="I175" s="267">
        <v>43</v>
      </c>
      <c r="J175" s="267">
        <v>53</v>
      </c>
      <c r="K175" s="267">
        <v>65</v>
      </c>
      <c r="L175" s="267">
        <v>73</v>
      </c>
      <c r="M175" s="268">
        <v>90</v>
      </c>
      <c r="O175" s="267">
        <v>51</v>
      </c>
      <c r="P175" s="267">
        <v>61</v>
      </c>
      <c r="Q175" s="267">
        <v>75</v>
      </c>
      <c r="R175" s="267">
        <v>97</v>
      </c>
      <c r="S175" s="268">
        <v>132</v>
      </c>
      <c r="U175" s="267">
        <v>121.21000000000001</v>
      </c>
      <c r="V175" s="267">
        <v>101.21000000000001</v>
      </c>
      <c r="W175" s="267">
        <v>78.209999999999894</v>
      </c>
      <c r="X175" s="267">
        <v>61.210000000000008</v>
      </c>
      <c r="Y175" s="268">
        <v>28.210000000000008</v>
      </c>
      <c r="AA175" s="267">
        <v>105.71000000000004</v>
      </c>
      <c r="AB175" s="267">
        <v>86.710000000000008</v>
      </c>
      <c r="AC175" s="267">
        <v>58.210000000000008</v>
      </c>
      <c r="AD175" s="267">
        <v>13.710000000000008</v>
      </c>
      <c r="AE175" s="268">
        <v>-56.289999999999992</v>
      </c>
    </row>
    <row r="176" spans="1:31">
      <c r="A176" s="161"/>
      <c r="B176" s="280" t="s">
        <v>181</v>
      </c>
      <c r="C176" s="281" t="s">
        <v>452</v>
      </c>
      <c r="D176" s="529">
        <v>174</v>
      </c>
      <c r="E176" s="535">
        <v>3.25</v>
      </c>
      <c r="F176" s="239" t="s">
        <v>190</v>
      </c>
      <c r="G176" s="315"/>
      <c r="I176" s="282">
        <v>57</v>
      </c>
      <c r="J176" s="282">
        <v>67</v>
      </c>
      <c r="K176" s="282">
        <v>78</v>
      </c>
      <c r="L176" s="282">
        <v>87</v>
      </c>
      <c r="M176" s="283">
        <v>103</v>
      </c>
      <c r="O176" s="282">
        <v>64</v>
      </c>
      <c r="P176" s="282">
        <v>74</v>
      </c>
      <c r="Q176" s="282">
        <v>88</v>
      </c>
      <c r="R176" s="282">
        <v>110</v>
      </c>
      <c r="S176" s="283">
        <v>145</v>
      </c>
      <c r="U176" s="282">
        <v>60.650000000000006</v>
      </c>
      <c r="V176" s="282">
        <v>40.650000000000006</v>
      </c>
      <c r="W176" s="282">
        <v>17.649999999999892</v>
      </c>
      <c r="X176" s="282">
        <v>0.65000000000000568</v>
      </c>
      <c r="Y176" s="283">
        <v>-32.349999999999994</v>
      </c>
      <c r="AA176" s="282">
        <v>45.150000000000034</v>
      </c>
      <c r="AB176" s="282">
        <v>26.150000000000006</v>
      </c>
      <c r="AC176" s="282">
        <v>-2.3499999999999943</v>
      </c>
      <c r="AD176" s="282">
        <v>-46.849999999999994</v>
      </c>
      <c r="AE176" s="283">
        <v>-116.85</v>
      </c>
    </row>
    <row r="177" spans="1:33">
      <c r="A177" s="161"/>
      <c r="B177" s="273" t="s">
        <v>181</v>
      </c>
      <c r="C177" s="286" t="s">
        <v>542</v>
      </c>
      <c r="D177" s="532">
        <v>205</v>
      </c>
      <c r="E177" s="532">
        <v>3.25</v>
      </c>
      <c r="F177" s="237" t="s">
        <v>190</v>
      </c>
      <c r="G177" s="314"/>
      <c r="I177" s="267">
        <v>68</v>
      </c>
      <c r="J177" s="267">
        <v>78</v>
      </c>
      <c r="K177" s="267">
        <v>90</v>
      </c>
      <c r="L177" s="267">
        <v>98</v>
      </c>
      <c r="M177" s="268">
        <v>115</v>
      </c>
      <c r="O177" s="267">
        <v>76</v>
      </c>
      <c r="P177" s="267">
        <v>86</v>
      </c>
      <c r="Q177" s="267">
        <v>100</v>
      </c>
      <c r="R177" s="267">
        <v>122</v>
      </c>
      <c r="S177" s="268">
        <v>157</v>
      </c>
      <c r="U177" s="267">
        <v>68.25</v>
      </c>
      <c r="V177" s="267">
        <v>48.25</v>
      </c>
      <c r="W177" s="267">
        <v>25.249999999999886</v>
      </c>
      <c r="X177" s="267">
        <v>8.25</v>
      </c>
      <c r="Y177" s="268">
        <v>-24.75</v>
      </c>
      <c r="AA177" s="267">
        <v>52.750000000000028</v>
      </c>
      <c r="AB177" s="267">
        <v>33.75</v>
      </c>
      <c r="AC177" s="267">
        <v>5.25</v>
      </c>
      <c r="AD177" s="267">
        <v>-39.25</v>
      </c>
      <c r="AE177" s="268">
        <v>-109.25</v>
      </c>
    </row>
    <row r="178" spans="1:33">
      <c r="A178" s="161"/>
      <c r="B178" s="280" t="s">
        <v>181</v>
      </c>
      <c r="C178" s="281" t="s">
        <v>468</v>
      </c>
      <c r="D178" s="529">
        <v>326</v>
      </c>
      <c r="E178" s="535">
        <v>3.25</v>
      </c>
      <c r="F178" s="239" t="s">
        <v>190</v>
      </c>
      <c r="G178" s="315"/>
      <c r="I178" s="282">
        <v>99</v>
      </c>
      <c r="J178" s="282">
        <v>109</v>
      </c>
      <c r="K178" s="282">
        <v>120</v>
      </c>
      <c r="L178" s="282">
        <v>129</v>
      </c>
      <c r="M178" s="283">
        <v>145</v>
      </c>
      <c r="O178" s="282">
        <v>107</v>
      </c>
      <c r="P178" s="282">
        <v>116</v>
      </c>
      <c r="Q178" s="282">
        <v>130</v>
      </c>
      <c r="R178" s="282">
        <v>153</v>
      </c>
      <c r="S178" s="283">
        <v>188</v>
      </c>
      <c r="U178" s="282">
        <v>128.36000000000001</v>
      </c>
      <c r="V178" s="282">
        <v>108.36000000000001</v>
      </c>
      <c r="W178" s="282">
        <v>85.3599999999999</v>
      </c>
      <c r="X178" s="282">
        <v>68.360000000000014</v>
      </c>
      <c r="Y178" s="283">
        <v>35.360000000000014</v>
      </c>
      <c r="AA178" s="282">
        <v>112.86000000000001</v>
      </c>
      <c r="AB178" s="282">
        <v>93.860000000000014</v>
      </c>
      <c r="AC178" s="282">
        <v>65.360000000000014</v>
      </c>
      <c r="AD178" s="282">
        <v>20.860000000000014</v>
      </c>
      <c r="AE178" s="283">
        <v>-49.139999999999986</v>
      </c>
    </row>
    <row r="179" spans="1:33">
      <c r="B179" s="285" t="s">
        <v>181</v>
      </c>
      <c r="C179" s="286" t="s">
        <v>469</v>
      </c>
      <c r="D179" s="531">
        <v>420</v>
      </c>
      <c r="E179" s="532">
        <v>3.25</v>
      </c>
      <c r="F179" s="237" t="s">
        <v>190</v>
      </c>
      <c r="G179" s="314"/>
      <c r="I179" s="267">
        <v>105</v>
      </c>
      <c r="J179" s="267">
        <v>115</v>
      </c>
      <c r="K179" s="267">
        <v>126</v>
      </c>
      <c r="L179" s="267">
        <v>135</v>
      </c>
      <c r="M179" s="268">
        <v>151</v>
      </c>
      <c r="O179" s="267">
        <v>112</v>
      </c>
      <c r="P179" s="267">
        <v>122</v>
      </c>
      <c r="Q179" s="267">
        <v>136</v>
      </c>
      <c r="R179" s="267">
        <v>158</v>
      </c>
      <c r="S179" s="268">
        <v>193</v>
      </c>
      <c r="U179" s="267">
        <v>211</v>
      </c>
      <c r="V179" s="267">
        <v>191</v>
      </c>
      <c r="W179" s="267">
        <v>167.99999999999989</v>
      </c>
      <c r="X179" s="267">
        <v>151</v>
      </c>
      <c r="Y179" s="268">
        <v>118</v>
      </c>
      <c r="AA179" s="267">
        <v>195.5</v>
      </c>
      <c r="AB179" s="267">
        <v>176.5</v>
      </c>
      <c r="AC179" s="267">
        <v>148</v>
      </c>
      <c r="AD179" s="267">
        <v>103.5</v>
      </c>
      <c r="AE179" s="268">
        <v>33.5</v>
      </c>
    </row>
    <row r="180" spans="1:33">
      <c r="B180" s="280" t="s">
        <v>181</v>
      </c>
      <c r="C180" s="118" t="s">
        <v>637</v>
      </c>
      <c r="D180" s="529">
        <v>323</v>
      </c>
      <c r="E180" s="535">
        <v>3.25</v>
      </c>
      <c r="F180" s="239" t="s">
        <v>190</v>
      </c>
      <c r="G180" s="315"/>
      <c r="I180" s="282">
        <v>82</v>
      </c>
      <c r="J180" s="282">
        <v>92</v>
      </c>
      <c r="K180" s="282">
        <v>103</v>
      </c>
      <c r="L180" s="282">
        <v>112</v>
      </c>
      <c r="M180" s="283">
        <v>128</v>
      </c>
      <c r="O180" s="282">
        <v>89</v>
      </c>
      <c r="P180" s="282">
        <v>99</v>
      </c>
      <c r="Q180" s="282">
        <v>113</v>
      </c>
      <c r="R180" s="282">
        <v>135</v>
      </c>
      <c r="S180" s="283">
        <v>170</v>
      </c>
      <c r="U180" s="282">
        <v>159.65</v>
      </c>
      <c r="V180" s="282">
        <v>139.65</v>
      </c>
      <c r="W180" s="282">
        <v>116.64999999999989</v>
      </c>
      <c r="X180" s="282">
        <v>99.65</v>
      </c>
      <c r="Y180" s="283">
        <v>66.650000000000006</v>
      </c>
      <c r="AA180" s="282">
        <v>144.15000000000003</v>
      </c>
      <c r="AB180" s="282">
        <v>125.15</v>
      </c>
      <c r="AC180" s="282">
        <v>96.65</v>
      </c>
      <c r="AD180" s="282">
        <v>52.150000000000006</v>
      </c>
      <c r="AE180" s="283">
        <v>-17.849999999999994</v>
      </c>
    </row>
    <row r="181" spans="1:33">
      <c r="B181" s="285" t="s">
        <v>181</v>
      </c>
      <c r="C181" s="286" t="s">
        <v>624</v>
      </c>
      <c r="D181" s="531">
        <v>415</v>
      </c>
      <c r="E181" s="532">
        <v>3.25</v>
      </c>
      <c r="F181" s="237" t="s">
        <v>190</v>
      </c>
      <c r="G181" s="314"/>
      <c r="I181" s="267">
        <v>84</v>
      </c>
      <c r="J181" s="267">
        <v>94</v>
      </c>
      <c r="K181" s="267">
        <v>106</v>
      </c>
      <c r="L181" s="267">
        <v>114</v>
      </c>
      <c r="M181" s="268">
        <v>131</v>
      </c>
      <c r="O181" s="267">
        <v>92</v>
      </c>
      <c r="P181" s="267">
        <v>102</v>
      </c>
      <c r="Q181" s="267">
        <v>116</v>
      </c>
      <c r="R181" s="267">
        <v>138</v>
      </c>
      <c r="S181" s="268">
        <v>173</v>
      </c>
      <c r="U181" s="267">
        <v>246.06</v>
      </c>
      <c r="V181" s="267">
        <v>226.06</v>
      </c>
      <c r="W181" s="267">
        <v>203.05999999999989</v>
      </c>
      <c r="X181" s="267">
        <v>186.06</v>
      </c>
      <c r="Y181" s="268">
        <v>153.06</v>
      </c>
      <c r="AA181" s="267">
        <v>230.56</v>
      </c>
      <c r="AB181" s="267">
        <v>211.56</v>
      </c>
      <c r="AC181" s="267">
        <v>183.06</v>
      </c>
      <c r="AD181" s="267">
        <v>138.56</v>
      </c>
      <c r="AE181" s="268">
        <v>68.56</v>
      </c>
    </row>
    <row r="182" spans="1:33">
      <c r="B182" s="280" t="s">
        <v>181</v>
      </c>
      <c r="C182" s="281" t="s">
        <v>625</v>
      </c>
      <c r="D182" s="529">
        <v>516</v>
      </c>
      <c r="E182" s="535">
        <v>3.25</v>
      </c>
      <c r="F182" s="239" t="s">
        <v>190</v>
      </c>
      <c r="G182" s="315"/>
      <c r="I182" s="282">
        <v>99</v>
      </c>
      <c r="J182" s="282">
        <v>109</v>
      </c>
      <c r="K182" s="282">
        <v>121</v>
      </c>
      <c r="L182" s="282">
        <v>129</v>
      </c>
      <c r="M182" s="283">
        <v>146</v>
      </c>
      <c r="O182" s="282">
        <v>107</v>
      </c>
      <c r="P182" s="282">
        <v>117</v>
      </c>
      <c r="Q182" s="282">
        <v>131</v>
      </c>
      <c r="R182" s="282">
        <v>153</v>
      </c>
      <c r="S182" s="283">
        <v>188</v>
      </c>
      <c r="U182" s="282">
        <v>317.45999999999998</v>
      </c>
      <c r="V182" s="282">
        <v>297.45999999999998</v>
      </c>
      <c r="W182" s="282">
        <v>274.45999999999987</v>
      </c>
      <c r="X182" s="282">
        <v>257.45999999999998</v>
      </c>
      <c r="Y182" s="283">
        <v>224.45999999999998</v>
      </c>
      <c r="AA182" s="282">
        <v>301.95999999999998</v>
      </c>
      <c r="AB182" s="282">
        <v>282.95999999999998</v>
      </c>
      <c r="AC182" s="282">
        <v>254.45999999999998</v>
      </c>
      <c r="AD182" s="282">
        <v>209.95999999999998</v>
      </c>
      <c r="AE182" s="283">
        <v>139.95999999999998</v>
      </c>
    </row>
    <row r="183" spans="1:33">
      <c r="B183" s="285" t="s">
        <v>181</v>
      </c>
      <c r="C183" s="286" t="s">
        <v>543</v>
      </c>
      <c r="D183" s="531">
        <v>327</v>
      </c>
      <c r="E183" s="532">
        <v>3.75</v>
      </c>
      <c r="F183" s="237" t="s">
        <v>191</v>
      </c>
      <c r="G183" s="314"/>
      <c r="I183" s="267">
        <v>69</v>
      </c>
      <c r="J183" s="267">
        <v>79</v>
      </c>
      <c r="K183" s="267">
        <v>91</v>
      </c>
      <c r="L183" s="267">
        <v>99</v>
      </c>
      <c r="M183" s="268">
        <v>116</v>
      </c>
      <c r="O183" s="267">
        <v>77</v>
      </c>
      <c r="P183" s="267">
        <v>86</v>
      </c>
      <c r="Q183" s="267">
        <v>101</v>
      </c>
      <c r="R183" s="267">
        <v>123</v>
      </c>
      <c r="S183" s="268">
        <v>158</v>
      </c>
      <c r="U183" s="267">
        <v>188.86</v>
      </c>
      <c r="V183" s="267">
        <v>168.86</v>
      </c>
      <c r="W183" s="267">
        <v>145.8599999999999</v>
      </c>
      <c r="X183" s="267">
        <v>128.86000000000001</v>
      </c>
      <c r="Y183" s="268">
        <v>95.860000000000014</v>
      </c>
      <c r="AA183" s="267">
        <v>173.36</v>
      </c>
      <c r="AB183" s="267">
        <v>154.36000000000001</v>
      </c>
      <c r="AC183" s="267">
        <v>125.86000000000001</v>
      </c>
      <c r="AD183" s="267">
        <v>81.360000000000014</v>
      </c>
      <c r="AE183" s="268">
        <v>11.360000000000014</v>
      </c>
    </row>
    <row r="184" spans="1:33">
      <c r="B184" s="280" t="s">
        <v>181</v>
      </c>
      <c r="C184" s="281" t="s">
        <v>560</v>
      </c>
      <c r="D184" s="529">
        <v>167</v>
      </c>
      <c r="E184" s="535">
        <v>3.75</v>
      </c>
      <c r="F184" s="239" t="s">
        <v>191</v>
      </c>
      <c r="G184" s="315"/>
      <c r="I184" s="282">
        <v>44</v>
      </c>
      <c r="J184" s="282">
        <v>54</v>
      </c>
      <c r="K184" s="282">
        <v>65</v>
      </c>
      <c r="L184" s="282">
        <v>74</v>
      </c>
      <c r="M184" s="283">
        <v>90</v>
      </c>
      <c r="O184" s="282">
        <v>51</v>
      </c>
      <c r="P184" s="282">
        <v>61</v>
      </c>
      <c r="Q184" s="282">
        <v>75</v>
      </c>
      <c r="R184" s="282">
        <v>97</v>
      </c>
      <c r="S184" s="283">
        <v>132</v>
      </c>
      <c r="U184" s="282">
        <v>79.89</v>
      </c>
      <c r="V184" s="282">
        <v>59.89</v>
      </c>
      <c r="W184" s="282">
        <v>36.889999999999887</v>
      </c>
      <c r="X184" s="282">
        <v>19.89</v>
      </c>
      <c r="Y184" s="283">
        <v>-13.11</v>
      </c>
      <c r="AA184" s="282">
        <v>64.390000000000029</v>
      </c>
      <c r="AB184" s="282">
        <v>45.39</v>
      </c>
      <c r="AC184" s="282">
        <v>16.89</v>
      </c>
      <c r="AD184" s="282">
        <v>-27.61</v>
      </c>
      <c r="AE184" s="283">
        <v>-97.61</v>
      </c>
    </row>
    <row r="185" spans="1:33">
      <c r="B185" s="285" t="s">
        <v>181</v>
      </c>
      <c r="C185" s="286" t="s">
        <v>523</v>
      </c>
      <c r="D185" s="531">
        <v>165</v>
      </c>
      <c r="E185" s="532">
        <v>0</v>
      </c>
      <c r="F185" s="237" t="s">
        <v>195</v>
      </c>
      <c r="G185" s="314"/>
      <c r="I185" s="267">
        <v>26</v>
      </c>
      <c r="J185" s="267">
        <v>36</v>
      </c>
      <c r="K185" s="267">
        <v>48</v>
      </c>
      <c r="L185" s="267">
        <v>56</v>
      </c>
      <c r="M185" s="268">
        <v>73</v>
      </c>
      <c r="O185" s="267">
        <v>34</v>
      </c>
      <c r="P185" s="267">
        <v>43</v>
      </c>
      <c r="Q185" s="267">
        <v>58</v>
      </c>
      <c r="R185" s="267">
        <v>80</v>
      </c>
      <c r="S185" s="268">
        <v>59</v>
      </c>
      <c r="U185" s="267">
        <v>113</v>
      </c>
      <c r="V185" s="267">
        <v>93</v>
      </c>
      <c r="W185" s="267">
        <v>69.999999999999886</v>
      </c>
      <c r="X185" s="267">
        <v>53</v>
      </c>
      <c r="Y185" s="268">
        <v>20</v>
      </c>
      <c r="AA185" s="267">
        <v>97.500000000000028</v>
      </c>
      <c r="AB185" s="267">
        <v>78.5</v>
      </c>
      <c r="AC185" s="267">
        <v>50</v>
      </c>
      <c r="AD185" s="267">
        <v>5.9499999999999886</v>
      </c>
      <c r="AE185" s="268">
        <v>47.949999999999989</v>
      </c>
    </row>
    <row r="186" spans="1:33" s="109" customFormat="1" ht="13" thickBot="1">
      <c r="B186" s="280" t="s">
        <v>298</v>
      </c>
      <c r="C186" s="281" t="s">
        <v>583</v>
      </c>
      <c r="D186" s="529">
        <v>148</v>
      </c>
      <c r="E186" s="535">
        <v>3.25</v>
      </c>
      <c r="F186" s="239" t="s">
        <v>190</v>
      </c>
      <c r="G186" s="315"/>
      <c r="I186" s="282">
        <v>41</v>
      </c>
      <c r="J186" s="282">
        <v>51</v>
      </c>
      <c r="K186" s="282">
        <v>62</v>
      </c>
      <c r="L186" s="282">
        <v>71</v>
      </c>
      <c r="M186" s="283">
        <v>87</v>
      </c>
      <c r="N186" s="150"/>
      <c r="O186" s="282">
        <v>49</v>
      </c>
      <c r="P186" s="282">
        <v>58</v>
      </c>
      <c r="Q186" s="282">
        <v>72</v>
      </c>
      <c r="R186" s="282">
        <v>95</v>
      </c>
      <c r="S186" s="283">
        <v>130</v>
      </c>
      <c r="T186" s="113"/>
      <c r="U186" s="282">
        <v>66.25</v>
      </c>
      <c r="V186" s="282">
        <v>46.25</v>
      </c>
      <c r="W186" s="282">
        <v>23.249999999999886</v>
      </c>
      <c r="X186" s="282">
        <v>6.25</v>
      </c>
      <c r="Y186" s="283">
        <v>-26.75</v>
      </c>
      <c r="Z186" s="150"/>
      <c r="AA186" s="282">
        <v>50.750000000000028</v>
      </c>
      <c r="AB186" s="282">
        <v>31.75</v>
      </c>
      <c r="AC186" s="282">
        <v>3.25</v>
      </c>
      <c r="AD186" s="282">
        <v>-41.25</v>
      </c>
      <c r="AE186" s="283">
        <v>-111.25</v>
      </c>
      <c r="AF186" s="113"/>
      <c r="AG186" s="113"/>
    </row>
    <row r="187" spans="1:33">
      <c r="B187" s="521"/>
      <c r="C187" s="521"/>
      <c r="D187" s="521"/>
      <c r="E187" s="521"/>
      <c r="F187" s="521"/>
      <c r="G187" s="521"/>
      <c r="H187" s="521"/>
      <c r="I187" s="521"/>
      <c r="J187" s="521"/>
      <c r="K187" s="521"/>
      <c r="L187" s="521"/>
      <c r="M187" s="521"/>
      <c r="O187" s="521"/>
      <c r="P187" s="521"/>
      <c r="Q187" s="521"/>
      <c r="R187" s="521"/>
      <c r="S187" s="521"/>
      <c r="U187" s="521"/>
      <c r="V187" s="521"/>
      <c r="W187" s="521"/>
      <c r="X187" s="521"/>
      <c r="Y187" s="521"/>
      <c r="AA187" s="521"/>
      <c r="AB187" s="521"/>
      <c r="AC187" s="521"/>
      <c r="AD187" s="521"/>
      <c r="AE187" s="521"/>
    </row>
    <row r="188" spans="1:33">
      <c r="H188" s="113"/>
    </row>
    <row r="189" spans="1:33">
      <c r="H189" s="113"/>
    </row>
    <row r="190" spans="1:33">
      <c r="H190" s="113"/>
    </row>
    <row r="191" spans="1:33">
      <c r="H191" s="113"/>
    </row>
    <row r="192" spans="1:33">
      <c r="H192" s="113"/>
    </row>
    <row r="193" spans="8:8">
      <c r="H193" s="113"/>
    </row>
    <row r="194" spans="8:8">
      <c r="H194" s="113"/>
    </row>
    <row r="195" spans="8:8">
      <c r="H195" s="113"/>
    </row>
    <row r="196" spans="8:8">
      <c r="H196" s="113"/>
    </row>
    <row r="197" spans="8:8">
      <c r="H197" s="113"/>
    </row>
    <row r="198" spans="8:8">
      <c r="H198" s="113"/>
    </row>
    <row r="199" spans="8:8">
      <c r="H199" s="113"/>
    </row>
    <row r="200" spans="8:8">
      <c r="H200" s="113"/>
    </row>
    <row r="201" spans="8:8">
      <c r="H201" s="113"/>
    </row>
    <row r="202" spans="8:8">
      <c r="H202" s="113"/>
    </row>
    <row r="203" spans="8:8">
      <c r="H203" s="113"/>
    </row>
    <row r="204" spans="8:8">
      <c r="H204" s="113"/>
    </row>
  </sheetData>
  <sheetProtection algorithmName="SHA-512" hashValue="Rtkflxd2SsDAdMk2jGjHdRcVY4wZvmW4VIUBI9YRPDN8pSCL4oAiWXeZHfoV251tVpOx1m/6yZSvzChvZSqc9A==" saltValue="D8U1J7GDiN2WCH4auEYmag==" spinCount="100000" sheet="1" objects="1" scenarios="1"/>
  <autoFilter ref="B25:C25" xr:uid="{00000000-0009-0000-0000-000008000000}"/>
  <mergeCells count="27">
    <mergeCell ref="AA19:AE19"/>
    <mergeCell ref="U19:Y19"/>
    <mergeCell ref="I19:M19"/>
    <mergeCell ref="O19:S19"/>
    <mergeCell ref="I21:M21"/>
    <mergeCell ref="O21:S21"/>
    <mergeCell ref="U21:Y21"/>
    <mergeCell ref="AA21:AE21"/>
    <mergeCell ref="I2:M2"/>
    <mergeCell ref="O2:S2"/>
    <mergeCell ref="I5:I11"/>
    <mergeCell ref="J5:J11"/>
    <mergeCell ref="K5:K11"/>
    <mergeCell ref="L5:L11"/>
    <mergeCell ref="M5:M11"/>
    <mergeCell ref="O5:O11"/>
    <mergeCell ref="P5:P11"/>
    <mergeCell ref="Q5:Q11"/>
    <mergeCell ref="R5:R11"/>
    <mergeCell ref="S5:S11"/>
    <mergeCell ref="B5:C16"/>
    <mergeCell ref="B19:G23"/>
    <mergeCell ref="D12:G12"/>
    <mergeCell ref="D13:G13"/>
    <mergeCell ref="D14:G14"/>
    <mergeCell ref="D15:G15"/>
    <mergeCell ref="D16:G16"/>
  </mergeCells>
  <pageMargins left="0.70866141732283472" right="0.70866141732283472" top="0.74803149606299213" bottom="0.74803149606299213" header="0.31496062992125984" footer="0.31496062992125984"/>
  <pageSetup paperSize="9" scale="22" orientation="portrait" r:id="rId1"/>
  <headerFooter>
    <oddFooter>&amp;C&amp;1#&amp;"Calibri"&amp;8&amp;KED7D31Orange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>
    <pageSetUpPr fitToPage="1"/>
  </sheetPr>
  <dimension ref="B1:R63"/>
  <sheetViews>
    <sheetView showGridLines="0" zoomScale="70" zoomScaleNormal="70" workbookViewId="0">
      <selection activeCell="J38" sqref="J38"/>
    </sheetView>
  </sheetViews>
  <sheetFormatPr baseColWidth="10" defaultRowHeight="12.5"/>
  <cols>
    <col min="1" max="1" width="4.179687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32.453125" style="113" customWidth="1"/>
    <col min="7" max="7" width="9.81640625" style="113" hidden="1" customWidth="1"/>
    <col min="8" max="8" width="2.453125" style="150" customWidth="1"/>
    <col min="9" max="12" width="18.453125" style="113" customWidth="1"/>
    <col min="13" max="13" width="4.81640625" style="113" customWidth="1"/>
    <col min="14" max="17" width="18.453125" style="113" customWidth="1"/>
    <col min="18" max="256" width="11.453125" style="113"/>
    <col min="257" max="257" width="4.179687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2" width="8.54296875" style="113" bestFit="1" customWidth="1"/>
    <col min="263" max="263" width="8.81640625" style="113" bestFit="1" customWidth="1"/>
    <col min="264" max="264" width="2.453125" style="113" customWidth="1"/>
    <col min="265" max="268" width="18.453125" style="113" customWidth="1"/>
    <col min="269" max="269" width="4.81640625" style="113" customWidth="1"/>
    <col min="270" max="273" width="18.453125" style="113" customWidth="1"/>
    <col min="274" max="512" width="11.453125" style="113"/>
    <col min="513" max="513" width="4.179687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8" width="8.54296875" style="113" bestFit="1" customWidth="1"/>
    <col min="519" max="519" width="8.81640625" style="113" bestFit="1" customWidth="1"/>
    <col min="520" max="520" width="2.453125" style="113" customWidth="1"/>
    <col min="521" max="524" width="18.453125" style="113" customWidth="1"/>
    <col min="525" max="525" width="4.81640625" style="113" customWidth="1"/>
    <col min="526" max="529" width="18.453125" style="113" customWidth="1"/>
    <col min="530" max="768" width="11.453125" style="113"/>
    <col min="769" max="769" width="4.179687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4" width="8.54296875" style="113" bestFit="1" customWidth="1"/>
    <col min="775" max="775" width="8.81640625" style="113" bestFit="1" customWidth="1"/>
    <col min="776" max="776" width="2.453125" style="113" customWidth="1"/>
    <col min="777" max="780" width="18.453125" style="113" customWidth="1"/>
    <col min="781" max="781" width="4.81640625" style="113" customWidth="1"/>
    <col min="782" max="785" width="18.453125" style="113" customWidth="1"/>
    <col min="786" max="1024" width="11.453125" style="113"/>
    <col min="1025" max="1025" width="4.179687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0" width="8.54296875" style="113" bestFit="1" customWidth="1"/>
    <col min="1031" max="1031" width="8.81640625" style="113" bestFit="1" customWidth="1"/>
    <col min="1032" max="1032" width="2.453125" style="113" customWidth="1"/>
    <col min="1033" max="1036" width="18.453125" style="113" customWidth="1"/>
    <col min="1037" max="1037" width="4.81640625" style="113" customWidth="1"/>
    <col min="1038" max="1041" width="18.453125" style="113" customWidth="1"/>
    <col min="1042" max="1280" width="11.453125" style="113"/>
    <col min="1281" max="1281" width="4.179687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6" width="8.54296875" style="113" bestFit="1" customWidth="1"/>
    <col min="1287" max="1287" width="8.81640625" style="113" bestFit="1" customWidth="1"/>
    <col min="1288" max="1288" width="2.453125" style="113" customWidth="1"/>
    <col min="1289" max="1292" width="18.453125" style="113" customWidth="1"/>
    <col min="1293" max="1293" width="4.81640625" style="113" customWidth="1"/>
    <col min="1294" max="1297" width="18.453125" style="113" customWidth="1"/>
    <col min="1298" max="1536" width="11.453125" style="113"/>
    <col min="1537" max="1537" width="4.179687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2" width="8.54296875" style="113" bestFit="1" customWidth="1"/>
    <col min="1543" max="1543" width="8.81640625" style="113" bestFit="1" customWidth="1"/>
    <col min="1544" max="1544" width="2.453125" style="113" customWidth="1"/>
    <col min="1545" max="1548" width="18.453125" style="113" customWidth="1"/>
    <col min="1549" max="1549" width="4.81640625" style="113" customWidth="1"/>
    <col min="1550" max="1553" width="18.453125" style="113" customWidth="1"/>
    <col min="1554" max="1792" width="11.453125" style="113"/>
    <col min="1793" max="1793" width="4.179687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8" width="8.54296875" style="113" bestFit="1" customWidth="1"/>
    <col min="1799" max="1799" width="8.81640625" style="113" bestFit="1" customWidth="1"/>
    <col min="1800" max="1800" width="2.453125" style="113" customWidth="1"/>
    <col min="1801" max="1804" width="18.453125" style="113" customWidth="1"/>
    <col min="1805" max="1805" width="4.81640625" style="113" customWidth="1"/>
    <col min="1806" max="1809" width="18.453125" style="113" customWidth="1"/>
    <col min="1810" max="2048" width="11.453125" style="113"/>
    <col min="2049" max="2049" width="4.179687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4" width="8.54296875" style="113" bestFit="1" customWidth="1"/>
    <col min="2055" max="2055" width="8.81640625" style="113" bestFit="1" customWidth="1"/>
    <col min="2056" max="2056" width="2.453125" style="113" customWidth="1"/>
    <col min="2057" max="2060" width="18.453125" style="113" customWidth="1"/>
    <col min="2061" max="2061" width="4.81640625" style="113" customWidth="1"/>
    <col min="2062" max="2065" width="18.453125" style="113" customWidth="1"/>
    <col min="2066" max="2304" width="11.453125" style="113"/>
    <col min="2305" max="2305" width="4.179687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0" width="8.54296875" style="113" bestFit="1" customWidth="1"/>
    <col min="2311" max="2311" width="8.81640625" style="113" bestFit="1" customWidth="1"/>
    <col min="2312" max="2312" width="2.453125" style="113" customWidth="1"/>
    <col min="2313" max="2316" width="18.453125" style="113" customWidth="1"/>
    <col min="2317" max="2317" width="4.81640625" style="113" customWidth="1"/>
    <col min="2318" max="2321" width="18.453125" style="113" customWidth="1"/>
    <col min="2322" max="2560" width="11.453125" style="113"/>
    <col min="2561" max="2561" width="4.179687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6" width="8.54296875" style="113" bestFit="1" customWidth="1"/>
    <col min="2567" max="2567" width="8.81640625" style="113" bestFit="1" customWidth="1"/>
    <col min="2568" max="2568" width="2.453125" style="113" customWidth="1"/>
    <col min="2569" max="2572" width="18.453125" style="113" customWidth="1"/>
    <col min="2573" max="2573" width="4.81640625" style="113" customWidth="1"/>
    <col min="2574" max="2577" width="18.453125" style="113" customWidth="1"/>
    <col min="2578" max="2816" width="11.453125" style="113"/>
    <col min="2817" max="2817" width="4.179687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2" width="8.54296875" style="113" bestFit="1" customWidth="1"/>
    <col min="2823" max="2823" width="8.81640625" style="113" bestFit="1" customWidth="1"/>
    <col min="2824" max="2824" width="2.453125" style="113" customWidth="1"/>
    <col min="2825" max="2828" width="18.453125" style="113" customWidth="1"/>
    <col min="2829" max="2829" width="4.81640625" style="113" customWidth="1"/>
    <col min="2830" max="2833" width="18.453125" style="113" customWidth="1"/>
    <col min="2834" max="3072" width="11.453125" style="113"/>
    <col min="3073" max="3073" width="4.179687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8" width="8.54296875" style="113" bestFit="1" customWidth="1"/>
    <col min="3079" max="3079" width="8.81640625" style="113" bestFit="1" customWidth="1"/>
    <col min="3080" max="3080" width="2.453125" style="113" customWidth="1"/>
    <col min="3081" max="3084" width="18.453125" style="113" customWidth="1"/>
    <col min="3085" max="3085" width="4.81640625" style="113" customWidth="1"/>
    <col min="3086" max="3089" width="18.453125" style="113" customWidth="1"/>
    <col min="3090" max="3328" width="11.453125" style="113"/>
    <col min="3329" max="3329" width="4.179687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4" width="8.54296875" style="113" bestFit="1" customWidth="1"/>
    <col min="3335" max="3335" width="8.81640625" style="113" bestFit="1" customWidth="1"/>
    <col min="3336" max="3336" width="2.453125" style="113" customWidth="1"/>
    <col min="3337" max="3340" width="18.453125" style="113" customWidth="1"/>
    <col min="3341" max="3341" width="4.81640625" style="113" customWidth="1"/>
    <col min="3342" max="3345" width="18.453125" style="113" customWidth="1"/>
    <col min="3346" max="3584" width="11.453125" style="113"/>
    <col min="3585" max="3585" width="4.179687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0" width="8.54296875" style="113" bestFit="1" customWidth="1"/>
    <col min="3591" max="3591" width="8.81640625" style="113" bestFit="1" customWidth="1"/>
    <col min="3592" max="3592" width="2.453125" style="113" customWidth="1"/>
    <col min="3593" max="3596" width="18.453125" style="113" customWidth="1"/>
    <col min="3597" max="3597" width="4.81640625" style="113" customWidth="1"/>
    <col min="3598" max="3601" width="18.453125" style="113" customWidth="1"/>
    <col min="3602" max="3840" width="11.453125" style="113"/>
    <col min="3841" max="3841" width="4.179687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6" width="8.54296875" style="113" bestFit="1" customWidth="1"/>
    <col min="3847" max="3847" width="8.81640625" style="113" bestFit="1" customWidth="1"/>
    <col min="3848" max="3848" width="2.453125" style="113" customWidth="1"/>
    <col min="3849" max="3852" width="18.453125" style="113" customWidth="1"/>
    <col min="3853" max="3853" width="4.81640625" style="113" customWidth="1"/>
    <col min="3854" max="3857" width="18.453125" style="113" customWidth="1"/>
    <col min="3858" max="4096" width="11.453125" style="113"/>
    <col min="4097" max="4097" width="4.179687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2" width="8.54296875" style="113" bestFit="1" customWidth="1"/>
    <col min="4103" max="4103" width="8.81640625" style="113" bestFit="1" customWidth="1"/>
    <col min="4104" max="4104" width="2.453125" style="113" customWidth="1"/>
    <col min="4105" max="4108" width="18.453125" style="113" customWidth="1"/>
    <col min="4109" max="4109" width="4.81640625" style="113" customWidth="1"/>
    <col min="4110" max="4113" width="18.453125" style="113" customWidth="1"/>
    <col min="4114" max="4352" width="11.453125" style="113"/>
    <col min="4353" max="4353" width="4.179687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8" width="8.54296875" style="113" bestFit="1" customWidth="1"/>
    <col min="4359" max="4359" width="8.81640625" style="113" bestFit="1" customWidth="1"/>
    <col min="4360" max="4360" width="2.453125" style="113" customWidth="1"/>
    <col min="4361" max="4364" width="18.453125" style="113" customWidth="1"/>
    <col min="4365" max="4365" width="4.81640625" style="113" customWidth="1"/>
    <col min="4366" max="4369" width="18.453125" style="113" customWidth="1"/>
    <col min="4370" max="4608" width="11.453125" style="113"/>
    <col min="4609" max="4609" width="4.179687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4" width="8.54296875" style="113" bestFit="1" customWidth="1"/>
    <col min="4615" max="4615" width="8.81640625" style="113" bestFit="1" customWidth="1"/>
    <col min="4616" max="4616" width="2.453125" style="113" customWidth="1"/>
    <col min="4617" max="4620" width="18.453125" style="113" customWidth="1"/>
    <col min="4621" max="4621" width="4.81640625" style="113" customWidth="1"/>
    <col min="4622" max="4625" width="18.453125" style="113" customWidth="1"/>
    <col min="4626" max="4864" width="11.453125" style="113"/>
    <col min="4865" max="4865" width="4.179687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0" width="8.54296875" style="113" bestFit="1" customWidth="1"/>
    <col min="4871" max="4871" width="8.81640625" style="113" bestFit="1" customWidth="1"/>
    <col min="4872" max="4872" width="2.453125" style="113" customWidth="1"/>
    <col min="4873" max="4876" width="18.453125" style="113" customWidth="1"/>
    <col min="4877" max="4877" width="4.81640625" style="113" customWidth="1"/>
    <col min="4878" max="4881" width="18.453125" style="113" customWidth="1"/>
    <col min="4882" max="5120" width="11.453125" style="113"/>
    <col min="5121" max="5121" width="4.179687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6" width="8.54296875" style="113" bestFit="1" customWidth="1"/>
    <col min="5127" max="5127" width="8.81640625" style="113" bestFit="1" customWidth="1"/>
    <col min="5128" max="5128" width="2.453125" style="113" customWidth="1"/>
    <col min="5129" max="5132" width="18.453125" style="113" customWidth="1"/>
    <col min="5133" max="5133" width="4.81640625" style="113" customWidth="1"/>
    <col min="5134" max="5137" width="18.453125" style="113" customWidth="1"/>
    <col min="5138" max="5376" width="11.453125" style="113"/>
    <col min="5377" max="5377" width="4.179687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2" width="8.54296875" style="113" bestFit="1" customWidth="1"/>
    <col min="5383" max="5383" width="8.81640625" style="113" bestFit="1" customWidth="1"/>
    <col min="5384" max="5384" width="2.453125" style="113" customWidth="1"/>
    <col min="5385" max="5388" width="18.453125" style="113" customWidth="1"/>
    <col min="5389" max="5389" width="4.81640625" style="113" customWidth="1"/>
    <col min="5390" max="5393" width="18.453125" style="113" customWidth="1"/>
    <col min="5394" max="5632" width="11.453125" style="113"/>
    <col min="5633" max="5633" width="4.179687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8" width="8.54296875" style="113" bestFit="1" customWidth="1"/>
    <col min="5639" max="5639" width="8.81640625" style="113" bestFit="1" customWidth="1"/>
    <col min="5640" max="5640" width="2.453125" style="113" customWidth="1"/>
    <col min="5641" max="5644" width="18.453125" style="113" customWidth="1"/>
    <col min="5645" max="5645" width="4.81640625" style="113" customWidth="1"/>
    <col min="5646" max="5649" width="18.453125" style="113" customWidth="1"/>
    <col min="5650" max="5888" width="11.453125" style="113"/>
    <col min="5889" max="5889" width="4.179687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4" width="8.54296875" style="113" bestFit="1" customWidth="1"/>
    <col min="5895" max="5895" width="8.81640625" style="113" bestFit="1" customWidth="1"/>
    <col min="5896" max="5896" width="2.453125" style="113" customWidth="1"/>
    <col min="5897" max="5900" width="18.453125" style="113" customWidth="1"/>
    <col min="5901" max="5901" width="4.81640625" style="113" customWidth="1"/>
    <col min="5902" max="5905" width="18.453125" style="113" customWidth="1"/>
    <col min="5906" max="6144" width="11.453125" style="113"/>
    <col min="6145" max="6145" width="4.179687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0" width="8.54296875" style="113" bestFit="1" customWidth="1"/>
    <col min="6151" max="6151" width="8.81640625" style="113" bestFit="1" customWidth="1"/>
    <col min="6152" max="6152" width="2.453125" style="113" customWidth="1"/>
    <col min="6153" max="6156" width="18.453125" style="113" customWidth="1"/>
    <col min="6157" max="6157" width="4.81640625" style="113" customWidth="1"/>
    <col min="6158" max="6161" width="18.453125" style="113" customWidth="1"/>
    <col min="6162" max="6400" width="11.453125" style="113"/>
    <col min="6401" max="6401" width="4.179687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6" width="8.54296875" style="113" bestFit="1" customWidth="1"/>
    <col min="6407" max="6407" width="8.81640625" style="113" bestFit="1" customWidth="1"/>
    <col min="6408" max="6408" width="2.453125" style="113" customWidth="1"/>
    <col min="6409" max="6412" width="18.453125" style="113" customWidth="1"/>
    <col min="6413" max="6413" width="4.81640625" style="113" customWidth="1"/>
    <col min="6414" max="6417" width="18.453125" style="113" customWidth="1"/>
    <col min="6418" max="6656" width="11.453125" style="113"/>
    <col min="6657" max="6657" width="4.179687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2" width="8.54296875" style="113" bestFit="1" customWidth="1"/>
    <col min="6663" max="6663" width="8.81640625" style="113" bestFit="1" customWidth="1"/>
    <col min="6664" max="6664" width="2.453125" style="113" customWidth="1"/>
    <col min="6665" max="6668" width="18.453125" style="113" customWidth="1"/>
    <col min="6669" max="6669" width="4.81640625" style="113" customWidth="1"/>
    <col min="6670" max="6673" width="18.453125" style="113" customWidth="1"/>
    <col min="6674" max="6912" width="11.453125" style="113"/>
    <col min="6913" max="6913" width="4.179687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8" width="8.54296875" style="113" bestFit="1" customWidth="1"/>
    <col min="6919" max="6919" width="8.81640625" style="113" bestFit="1" customWidth="1"/>
    <col min="6920" max="6920" width="2.453125" style="113" customWidth="1"/>
    <col min="6921" max="6924" width="18.453125" style="113" customWidth="1"/>
    <col min="6925" max="6925" width="4.81640625" style="113" customWidth="1"/>
    <col min="6926" max="6929" width="18.453125" style="113" customWidth="1"/>
    <col min="6930" max="7168" width="11.453125" style="113"/>
    <col min="7169" max="7169" width="4.179687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4" width="8.54296875" style="113" bestFit="1" customWidth="1"/>
    <col min="7175" max="7175" width="8.81640625" style="113" bestFit="1" customWidth="1"/>
    <col min="7176" max="7176" width="2.453125" style="113" customWidth="1"/>
    <col min="7177" max="7180" width="18.453125" style="113" customWidth="1"/>
    <col min="7181" max="7181" width="4.81640625" style="113" customWidth="1"/>
    <col min="7182" max="7185" width="18.453125" style="113" customWidth="1"/>
    <col min="7186" max="7424" width="11.453125" style="113"/>
    <col min="7425" max="7425" width="4.179687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0" width="8.54296875" style="113" bestFit="1" customWidth="1"/>
    <col min="7431" max="7431" width="8.81640625" style="113" bestFit="1" customWidth="1"/>
    <col min="7432" max="7432" width="2.453125" style="113" customWidth="1"/>
    <col min="7433" max="7436" width="18.453125" style="113" customWidth="1"/>
    <col min="7437" max="7437" width="4.81640625" style="113" customWidth="1"/>
    <col min="7438" max="7441" width="18.453125" style="113" customWidth="1"/>
    <col min="7442" max="7680" width="11.453125" style="113"/>
    <col min="7681" max="7681" width="4.179687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6" width="8.54296875" style="113" bestFit="1" customWidth="1"/>
    <col min="7687" max="7687" width="8.81640625" style="113" bestFit="1" customWidth="1"/>
    <col min="7688" max="7688" width="2.453125" style="113" customWidth="1"/>
    <col min="7689" max="7692" width="18.453125" style="113" customWidth="1"/>
    <col min="7693" max="7693" width="4.81640625" style="113" customWidth="1"/>
    <col min="7694" max="7697" width="18.453125" style="113" customWidth="1"/>
    <col min="7698" max="7936" width="11.453125" style="113"/>
    <col min="7937" max="7937" width="4.179687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2" width="8.54296875" style="113" bestFit="1" customWidth="1"/>
    <col min="7943" max="7943" width="8.81640625" style="113" bestFit="1" customWidth="1"/>
    <col min="7944" max="7944" width="2.453125" style="113" customWidth="1"/>
    <col min="7945" max="7948" width="18.453125" style="113" customWidth="1"/>
    <col min="7949" max="7949" width="4.81640625" style="113" customWidth="1"/>
    <col min="7950" max="7953" width="18.453125" style="113" customWidth="1"/>
    <col min="7954" max="8192" width="11.453125" style="113"/>
    <col min="8193" max="8193" width="4.179687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8" width="8.54296875" style="113" bestFit="1" customWidth="1"/>
    <col min="8199" max="8199" width="8.81640625" style="113" bestFit="1" customWidth="1"/>
    <col min="8200" max="8200" width="2.453125" style="113" customWidth="1"/>
    <col min="8201" max="8204" width="18.453125" style="113" customWidth="1"/>
    <col min="8205" max="8205" width="4.81640625" style="113" customWidth="1"/>
    <col min="8206" max="8209" width="18.453125" style="113" customWidth="1"/>
    <col min="8210" max="8448" width="11.453125" style="113"/>
    <col min="8449" max="8449" width="4.179687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4" width="8.54296875" style="113" bestFit="1" customWidth="1"/>
    <col min="8455" max="8455" width="8.81640625" style="113" bestFit="1" customWidth="1"/>
    <col min="8456" max="8456" width="2.453125" style="113" customWidth="1"/>
    <col min="8457" max="8460" width="18.453125" style="113" customWidth="1"/>
    <col min="8461" max="8461" width="4.81640625" style="113" customWidth="1"/>
    <col min="8462" max="8465" width="18.453125" style="113" customWidth="1"/>
    <col min="8466" max="8704" width="11.453125" style="113"/>
    <col min="8705" max="8705" width="4.179687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0" width="8.54296875" style="113" bestFit="1" customWidth="1"/>
    <col min="8711" max="8711" width="8.81640625" style="113" bestFit="1" customWidth="1"/>
    <col min="8712" max="8712" width="2.453125" style="113" customWidth="1"/>
    <col min="8713" max="8716" width="18.453125" style="113" customWidth="1"/>
    <col min="8717" max="8717" width="4.81640625" style="113" customWidth="1"/>
    <col min="8718" max="8721" width="18.453125" style="113" customWidth="1"/>
    <col min="8722" max="8960" width="11.453125" style="113"/>
    <col min="8961" max="8961" width="4.179687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6" width="8.54296875" style="113" bestFit="1" customWidth="1"/>
    <col min="8967" max="8967" width="8.81640625" style="113" bestFit="1" customWidth="1"/>
    <col min="8968" max="8968" width="2.453125" style="113" customWidth="1"/>
    <col min="8969" max="8972" width="18.453125" style="113" customWidth="1"/>
    <col min="8973" max="8973" width="4.81640625" style="113" customWidth="1"/>
    <col min="8974" max="8977" width="18.453125" style="113" customWidth="1"/>
    <col min="8978" max="9216" width="11.453125" style="113"/>
    <col min="9217" max="9217" width="4.179687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2" width="8.54296875" style="113" bestFit="1" customWidth="1"/>
    <col min="9223" max="9223" width="8.81640625" style="113" bestFit="1" customWidth="1"/>
    <col min="9224" max="9224" width="2.453125" style="113" customWidth="1"/>
    <col min="9225" max="9228" width="18.453125" style="113" customWidth="1"/>
    <col min="9229" max="9229" width="4.81640625" style="113" customWidth="1"/>
    <col min="9230" max="9233" width="18.453125" style="113" customWidth="1"/>
    <col min="9234" max="9472" width="11.453125" style="113"/>
    <col min="9473" max="9473" width="4.179687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8" width="8.54296875" style="113" bestFit="1" customWidth="1"/>
    <col min="9479" max="9479" width="8.81640625" style="113" bestFit="1" customWidth="1"/>
    <col min="9480" max="9480" width="2.453125" style="113" customWidth="1"/>
    <col min="9481" max="9484" width="18.453125" style="113" customWidth="1"/>
    <col min="9485" max="9485" width="4.81640625" style="113" customWidth="1"/>
    <col min="9486" max="9489" width="18.453125" style="113" customWidth="1"/>
    <col min="9490" max="9728" width="11.453125" style="113"/>
    <col min="9729" max="9729" width="4.179687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4" width="8.54296875" style="113" bestFit="1" customWidth="1"/>
    <col min="9735" max="9735" width="8.81640625" style="113" bestFit="1" customWidth="1"/>
    <col min="9736" max="9736" width="2.453125" style="113" customWidth="1"/>
    <col min="9737" max="9740" width="18.453125" style="113" customWidth="1"/>
    <col min="9741" max="9741" width="4.81640625" style="113" customWidth="1"/>
    <col min="9742" max="9745" width="18.453125" style="113" customWidth="1"/>
    <col min="9746" max="9984" width="11.453125" style="113"/>
    <col min="9985" max="9985" width="4.179687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0" width="8.54296875" style="113" bestFit="1" customWidth="1"/>
    <col min="9991" max="9991" width="8.81640625" style="113" bestFit="1" customWidth="1"/>
    <col min="9992" max="9992" width="2.453125" style="113" customWidth="1"/>
    <col min="9993" max="9996" width="18.453125" style="113" customWidth="1"/>
    <col min="9997" max="9997" width="4.81640625" style="113" customWidth="1"/>
    <col min="9998" max="10001" width="18.453125" style="113" customWidth="1"/>
    <col min="10002" max="10240" width="11.453125" style="113"/>
    <col min="10241" max="10241" width="4.179687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6" width="8.54296875" style="113" bestFit="1" customWidth="1"/>
    <col min="10247" max="10247" width="8.81640625" style="113" bestFit="1" customWidth="1"/>
    <col min="10248" max="10248" width="2.453125" style="113" customWidth="1"/>
    <col min="10249" max="10252" width="18.453125" style="113" customWidth="1"/>
    <col min="10253" max="10253" width="4.81640625" style="113" customWidth="1"/>
    <col min="10254" max="10257" width="18.453125" style="113" customWidth="1"/>
    <col min="10258" max="10496" width="11.453125" style="113"/>
    <col min="10497" max="10497" width="4.179687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2" width="8.54296875" style="113" bestFit="1" customWidth="1"/>
    <col min="10503" max="10503" width="8.81640625" style="113" bestFit="1" customWidth="1"/>
    <col min="10504" max="10504" width="2.453125" style="113" customWidth="1"/>
    <col min="10505" max="10508" width="18.453125" style="113" customWidth="1"/>
    <col min="10509" max="10509" width="4.81640625" style="113" customWidth="1"/>
    <col min="10510" max="10513" width="18.453125" style="113" customWidth="1"/>
    <col min="10514" max="10752" width="11.453125" style="113"/>
    <col min="10753" max="10753" width="4.179687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8" width="8.54296875" style="113" bestFit="1" customWidth="1"/>
    <col min="10759" max="10759" width="8.81640625" style="113" bestFit="1" customWidth="1"/>
    <col min="10760" max="10760" width="2.453125" style="113" customWidth="1"/>
    <col min="10761" max="10764" width="18.453125" style="113" customWidth="1"/>
    <col min="10765" max="10765" width="4.81640625" style="113" customWidth="1"/>
    <col min="10766" max="10769" width="18.453125" style="113" customWidth="1"/>
    <col min="10770" max="11008" width="11.453125" style="113"/>
    <col min="11009" max="11009" width="4.179687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4" width="8.54296875" style="113" bestFit="1" customWidth="1"/>
    <col min="11015" max="11015" width="8.81640625" style="113" bestFit="1" customWidth="1"/>
    <col min="11016" max="11016" width="2.453125" style="113" customWidth="1"/>
    <col min="11017" max="11020" width="18.453125" style="113" customWidth="1"/>
    <col min="11021" max="11021" width="4.81640625" style="113" customWidth="1"/>
    <col min="11022" max="11025" width="18.453125" style="113" customWidth="1"/>
    <col min="11026" max="11264" width="11.453125" style="113"/>
    <col min="11265" max="11265" width="4.179687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0" width="8.54296875" style="113" bestFit="1" customWidth="1"/>
    <col min="11271" max="11271" width="8.81640625" style="113" bestFit="1" customWidth="1"/>
    <col min="11272" max="11272" width="2.453125" style="113" customWidth="1"/>
    <col min="11273" max="11276" width="18.453125" style="113" customWidth="1"/>
    <col min="11277" max="11277" width="4.81640625" style="113" customWidth="1"/>
    <col min="11278" max="11281" width="18.453125" style="113" customWidth="1"/>
    <col min="11282" max="11520" width="11.453125" style="113"/>
    <col min="11521" max="11521" width="4.179687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6" width="8.54296875" style="113" bestFit="1" customWidth="1"/>
    <col min="11527" max="11527" width="8.81640625" style="113" bestFit="1" customWidth="1"/>
    <col min="11528" max="11528" width="2.453125" style="113" customWidth="1"/>
    <col min="11529" max="11532" width="18.453125" style="113" customWidth="1"/>
    <col min="11533" max="11533" width="4.81640625" style="113" customWidth="1"/>
    <col min="11534" max="11537" width="18.453125" style="113" customWidth="1"/>
    <col min="11538" max="11776" width="11.453125" style="113"/>
    <col min="11777" max="11777" width="4.179687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2" width="8.54296875" style="113" bestFit="1" customWidth="1"/>
    <col min="11783" max="11783" width="8.81640625" style="113" bestFit="1" customWidth="1"/>
    <col min="11784" max="11784" width="2.453125" style="113" customWidth="1"/>
    <col min="11785" max="11788" width="18.453125" style="113" customWidth="1"/>
    <col min="11789" max="11789" width="4.81640625" style="113" customWidth="1"/>
    <col min="11790" max="11793" width="18.453125" style="113" customWidth="1"/>
    <col min="11794" max="12032" width="11.453125" style="113"/>
    <col min="12033" max="12033" width="4.179687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8" width="8.54296875" style="113" bestFit="1" customWidth="1"/>
    <col min="12039" max="12039" width="8.81640625" style="113" bestFit="1" customWidth="1"/>
    <col min="12040" max="12040" width="2.453125" style="113" customWidth="1"/>
    <col min="12041" max="12044" width="18.453125" style="113" customWidth="1"/>
    <col min="12045" max="12045" width="4.81640625" style="113" customWidth="1"/>
    <col min="12046" max="12049" width="18.453125" style="113" customWidth="1"/>
    <col min="12050" max="12288" width="11.453125" style="113"/>
    <col min="12289" max="12289" width="4.179687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4" width="8.54296875" style="113" bestFit="1" customWidth="1"/>
    <col min="12295" max="12295" width="8.81640625" style="113" bestFit="1" customWidth="1"/>
    <col min="12296" max="12296" width="2.453125" style="113" customWidth="1"/>
    <col min="12297" max="12300" width="18.453125" style="113" customWidth="1"/>
    <col min="12301" max="12301" width="4.81640625" style="113" customWidth="1"/>
    <col min="12302" max="12305" width="18.453125" style="113" customWidth="1"/>
    <col min="12306" max="12544" width="11.453125" style="113"/>
    <col min="12545" max="12545" width="4.179687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0" width="8.54296875" style="113" bestFit="1" customWidth="1"/>
    <col min="12551" max="12551" width="8.81640625" style="113" bestFit="1" customWidth="1"/>
    <col min="12552" max="12552" width="2.453125" style="113" customWidth="1"/>
    <col min="12553" max="12556" width="18.453125" style="113" customWidth="1"/>
    <col min="12557" max="12557" width="4.81640625" style="113" customWidth="1"/>
    <col min="12558" max="12561" width="18.453125" style="113" customWidth="1"/>
    <col min="12562" max="12800" width="11.453125" style="113"/>
    <col min="12801" max="12801" width="4.179687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6" width="8.54296875" style="113" bestFit="1" customWidth="1"/>
    <col min="12807" max="12807" width="8.81640625" style="113" bestFit="1" customWidth="1"/>
    <col min="12808" max="12808" width="2.453125" style="113" customWidth="1"/>
    <col min="12809" max="12812" width="18.453125" style="113" customWidth="1"/>
    <col min="12813" max="12813" width="4.81640625" style="113" customWidth="1"/>
    <col min="12814" max="12817" width="18.453125" style="113" customWidth="1"/>
    <col min="12818" max="13056" width="11.453125" style="113"/>
    <col min="13057" max="13057" width="4.179687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2" width="8.54296875" style="113" bestFit="1" customWidth="1"/>
    <col min="13063" max="13063" width="8.81640625" style="113" bestFit="1" customWidth="1"/>
    <col min="13064" max="13064" width="2.453125" style="113" customWidth="1"/>
    <col min="13065" max="13068" width="18.453125" style="113" customWidth="1"/>
    <col min="13069" max="13069" width="4.81640625" style="113" customWidth="1"/>
    <col min="13070" max="13073" width="18.453125" style="113" customWidth="1"/>
    <col min="13074" max="13312" width="11.453125" style="113"/>
    <col min="13313" max="13313" width="4.179687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8" width="8.54296875" style="113" bestFit="1" customWidth="1"/>
    <col min="13319" max="13319" width="8.81640625" style="113" bestFit="1" customWidth="1"/>
    <col min="13320" max="13320" width="2.453125" style="113" customWidth="1"/>
    <col min="13321" max="13324" width="18.453125" style="113" customWidth="1"/>
    <col min="13325" max="13325" width="4.81640625" style="113" customWidth="1"/>
    <col min="13326" max="13329" width="18.453125" style="113" customWidth="1"/>
    <col min="13330" max="13568" width="11.453125" style="113"/>
    <col min="13569" max="13569" width="4.179687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4" width="8.54296875" style="113" bestFit="1" customWidth="1"/>
    <col min="13575" max="13575" width="8.81640625" style="113" bestFit="1" customWidth="1"/>
    <col min="13576" max="13576" width="2.453125" style="113" customWidth="1"/>
    <col min="13577" max="13580" width="18.453125" style="113" customWidth="1"/>
    <col min="13581" max="13581" width="4.81640625" style="113" customWidth="1"/>
    <col min="13582" max="13585" width="18.453125" style="113" customWidth="1"/>
    <col min="13586" max="13824" width="11.453125" style="113"/>
    <col min="13825" max="13825" width="4.179687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0" width="8.54296875" style="113" bestFit="1" customWidth="1"/>
    <col min="13831" max="13831" width="8.81640625" style="113" bestFit="1" customWidth="1"/>
    <col min="13832" max="13832" width="2.453125" style="113" customWidth="1"/>
    <col min="13833" max="13836" width="18.453125" style="113" customWidth="1"/>
    <col min="13837" max="13837" width="4.81640625" style="113" customWidth="1"/>
    <col min="13838" max="13841" width="18.453125" style="113" customWidth="1"/>
    <col min="13842" max="14080" width="11.453125" style="113"/>
    <col min="14081" max="14081" width="4.179687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6" width="8.54296875" style="113" bestFit="1" customWidth="1"/>
    <col min="14087" max="14087" width="8.81640625" style="113" bestFit="1" customWidth="1"/>
    <col min="14088" max="14088" width="2.453125" style="113" customWidth="1"/>
    <col min="14089" max="14092" width="18.453125" style="113" customWidth="1"/>
    <col min="14093" max="14093" width="4.81640625" style="113" customWidth="1"/>
    <col min="14094" max="14097" width="18.453125" style="113" customWidth="1"/>
    <col min="14098" max="14336" width="11.453125" style="113"/>
    <col min="14337" max="14337" width="4.179687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2" width="8.54296875" style="113" bestFit="1" customWidth="1"/>
    <col min="14343" max="14343" width="8.81640625" style="113" bestFit="1" customWidth="1"/>
    <col min="14344" max="14344" width="2.453125" style="113" customWidth="1"/>
    <col min="14345" max="14348" width="18.453125" style="113" customWidth="1"/>
    <col min="14349" max="14349" width="4.81640625" style="113" customWidth="1"/>
    <col min="14350" max="14353" width="18.453125" style="113" customWidth="1"/>
    <col min="14354" max="14592" width="11.453125" style="113"/>
    <col min="14593" max="14593" width="4.179687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8" width="8.54296875" style="113" bestFit="1" customWidth="1"/>
    <col min="14599" max="14599" width="8.81640625" style="113" bestFit="1" customWidth="1"/>
    <col min="14600" max="14600" width="2.453125" style="113" customWidth="1"/>
    <col min="14601" max="14604" width="18.453125" style="113" customWidth="1"/>
    <col min="14605" max="14605" width="4.81640625" style="113" customWidth="1"/>
    <col min="14606" max="14609" width="18.453125" style="113" customWidth="1"/>
    <col min="14610" max="14848" width="11.453125" style="113"/>
    <col min="14849" max="14849" width="4.179687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4" width="8.54296875" style="113" bestFit="1" customWidth="1"/>
    <col min="14855" max="14855" width="8.81640625" style="113" bestFit="1" customWidth="1"/>
    <col min="14856" max="14856" width="2.453125" style="113" customWidth="1"/>
    <col min="14857" max="14860" width="18.453125" style="113" customWidth="1"/>
    <col min="14861" max="14861" width="4.81640625" style="113" customWidth="1"/>
    <col min="14862" max="14865" width="18.453125" style="113" customWidth="1"/>
    <col min="14866" max="15104" width="11.453125" style="113"/>
    <col min="15105" max="15105" width="4.179687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0" width="8.54296875" style="113" bestFit="1" customWidth="1"/>
    <col min="15111" max="15111" width="8.81640625" style="113" bestFit="1" customWidth="1"/>
    <col min="15112" max="15112" width="2.453125" style="113" customWidth="1"/>
    <col min="15113" max="15116" width="18.453125" style="113" customWidth="1"/>
    <col min="15117" max="15117" width="4.81640625" style="113" customWidth="1"/>
    <col min="15118" max="15121" width="18.453125" style="113" customWidth="1"/>
    <col min="15122" max="15360" width="11.453125" style="113"/>
    <col min="15361" max="15361" width="4.179687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6" width="8.54296875" style="113" bestFit="1" customWidth="1"/>
    <col min="15367" max="15367" width="8.81640625" style="113" bestFit="1" customWidth="1"/>
    <col min="15368" max="15368" width="2.453125" style="113" customWidth="1"/>
    <col min="15369" max="15372" width="18.453125" style="113" customWidth="1"/>
    <col min="15373" max="15373" width="4.81640625" style="113" customWidth="1"/>
    <col min="15374" max="15377" width="18.453125" style="113" customWidth="1"/>
    <col min="15378" max="15616" width="11.453125" style="113"/>
    <col min="15617" max="15617" width="4.179687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2" width="8.54296875" style="113" bestFit="1" customWidth="1"/>
    <col min="15623" max="15623" width="8.81640625" style="113" bestFit="1" customWidth="1"/>
    <col min="15624" max="15624" width="2.453125" style="113" customWidth="1"/>
    <col min="15625" max="15628" width="18.453125" style="113" customWidth="1"/>
    <col min="15629" max="15629" width="4.81640625" style="113" customWidth="1"/>
    <col min="15630" max="15633" width="18.453125" style="113" customWidth="1"/>
    <col min="15634" max="15872" width="11.453125" style="113"/>
    <col min="15873" max="15873" width="4.179687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8" width="8.54296875" style="113" bestFit="1" customWidth="1"/>
    <col min="15879" max="15879" width="8.81640625" style="113" bestFit="1" customWidth="1"/>
    <col min="15880" max="15880" width="2.453125" style="113" customWidth="1"/>
    <col min="15881" max="15884" width="18.453125" style="113" customWidth="1"/>
    <col min="15885" max="15885" width="4.81640625" style="113" customWidth="1"/>
    <col min="15886" max="15889" width="18.453125" style="113" customWidth="1"/>
    <col min="15890" max="16128" width="11.453125" style="113"/>
    <col min="16129" max="16129" width="4.179687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4" width="8.54296875" style="113" bestFit="1" customWidth="1"/>
    <col min="16135" max="16135" width="8.81640625" style="113" bestFit="1" customWidth="1"/>
    <col min="16136" max="16136" width="2.453125" style="113" customWidth="1"/>
    <col min="16137" max="16140" width="18.453125" style="113" customWidth="1"/>
    <col min="16141" max="16141" width="4.81640625" style="113" customWidth="1"/>
    <col min="16142" max="16145" width="18.453125" style="113" customWidth="1"/>
    <col min="16146" max="16384" width="11.453125" style="113"/>
  </cols>
  <sheetData>
    <row r="1" spans="2:12" ht="13.5" customHeight="1" thickBot="1"/>
    <row r="2" spans="2:12" ht="23.25" customHeight="1">
      <c r="B2" s="665" t="s">
        <v>34</v>
      </c>
      <c r="C2" s="665"/>
      <c r="D2" s="665"/>
      <c r="E2" s="665"/>
      <c r="F2" s="665"/>
      <c r="G2" s="665"/>
      <c r="I2" s="678" t="s">
        <v>80</v>
      </c>
      <c r="J2" s="679"/>
      <c r="K2" s="679"/>
      <c r="L2" s="669"/>
    </row>
    <row r="3" spans="2:12" customFormat="1" ht="3.75" customHeight="1">
      <c r="I3" s="18"/>
      <c r="J3" s="6"/>
      <c r="K3" s="6"/>
      <c r="L3" s="6"/>
    </row>
    <row r="4" spans="2:12" s="244" customFormat="1" ht="30" customHeight="1" thickBot="1">
      <c r="B4" s="121">
        <f>'PVP VaP - Pyme'!B4</f>
        <v>45658</v>
      </c>
      <c r="C4" s="119" t="s">
        <v>629</v>
      </c>
      <c r="D4" s="680"/>
      <c r="E4" s="680"/>
      <c r="F4" s="680"/>
      <c r="G4" s="680"/>
      <c r="H4" s="243"/>
      <c r="I4" s="312" t="s">
        <v>108</v>
      </c>
      <c r="J4" s="313" t="s">
        <v>109</v>
      </c>
      <c r="K4" s="313" t="s">
        <v>110</v>
      </c>
      <c r="L4" s="313" t="s">
        <v>111</v>
      </c>
    </row>
    <row r="5" spans="2:12" ht="15.75" customHeight="1">
      <c r="B5" s="646" t="s">
        <v>40</v>
      </c>
      <c r="C5" s="647"/>
      <c r="D5" s="799" t="s">
        <v>41</v>
      </c>
      <c r="E5" s="652"/>
      <c r="F5" s="653"/>
      <c r="G5" s="213"/>
      <c r="H5" s="245"/>
      <c r="I5" s="759" t="s">
        <v>197</v>
      </c>
      <c r="J5" s="762" t="s">
        <v>198</v>
      </c>
      <c r="K5" s="658" t="s">
        <v>187</v>
      </c>
      <c r="L5" s="765" t="s">
        <v>212</v>
      </c>
    </row>
    <row r="6" spans="2:12" ht="15.75" customHeight="1">
      <c r="B6" s="648"/>
      <c r="C6" s="649"/>
      <c r="D6" s="821"/>
      <c r="E6" s="654"/>
      <c r="F6" s="655"/>
      <c r="G6" s="214"/>
      <c r="H6" s="246"/>
      <c r="I6" s="760"/>
      <c r="J6" s="818"/>
      <c r="K6" s="820"/>
      <c r="L6" s="766"/>
    </row>
    <row r="7" spans="2:12" ht="15.75" customHeight="1">
      <c r="B7" s="648"/>
      <c r="C7" s="649"/>
      <c r="D7" s="821"/>
      <c r="E7" s="654"/>
      <c r="F7" s="655"/>
      <c r="G7" s="214"/>
      <c r="H7" s="246"/>
      <c r="I7" s="760"/>
      <c r="J7" s="818"/>
      <c r="K7" s="820"/>
      <c r="L7" s="766"/>
    </row>
    <row r="8" spans="2:12" ht="15.75" customHeight="1">
      <c r="B8" s="648"/>
      <c r="C8" s="649"/>
      <c r="D8" s="821"/>
      <c r="E8" s="654"/>
      <c r="F8" s="655"/>
      <c r="G8" s="214"/>
      <c r="H8" s="246"/>
      <c r="I8" s="760"/>
      <c r="J8" s="818"/>
      <c r="K8" s="820"/>
      <c r="L8" s="766"/>
    </row>
    <row r="9" spans="2:12" ht="15.75" customHeight="1">
      <c r="B9" s="648"/>
      <c r="C9" s="649"/>
      <c r="D9" s="821"/>
      <c r="E9" s="654"/>
      <c r="F9" s="655"/>
      <c r="G9" s="214"/>
      <c r="H9" s="246"/>
      <c r="I9" s="760"/>
      <c r="J9" s="818"/>
      <c r="K9" s="820"/>
      <c r="L9" s="766"/>
    </row>
    <row r="10" spans="2:12" ht="15.75" customHeight="1">
      <c r="B10" s="648"/>
      <c r="C10" s="649"/>
      <c r="D10" s="821"/>
      <c r="E10" s="654"/>
      <c r="F10" s="655"/>
      <c r="G10" s="214"/>
      <c r="H10" s="246"/>
      <c r="I10" s="760"/>
      <c r="J10" s="818"/>
      <c r="K10" s="820"/>
      <c r="L10" s="766"/>
    </row>
    <row r="11" spans="2:12" ht="15.75" customHeight="1" thickBot="1">
      <c r="B11" s="648"/>
      <c r="C11" s="649"/>
      <c r="D11" s="822"/>
      <c r="E11" s="656"/>
      <c r="F11" s="657"/>
      <c r="G11" s="215"/>
      <c r="H11" s="246"/>
      <c r="I11" s="761"/>
      <c r="J11" s="819"/>
      <c r="K11" s="739"/>
      <c r="L11" s="767"/>
    </row>
    <row r="12" spans="2:12" ht="30.75" customHeight="1" thickBot="1">
      <c r="B12" s="648"/>
      <c r="C12" s="649"/>
      <c r="D12" s="802" t="s">
        <v>42</v>
      </c>
      <c r="E12" s="823"/>
      <c r="F12" s="823"/>
      <c r="G12" s="216"/>
      <c r="H12" s="245"/>
      <c r="I12" s="307" t="s">
        <v>15</v>
      </c>
      <c r="J12" s="248" t="s">
        <v>15</v>
      </c>
      <c r="K12" s="308" t="s">
        <v>15</v>
      </c>
      <c r="L12" s="308" t="s">
        <v>15</v>
      </c>
    </row>
    <row r="13" spans="2:12" ht="65.25" customHeight="1" thickBot="1">
      <c r="B13" s="648"/>
      <c r="C13" s="649"/>
      <c r="D13" s="754" t="s">
        <v>44</v>
      </c>
      <c r="E13" s="670"/>
      <c r="F13" s="670"/>
      <c r="G13" s="217"/>
      <c r="H13" s="245"/>
      <c r="I13" s="310" t="s">
        <v>81</v>
      </c>
      <c r="J13" s="249" t="s">
        <v>81</v>
      </c>
      <c r="K13" s="311" t="s">
        <v>81</v>
      </c>
      <c r="L13" s="250" t="s">
        <v>81</v>
      </c>
    </row>
    <row r="14" spans="2:12" ht="21" customHeight="1" thickBot="1">
      <c r="B14" s="648"/>
      <c r="C14" s="649"/>
      <c r="D14" s="754" t="s">
        <v>82</v>
      </c>
      <c r="E14" s="670"/>
      <c r="F14" s="670"/>
      <c r="G14" s="217"/>
      <c r="H14" s="246"/>
      <c r="I14" s="305" t="s">
        <v>83</v>
      </c>
      <c r="J14" s="269" t="s">
        <v>83</v>
      </c>
      <c r="K14" s="306" t="s">
        <v>83</v>
      </c>
      <c r="L14" s="270" t="s">
        <v>83</v>
      </c>
    </row>
    <row r="15" spans="2:12" ht="21" customHeight="1" thickBot="1">
      <c r="B15" s="648"/>
      <c r="C15" s="649"/>
      <c r="D15" s="713" t="s">
        <v>51</v>
      </c>
      <c r="E15" s="714"/>
      <c r="F15" s="714"/>
      <c r="G15" s="218"/>
      <c r="H15" s="246"/>
      <c r="I15" s="305" t="s">
        <v>83</v>
      </c>
      <c r="J15" s="269" t="s">
        <v>83</v>
      </c>
      <c r="K15" s="306" t="s">
        <v>83</v>
      </c>
      <c r="L15" s="270" t="s">
        <v>83</v>
      </c>
    </row>
    <row r="16" spans="2:12" ht="21" customHeight="1" thickBot="1">
      <c r="B16" s="650"/>
      <c r="C16" s="651"/>
      <c r="D16" s="256"/>
      <c r="E16" s="256"/>
      <c r="F16" s="256"/>
      <c r="G16" s="256"/>
      <c r="H16" s="257"/>
      <c r="I16" s="257"/>
      <c r="J16" s="257"/>
      <c r="K16" s="257"/>
      <c r="L16" s="257"/>
    </row>
    <row r="17" spans="2:18" ht="23.25" customHeight="1" thickBot="1"/>
    <row r="18" spans="2:18" ht="23.25" customHeight="1">
      <c r="B18" s="716" t="s">
        <v>52</v>
      </c>
      <c r="C18" s="717"/>
      <c r="D18" s="717"/>
      <c r="E18" s="717"/>
      <c r="F18" s="718"/>
      <c r="G18" s="219"/>
      <c r="I18" s="634" t="s">
        <v>84</v>
      </c>
      <c r="J18" s="722"/>
      <c r="K18" s="722"/>
      <c r="L18" s="723"/>
      <c r="N18" s="634" t="s">
        <v>85</v>
      </c>
      <c r="O18" s="722"/>
      <c r="P18" s="722"/>
      <c r="Q18" s="723"/>
    </row>
    <row r="19" spans="2:18" ht="3.75" customHeight="1">
      <c r="B19" s="719"/>
      <c r="C19" s="720"/>
      <c r="D19" s="720"/>
      <c r="E19" s="720"/>
      <c r="F19" s="721"/>
      <c r="G19" s="220"/>
      <c r="I19" s="259"/>
      <c r="J19" s="260"/>
      <c r="K19" s="260"/>
      <c r="L19" s="260"/>
      <c r="N19" s="259"/>
      <c r="O19" s="260"/>
      <c r="P19" s="260"/>
      <c r="Q19" s="260"/>
    </row>
    <row r="20" spans="2:18" ht="33.75" customHeight="1">
      <c r="B20" s="719"/>
      <c r="C20" s="720"/>
      <c r="D20" s="720"/>
      <c r="E20" s="720"/>
      <c r="F20" s="721"/>
      <c r="G20" s="220"/>
      <c r="I20" s="641" t="s">
        <v>86</v>
      </c>
      <c r="J20" s="642"/>
      <c r="K20" s="642"/>
      <c r="L20" s="643"/>
      <c r="N20" s="641" t="s">
        <v>86</v>
      </c>
      <c r="O20" s="642"/>
      <c r="P20" s="642"/>
      <c r="Q20" s="643"/>
    </row>
    <row r="21" spans="2:18" s="150" customFormat="1" ht="3.75" customHeight="1">
      <c r="B21" s="719"/>
      <c r="C21" s="720"/>
      <c r="D21" s="720"/>
      <c r="E21" s="720"/>
      <c r="F21" s="721"/>
      <c r="G21" s="220"/>
      <c r="I21" s="261"/>
      <c r="J21" s="262"/>
      <c r="K21" s="271"/>
      <c r="L21" s="262"/>
      <c r="N21" s="261"/>
      <c r="O21" s="262"/>
      <c r="P21" s="271"/>
      <c r="Q21" s="262"/>
    </row>
    <row r="22" spans="2:18" ht="30" customHeight="1" thickBot="1">
      <c r="B22" s="815"/>
      <c r="C22" s="816"/>
      <c r="D22" s="816"/>
      <c r="E22" s="816"/>
      <c r="F22" s="817"/>
      <c r="G22" s="220"/>
      <c r="H22" s="263"/>
      <c r="I22" s="312" t="s">
        <v>108</v>
      </c>
      <c r="J22" s="313" t="s">
        <v>109</v>
      </c>
      <c r="K22" s="313" t="s">
        <v>110</v>
      </c>
      <c r="L22" s="313" t="s">
        <v>111</v>
      </c>
      <c r="M22" s="71"/>
      <c r="N22" s="312" t="s">
        <v>108</v>
      </c>
      <c r="O22" s="313" t="s">
        <v>109</v>
      </c>
      <c r="P22" s="313" t="s">
        <v>110</v>
      </c>
      <c r="Q22" s="313" t="s">
        <v>111</v>
      </c>
    </row>
    <row r="23" spans="2:18" customFormat="1" ht="3.75" customHeight="1">
      <c r="B23" s="15"/>
      <c r="C23" s="6"/>
      <c r="D23" s="6"/>
      <c r="E23" s="6"/>
      <c r="F23" s="6"/>
      <c r="G23" s="221"/>
      <c r="H23" s="17"/>
      <c r="I23" s="72"/>
      <c r="J23" s="73"/>
      <c r="K23" s="73"/>
      <c r="L23" s="74"/>
      <c r="M23" s="5"/>
      <c r="N23" s="72"/>
      <c r="O23" s="73"/>
      <c r="P23" s="73"/>
      <c r="Q23" s="73"/>
    </row>
    <row r="24" spans="2:18" ht="48.75" customHeight="1">
      <c r="B24" s="226" t="s">
        <v>56</v>
      </c>
      <c r="C24" s="8" t="s">
        <v>57</v>
      </c>
      <c r="D24" s="9" t="s">
        <v>58</v>
      </c>
      <c r="E24" s="101" t="s">
        <v>123</v>
      </c>
      <c r="F24" s="226" t="s">
        <v>59</v>
      </c>
      <c r="G24" s="316"/>
      <c r="H24" s="243"/>
      <c r="I24" s="10" t="s">
        <v>173</v>
      </c>
      <c r="J24" s="10" t="s">
        <v>173</v>
      </c>
      <c r="K24" s="10" t="s">
        <v>173</v>
      </c>
      <c r="L24" s="10" t="s">
        <v>173</v>
      </c>
      <c r="N24" s="10" t="s">
        <v>87</v>
      </c>
      <c r="O24" s="10" t="s">
        <v>87</v>
      </c>
      <c r="P24" s="8" t="s">
        <v>87</v>
      </c>
      <c r="Q24" s="8" t="s">
        <v>87</v>
      </c>
    </row>
    <row r="25" spans="2:18">
      <c r="B25" s="522" t="s">
        <v>60</v>
      </c>
      <c r="C25" s="411" t="s">
        <v>319</v>
      </c>
      <c r="D25" s="523">
        <v>49</v>
      </c>
      <c r="E25" s="536">
        <v>0</v>
      </c>
      <c r="F25" s="540" t="s">
        <v>285</v>
      </c>
      <c r="G25" s="546"/>
      <c r="H25"/>
      <c r="I25" s="527">
        <v>9</v>
      </c>
      <c r="J25" s="527">
        <v>0</v>
      </c>
      <c r="K25" s="538">
        <v>0</v>
      </c>
      <c r="L25" s="538">
        <v>0</v>
      </c>
      <c r="N25" s="265">
        <v>40</v>
      </c>
      <c r="O25" s="265">
        <v>49</v>
      </c>
      <c r="P25" s="265">
        <v>49</v>
      </c>
      <c r="Q25" s="266">
        <v>49</v>
      </c>
      <c r="R25" s="127"/>
    </row>
    <row r="26" spans="2:18">
      <c r="B26" s="524" t="s">
        <v>61</v>
      </c>
      <c r="C26" s="274" t="s">
        <v>200</v>
      </c>
      <c r="D26" s="525">
        <v>66</v>
      </c>
      <c r="E26" s="537">
        <v>0</v>
      </c>
      <c r="F26" s="541" t="s">
        <v>285</v>
      </c>
      <c r="G26" s="547"/>
      <c r="H26"/>
      <c r="I26" s="528">
        <v>19</v>
      </c>
      <c r="J26" s="528">
        <v>0</v>
      </c>
      <c r="K26" s="539">
        <v>0</v>
      </c>
      <c r="L26" s="539">
        <v>0</v>
      </c>
      <c r="M26" s="109"/>
      <c r="N26" s="267">
        <v>47</v>
      </c>
      <c r="O26" s="267">
        <v>66</v>
      </c>
      <c r="P26" s="268">
        <v>66</v>
      </c>
      <c r="Q26" s="268">
        <v>66</v>
      </c>
      <c r="R26" s="127"/>
    </row>
    <row r="27" spans="2:18">
      <c r="B27" s="522" t="s">
        <v>182</v>
      </c>
      <c r="C27" s="411" t="s">
        <v>201</v>
      </c>
      <c r="D27" s="523">
        <v>58</v>
      </c>
      <c r="E27" s="536">
        <v>0</v>
      </c>
      <c r="F27" s="540" t="s">
        <v>285</v>
      </c>
      <c r="G27" s="546"/>
      <c r="H27"/>
      <c r="I27" s="527">
        <v>19</v>
      </c>
      <c r="J27" s="527">
        <v>9</v>
      </c>
      <c r="K27" s="538">
        <v>0</v>
      </c>
      <c r="L27" s="538">
        <v>0</v>
      </c>
      <c r="N27" s="265">
        <v>39</v>
      </c>
      <c r="O27" s="265">
        <v>49</v>
      </c>
      <c r="P27" s="266">
        <v>58</v>
      </c>
      <c r="Q27" s="266">
        <v>58</v>
      </c>
      <c r="R27" s="127"/>
    </row>
    <row r="28" spans="2:18">
      <c r="B28" s="524" t="s">
        <v>298</v>
      </c>
      <c r="C28" s="274" t="s">
        <v>431</v>
      </c>
      <c r="D28" s="525">
        <v>66</v>
      </c>
      <c r="E28" s="537">
        <v>0</v>
      </c>
      <c r="F28" s="541" t="s">
        <v>285</v>
      </c>
      <c r="G28" s="547"/>
      <c r="H28"/>
      <c r="I28" s="528">
        <v>9</v>
      </c>
      <c r="J28" s="528">
        <v>0</v>
      </c>
      <c r="K28" s="539">
        <v>0</v>
      </c>
      <c r="L28" s="539">
        <v>0</v>
      </c>
      <c r="M28" s="109"/>
      <c r="N28" s="267">
        <v>57</v>
      </c>
      <c r="O28" s="267">
        <v>66</v>
      </c>
      <c r="P28" s="268">
        <v>66</v>
      </c>
      <c r="Q28" s="268">
        <v>66</v>
      </c>
      <c r="R28" s="127"/>
    </row>
    <row r="29" spans="2:18">
      <c r="B29" s="522" t="s">
        <v>298</v>
      </c>
      <c r="C29" s="411" t="s">
        <v>299</v>
      </c>
      <c r="D29" s="523">
        <v>244</v>
      </c>
      <c r="E29" s="536">
        <v>0</v>
      </c>
      <c r="F29" s="540" t="s">
        <v>285</v>
      </c>
      <c r="G29" s="546"/>
      <c r="H29"/>
      <c r="I29" s="527">
        <v>169</v>
      </c>
      <c r="J29" s="527">
        <v>159</v>
      </c>
      <c r="K29" s="538">
        <v>149</v>
      </c>
      <c r="L29" s="538">
        <v>129</v>
      </c>
      <c r="N29" s="265">
        <v>75</v>
      </c>
      <c r="O29" s="265">
        <v>85</v>
      </c>
      <c r="P29" s="266">
        <v>95</v>
      </c>
      <c r="Q29" s="266">
        <v>115</v>
      </c>
      <c r="R29" s="127"/>
    </row>
    <row r="30" spans="2:18">
      <c r="B30" s="524" t="s">
        <v>298</v>
      </c>
      <c r="C30" s="274" t="s">
        <v>300</v>
      </c>
      <c r="D30" s="525">
        <v>200</v>
      </c>
      <c r="E30" s="537">
        <v>0</v>
      </c>
      <c r="F30" s="541" t="s">
        <v>285</v>
      </c>
      <c r="G30" s="547"/>
      <c r="H30"/>
      <c r="I30" s="528">
        <v>149</v>
      </c>
      <c r="J30" s="528">
        <v>139</v>
      </c>
      <c r="K30" s="539">
        <v>129</v>
      </c>
      <c r="L30" s="539">
        <v>109</v>
      </c>
      <c r="M30" s="109"/>
      <c r="N30" s="267">
        <v>51</v>
      </c>
      <c r="O30" s="267">
        <v>61</v>
      </c>
      <c r="P30" s="268">
        <v>71</v>
      </c>
      <c r="Q30" s="268">
        <v>91</v>
      </c>
      <c r="R30" s="127"/>
    </row>
    <row r="31" spans="2:18">
      <c r="B31" s="522" t="s">
        <v>607</v>
      </c>
      <c r="C31" s="411" t="s">
        <v>608</v>
      </c>
      <c r="D31" s="523">
        <v>207</v>
      </c>
      <c r="E31" s="536">
        <v>0</v>
      </c>
      <c r="F31" s="540" t="s">
        <v>285</v>
      </c>
      <c r="G31" s="546"/>
      <c r="H31"/>
      <c r="I31" s="527">
        <v>129</v>
      </c>
      <c r="J31" s="527">
        <v>119</v>
      </c>
      <c r="K31" s="538">
        <v>109</v>
      </c>
      <c r="L31" s="538">
        <v>79</v>
      </c>
      <c r="N31" s="265">
        <v>78</v>
      </c>
      <c r="O31" s="265">
        <v>88</v>
      </c>
      <c r="P31" s="266">
        <v>98</v>
      </c>
      <c r="Q31" s="266">
        <v>128</v>
      </c>
      <c r="R31" s="127"/>
    </row>
    <row r="32" spans="2:18">
      <c r="B32" s="524" t="s">
        <v>61</v>
      </c>
      <c r="C32" s="274" t="s">
        <v>618</v>
      </c>
      <c r="D32" s="525">
        <v>248</v>
      </c>
      <c r="E32" s="537">
        <v>0</v>
      </c>
      <c r="F32" s="541" t="s">
        <v>285</v>
      </c>
      <c r="G32" s="547"/>
      <c r="H32"/>
      <c r="I32" s="528">
        <v>79</v>
      </c>
      <c r="J32" s="528">
        <v>69</v>
      </c>
      <c r="K32" s="539">
        <v>59</v>
      </c>
      <c r="L32" s="539">
        <v>39</v>
      </c>
      <c r="M32" s="109"/>
      <c r="N32" s="267">
        <v>169</v>
      </c>
      <c r="O32" s="267">
        <v>179</v>
      </c>
      <c r="P32" s="268">
        <v>189</v>
      </c>
      <c r="Q32" s="268">
        <v>209</v>
      </c>
      <c r="R32" s="127"/>
    </row>
    <row r="33" spans="2:18">
      <c r="B33" s="522" t="s">
        <v>65</v>
      </c>
      <c r="C33" s="411" t="s">
        <v>491</v>
      </c>
      <c r="D33" s="523">
        <v>182</v>
      </c>
      <c r="E33" s="536">
        <v>3.75</v>
      </c>
      <c r="F33" s="540" t="s">
        <v>191</v>
      </c>
      <c r="G33" s="546"/>
      <c r="H33"/>
      <c r="I33" s="527">
        <v>109</v>
      </c>
      <c r="J33" s="527">
        <v>99</v>
      </c>
      <c r="K33" s="538">
        <v>89</v>
      </c>
      <c r="L33" s="538">
        <v>69</v>
      </c>
      <c r="N33" s="265">
        <v>73</v>
      </c>
      <c r="O33" s="265">
        <v>83</v>
      </c>
      <c r="P33" s="266">
        <v>93</v>
      </c>
      <c r="Q33" s="266">
        <v>113</v>
      </c>
      <c r="R33" s="127"/>
    </row>
    <row r="34" spans="2:18" ht="13" thickBot="1">
      <c r="B34" s="524" t="s">
        <v>181</v>
      </c>
      <c r="C34" s="548" t="s">
        <v>560</v>
      </c>
      <c r="D34" s="525">
        <v>167</v>
      </c>
      <c r="E34" s="537">
        <v>3.75</v>
      </c>
      <c r="F34" s="541" t="s">
        <v>191</v>
      </c>
      <c r="G34" s="547"/>
      <c r="H34"/>
      <c r="I34" s="528">
        <v>79</v>
      </c>
      <c r="J34" s="528">
        <v>69</v>
      </c>
      <c r="K34" s="539">
        <v>59</v>
      </c>
      <c r="L34" s="539">
        <v>39</v>
      </c>
      <c r="M34" s="109"/>
      <c r="N34" s="267">
        <v>88</v>
      </c>
      <c r="O34" s="267">
        <v>98</v>
      </c>
      <c r="P34" s="268">
        <v>108</v>
      </c>
      <c r="Q34" s="268">
        <v>128</v>
      </c>
      <c r="R34" s="127"/>
    </row>
    <row r="35" spans="2:18">
      <c r="B35" s="521"/>
      <c r="C35" s="521"/>
      <c r="D35" s="521"/>
      <c r="E35" s="521"/>
      <c r="F35" s="521"/>
      <c r="G35" s="593"/>
      <c r="H35" s="6"/>
      <c r="I35" s="521"/>
      <c r="J35" s="521"/>
      <c r="K35" s="521"/>
      <c r="L35" s="521"/>
      <c r="M35" s="150"/>
      <c r="N35" s="521"/>
      <c r="O35" s="521"/>
      <c r="P35" s="521"/>
      <c r="Q35" s="521"/>
    </row>
    <row r="36" spans="2:18" ht="13" thickBot="1">
      <c r="H36" s="113"/>
    </row>
    <row r="37" spans="2:18">
      <c r="G37" s="521"/>
    </row>
    <row r="52" spans="2:17">
      <c r="B52" s="361"/>
      <c r="C52" s="361"/>
      <c r="D52" s="362"/>
      <c r="E52" s="348"/>
      <c r="F52" s="814"/>
      <c r="G52" s="814"/>
      <c r="H52"/>
      <c r="I52" s="284"/>
      <c r="J52" s="284"/>
      <c r="K52" s="284"/>
      <c r="L52" s="284"/>
      <c r="M52" s="150"/>
      <c r="N52" s="284"/>
      <c r="O52" s="284"/>
      <c r="P52" s="284"/>
      <c r="Q52" s="284"/>
    </row>
    <row r="53" spans="2:17">
      <c r="B53" s="361"/>
      <c r="C53" s="361"/>
      <c r="D53" s="362"/>
      <c r="E53" s="348"/>
      <c r="F53" s="814"/>
      <c r="G53" s="814"/>
      <c r="H53"/>
      <c r="I53" s="284"/>
      <c r="J53" s="284"/>
      <c r="K53" s="284"/>
      <c r="L53" s="284"/>
      <c r="M53" s="150"/>
      <c r="N53" s="284"/>
      <c r="O53" s="284"/>
      <c r="P53" s="284"/>
      <c r="Q53" s="284"/>
    </row>
    <row r="54" spans="2:17">
      <c r="B54" s="361"/>
      <c r="C54" s="361"/>
      <c r="D54" s="362"/>
      <c r="E54" s="348"/>
      <c r="F54" s="814"/>
      <c r="G54" s="814"/>
      <c r="H54"/>
      <c r="I54" s="284"/>
      <c r="J54" s="284"/>
      <c r="K54" s="284"/>
      <c r="L54" s="284"/>
      <c r="M54" s="150"/>
      <c r="N54" s="284"/>
      <c r="O54" s="284"/>
      <c r="P54" s="284"/>
      <c r="Q54" s="284"/>
    </row>
    <row r="55" spans="2:17">
      <c r="B55" s="361"/>
      <c r="C55" s="361"/>
      <c r="D55" s="362"/>
      <c r="E55" s="348"/>
      <c r="F55" s="814"/>
      <c r="G55" s="814"/>
      <c r="H55"/>
      <c r="I55" s="284"/>
      <c r="J55" s="284"/>
      <c r="K55" s="284"/>
      <c r="L55" s="284"/>
      <c r="M55" s="150"/>
      <c r="N55" s="284"/>
      <c r="O55" s="284"/>
      <c r="P55" s="284"/>
      <c r="Q55" s="284"/>
    </row>
    <row r="56" spans="2:17">
      <c r="B56" s="361"/>
      <c r="C56" s="361"/>
      <c r="D56" s="362"/>
      <c r="E56" s="348"/>
      <c r="F56" s="814"/>
      <c r="G56" s="814"/>
      <c r="H56"/>
      <c r="I56" s="284"/>
      <c r="J56" s="284"/>
      <c r="K56" s="284"/>
      <c r="L56" s="284"/>
      <c r="M56" s="150"/>
      <c r="N56" s="284"/>
      <c r="O56" s="284"/>
      <c r="P56" s="284"/>
      <c r="Q56" s="284"/>
    </row>
    <row r="57" spans="2:17">
      <c r="B57" s="361"/>
      <c r="C57" s="361"/>
      <c r="D57" s="362"/>
      <c r="E57" s="348"/>
      <c r="F57" s="814"/>
      <c r="G57" s="814"/>
      <c r="H57"/>
      <c r="I57" s="284"/>
      <c r="J57" s="284"/>
      <c r="K57" s="284"/>
      <c r="L57" s="284"/>
      <c r="M57" s="150"/>
      <c r="N57" s="284"/>
      <c r="O57" s="284"/>
      <c r="P57" s="284"/>
      <c r="Q57" s="284"/>
    </row>
    <row r="58" spans="2:17">
      <c r="B58" s="361"/>
      <c r="C58" s="361"/>
      <c r="D58" s="362"/>
      <c r="E58" s="348"/>
      <c r="F58" s="814"/>
      <c r="G58" s="814"/>
      <c r="H58"/>
      <c r="I58" s="284"/>
      <c r="J58" s="284"/>
      <c r="K58" s="284"/>
      <c r="L58" s="284"/>
      <c r="M58" s="150"/>
      <c r="N58" s="284"/>
      <c r="O58" s="284"/>
      <c r="P58" s="284"/>
      <c r="Q58" s="284"/>
    </row>
    <row r="59" spans="2:17">
      <c r="B59" s="361"/>
      <c r="C59" s="361"/>
      <c r="D59" s="362"/>
      <c r="E59" s="348"/>
      <c r="F59" s="814"/>
      <c r="G59" s="814"/>
      <c r="H59"/>
      <c r="I59" s="284"/>
      <c r="J59" s="284"/>
      <c r="K59" s="284"/>
      <c r="L59" s="284"/>
      <c r="M59" s="150"/>
      <c r="N59" s="284"/>
      <c r="O59" s="284"/>
      <c r="P59" s="284"/>
      <c r="Q59" s="284"/>
    </row>
    <row r="60" spans="2:17">
      <c r="B60" s="361"/>
      <c r="C60" s="361"/>
      <c r="D60" s="362"/>
      <c r="E60" s="348"/>
      <c r="F60" s="814"/>
      <c r="G60" s="814"/>
      <c r="H60"/>
      <c r="I60" s="284"/>
      <c r="J60" s="284"/>
      <c r="K60" s="284"/>
      <c r="L60" s="284"/>
      <c r="M60" s="150"/>
      <c r="N60" s="284"/>
      <c r="O60" s="284"/>
      <c r="P60" s="284"/>
      <c r="Q60" s="284"/>
    </row>
    <row r="61" spans="2:17">
      <c r="B61" s="361"/>
      <c r="C61" s="361"/>
      <c r="D61" s="362"/>
      <c r="E61" s="348"/>
      <c r="F61" s="814"/>
      <c r="G61" s="814"/>
      <c r="H61"/>
      <c r="I61" s="284"/>
      <c r="J61" s="284"/>
      <c r="K61" s="284"/>
      <c r="L61" s="284"/>
      <c r="M61" s="150"/>
      <c r="N61" s="284"/>
      <c r="O61" s="284"/>
      <c r="P61" s="284"/>
      <c r="Q61" s="284"/>
    </row>
    <row r="62" spans="2:17">
      <c r="B62" s="361"/>
      <c r="C62" s="361"/>
      <c r="D62" s="362"/>
      <c r="E62" s="348"/>
      <c r="F62" s="814"/>
      <c r="G62" s="814"/>
      <c r="H62"/>
      <c r="I62" s="284"/>
      <c r="J62" s="284"/>
      <c r="K62" s="284"/>
      <c r="L62" s="284"/>
      <c r="M62" s="150"/>
      <c r="N62" s="284"/>
      <c r="O62" s="284"/>
      <c r="P62" s="284"/>
      <c r="Q62" s="284"/>
    </row>
    <row r="63" spans="2:17">
      <c r="B63" s="361"/>
      <c r="C63" s="361"/>
      <c r="D63" s="362"/>
      <c r="E63" s="348"/>
      <c r="F63" s="814"/>
      <c r="G63" s="814"/>
      <c r="H63"/>
      <c r="I63" s="284"/>
      <c r="J63" s="284"/>
      <c r="K63" s="284"/>
      <c r="L63" s="284"/>
      <c r="M63" s="150"/>
      <c r="N63" s="284"/>
      <c r="O63" s="284"/>
      <c r="P63" s="284"/>
      <c r="Q63" s="284"/>
    </row>
  </sheetData>
  <sheetProtection algorithmName="SHA-512" hashValue="QLY/7zT4VAtZdlot9zR25DxQLU5DR/3NYwxNogdvIogFo9YeHyrwtJEaRX6rFxBElMVapDljJe4cJTx6o/gtEQ==" saltValue="KwywJQ5e7BDL8/T/kK1Bow==" spinCount="100000" sheet="1" objects="1" scenarios="1"/>
  <autoFilter ref="B23:C23" xr:uid="{00000000-0009-0000-0000-000009000000}"/>
  <mergeCells count="30">
    <mergeCell ref="I2:L2"/>
    <mergeCell ref="L5:L11"/>
    <mergeCell ref="B2:G2"/>
    <mergeCell ref="D4:G4"/>
    <mergeCell ref="I5:I11"/>
    <mergeCell ref="B5:C16"/>
    <mergeCell ref="J5:J11"/>
    <mergeCell ref="K5:K11"/>
    <mergeCell ref="D5:F11"/>
    <mergeCell ref="D12:F12"/>
    <mergeCell ref="D13:F13"/>
    <mergeCell ref="D14:F14"/>
    <mergeCell ref="D15:F15"/>
    <mergeCell ref="N18:Q18"/>
    <mergeCell ref="I20:L20"/>
    <mergeCell ref="N20:Q20"/>
    <mergeCell ref="I18:L18"/>
    <mergeCell ref="F57:G57"/>
    <mergeCell ref="B18:F22"/>
    <mergeCell ref="F56:G56"/>
    <mergeCell ref="F52:G52"/>
    <mergeCell ref="F53:G53"/>
    <mergeCell ref="F54:G54"/>
    <mergeCell ref="F55:G55"/>
    <mergeCell ref="F63:G63"/>
    <mergeCell ref="F58:G58"/>
    <mergeCell ref="F59:G59"/>
    <mergeCell ref="F60:G60"/>
    <mergeCell ref="F61:G61"/>
    <mergeCell ref="F62:G62"/>
  </mergeCells>
  <conditionalFormatting sqref="S25:V43">
    <cfRule type="cellIs" dxfId="22" priority="1" stopIfTrue="1" operator="lessThan">
      <formula>0</formula>
    </cfRule>
    <cfRule type="cellIs" dxfId="21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1" orientation="landscape" r:id="rId1"/>
  <headerFooter>
    <oddFooter>&amp;C&amp;1#&amp;"Calibri"&amp;8&amp;KED7D31Orange Restricted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4">
    <pageSetUpPr fitToPage="1"/>
  </sheetPr>
  <dimension ref="B1:R59"/>
  <sheetViews>
    <sheetView showGridLines="0" zoomScale="70" zoomScaleNormal="70" workbookViewId="0">
      <selection activeCell="J36" sqref="J36"/>
    </sheetView>
  </sheetViews>
  <sheetFormatPr baseColWidth="10" defaultRowHeight="12.5"/>
  <cols>
    <col min="1" max="1" width="1.453125" style="113" customWidth="1"/>
    <col min="2" max="2" width="15.81640625" style="113" customWidth="1"/>
    <col min="3" max="3" width="49.81640625" style="113" bestFit="1" customWidth="1"/>
    <col min="4" max="4" width="8.81640625" style="113" bestFit="1" customWidth="1"/>
    <col min="5" max="5" width="8.81640625" style="113" customWidth="1"/>
    <col min="6" max="6" width="8.54296875" style="113" bestFit="1" customWidth="1"/>
    <col min="7" max="7" width="8.81640625" style="113" bestFit="1" customWidth="1"/>
    <col min="8" max="8" width="2.453125" style="150" customWidth="1"/>
    <col min="9" max="12" width="18.453125" style="113" customWidth="1"/>
    <col min="13" max="13" width="4.81640625" style="113" customWidth="1"/>
    <col min="14" max="17" width="18.453125" style="113" customWidth="1"/>
    <col min="18" max="256" width="11.453125" style="113"/>
    <col min="257" max="257" width="1.453125" style="113" customWidth="1"/>
    <col min="258" max="258" width="15.81640625" style="113" customWidth="1"/>
    <col min="259" max="259" width="49.81640625" style="113" bestFit="1" customWidth="1"/>
    <col min="260" max="260" width="8.81640625" style="113" bestFit="1" customWidth="1"/>
    <col min="261" max="261" width="8.81640625" style="113" customWidth="1"/>
    <col min="262" max="262" width="8.54296875" style="113" bestFit="1" customWidth="1"/>
    <col min="263" max="263" width="8.81640625" style="113" bestFit="1" customWidth="1"/>
    <col min="264" max="264" width="2.453125" style="113" customWidth="1"/>
    <col min="265" max="268" width="18.453125" style="113" customWidth="1"/>
    <col min="269" max="269" width="4.81640625" style="113" customWidth="1"/>
    <col min="270" max="273" width="18.453125" style="113" customWidth="1"/>
    <col min="274" max="512" width="11.453125" style="113"/>
    <col min="513" max="513" width="1.453125" style="113" customWidth="1"/>
    <col min="514" max="514" width="15.81640625" style="113" customWidth="1"/>
    <col min="515" max="515" width="49.81640625" style="113" bestFit="1" customWidth="1"/>
    <col min="516" max="516" width="8.81640625" style="113" bestFit="1" customWidth="1"/>
    <col min="517" max="517" width="8.81640625" style="113" customWidth="1"/>
    <col min="518" max="518" width="8.54296875" style="113" bestFit="1" customWidth="1"/>
    <col min="519" max="519" width="8.81640625" style="113" bestFit="1" customWidth="1"/>
    <col min="520" max="520" width="2.453125" style="113" customWidth="1"/>
    <col min="521" max="524" width="18.453125" style="113" customWidth="1"/>
    <col min="525" max="525" width="4.81640625" style="113" customWidth="1"/>
    <col min="526" max="529" width="18.453125" style="113" customWidth="1"/>
    <col min="530" max="768" width="11.453125" style="113"/>
    <col min="769" max="769" width="1.453125" style="113" customWidth="1"/>
    <col min="770" max="770" width="15.81640625" style="113" customWidth="1"/>
    <col min="771" max="771" width="49.81640625" style="113" bestFit="1" customWidth="1"/>
    <col min="772" max="772" width="8.81640625" style="113" bestFit="1" customWidth="1"/>
    <col min="773" max="773" width="8.81640625" style="113" customWidth="1"/>
    <col min="774" max="774" width="8.54296875" style="113" bestFit="1" customWidth="1"/>
    <col min="775" max="775" width="8.81640625" style="113" bestFit="1" customWidth="1"/>
    <col min="776" max="776" width="2.453125" style="113" customWidth="1"/>
    <col min="777" max="780" width="18.453125" style="113" customWidth="1"/>
    <col min="781" max="781" width="4.81640625" style="113" customWidth="1"/>
    <col min="782" max="785" width="18.453125" style="113" customWidth="1"/>
    <col min="786" max="1024" width="11.453125" style="113"/>
    <col min="1025" max="1025" width="1.453125" style="113" customWidth="1"/>
    <col min="1026" max="1026" width="15.81640625" style="113" customWidth="1"/>
    <col min="1027" max="1027" width="49.81640625" style="113" bestFit="1" customWidth="1"/>
    <col min="1028" max="1028" width="8.81640625" style="113" bestFit="1" customWidth="1"/>
    <col min="1029" max="1029" width="8.81640625" style="113" customWidth="1"/>
    <col min="1030" max="1030" width="8.54296875" style="113" bestFit="1" customWidth="1"/>
    <col min="1031" max="1031" width="8.81640625" style="113" bestFit="1" customWidth="1"/>
    <col min="1032" max="1032" width="2.453125" style="113" customWidth="1"/>
    <col min="1033" max="1036" width="18.453125" style="113" customWidth="1"/>
    <col min="1037" max="1037" width="4.81640625" style="113" customWidth="1"/>
    <col min="1038" max="1041" width="18.453125" style="113" customWidth="1"/>
    <col min="1042" max="1280" width="11.453125" style="113"/>
    <col min="1281" max="1281" width="1.453125" style="113" customWidth="1"/>
    <col min="1282" max="1282" width="15.81640625" style="113" customWidth="1"/>
    <col min="1283" max="1283" width="49.81640625" style="113" bestFit="1" customWidth="1"/>
    <col min="1284" max="1284" width="8.81640625" style="113" bestFit="1" customWidth="1"/>
    <col min="1285" max="1285" width="8.81640625" style="113" customWidth="1"/>
    <col min="1286" max="1286" width="8.54296875" style="113" bestFit="1" customWidth="1"/>
    <col min="1287" max="1287" width="8.81640625" style="113" bestFit="1" customWidth="1"/>
    <col min="1288" max="1288" width="2.453125" style="113" customWidth="1"/>
    <col min="1289" max="1292" width="18.453125" style="113" customWidth="1"/>
    <col min="1293" max="1293" width="4.81640625" style="113" customWidth="1"/>
    <col min="1294" max="1297" width="18.453125" style="113" customWidth="1"/>
    <col min="1298" max="1536" width="11.453125" style="113"/>
    <col min="1537" max="1537" width="1.453125" style="113" customWidth="1"/>
    <col min="1538" max="1538" width="15.81640625" style="113" customWidth="1"/>
    <col min="1539" max="1539" width="49.81640625" style="113" bestFit="1" customWidth="1"/>
    <col min="1540" max="1540" width="8.81640625" style="113" bestFit="1" customWidth="1"/>
    <col min="1541" max="1541" width="8.81640625" style="113" customWidth="1"/>
    <col min="1542" max="1542" width="8.54296875" style="113" bestFit="1" customWidth="1"/>
    <col min="1543" max="1543" width="8.81640625" style="113" bestFit="1" customWidth="1"/>
    <col min="1544" max="1544" width="2.453125" style="113" customWidth="1"/>
    <col min="1545" max="1548" width="18.453125" style="113" customWidth="1"/>
    <col min="1549" max="1549" width="4.81640625" style="113" customWidth="1"/>
    <col min="1550" max="1553" width="18.453125" style="113" customWidth="1"/>
    <col min="1554" max="1792" width="11.453125" style="113"/>
    <col min="1793" max="1793" width="1.453125" style="113" customWidth="1"/>
    <col min="1794" max="1794" width="15.81640625" style="113" customWidth="1"/>
    <col min="1795" max="1795" width="49.81640625" style="113" bestFit="1" customWidth="1"/>
    <col min="1796" max="1796" width="8.81640625" style="113" bestFit="1" customWidth="1"/>
    <col min="1797" max="1797" width="8.81640625" style="113" customWidth="1"/>
    <col min="1798" max="1798" width="8.54296875" style="113" bestFit="1" customWidth="1"/>
    <col min="1799" max="1799" width="8.81640625" style="113" bestFit="1" customWidth="1"/>
    <col min="1800" max="1800" width="2.453125" style="113" customWidth="1"/>
    <col min="1801" max="1804" width="18.453125" style="113" customWidth="1"/>
    <col min="1805" max="1805" width="4.81640625" style="113" customWidth="1"/>
    <col min="1806" max="1809" width="18.453125" style="113" customWidth="1"/>
    <col min="1810" max="2048" width="11.453125" style="113"/>
    <col min="2049" max="2049" width="1.453125" style="113" customWidth="1"/>
    <col min="2050" max="2050" width="15.81640625" style="113" customWidth="1"/>
    <col min="2051" max="2051" width="49.81640625" style="113" bestFit="1" customWidth="1"/>
    <col min="2052" max="2052" width="8.81640625" style="113" bestFit="1" customWidth="1"/>
    <col min="2053" max="2053" width="8.81640625" style="113" customWidth="1"/>
    <col min="2054" max="2054" width="8.54296875" style="113" bestFit="1" customWidth="1"/>
    <col min="2055" max="2055" width="8.81640625" style="113" bestFit="1" customWidth="1"/>
    <col min="2056" max="2056" width="2.453125" style="113" customWidth="1"/>
    <col min="2057" max="2060" width="18.453125" style="113" customWidth="1"/>
    <col min="2061" max="2061" width="4.81640625" style="113" customWidth="1"/>
    <col min="2062" max="2065" width="18.453125" style="113" customWidth="1"/>
    <col min="2066" max="2304" width="11.453125" style="113"/>
    <col min="2305" max="2305" width="1.453125" style="113" customWidth="1"/>
    <col min="2306" max="2306" width="15.81640625" style="113" customWidth="1"/>
    <col min="2307" max="2307" width="49.81640625" style="113" bestFit="1" customWidth="1"/>
    <col min="2308" max="2308" width="8.81640625" style="113" bestFit="1" customWidth="1"/>
    <col min="2309" max="2309" width="8.81640625" style="113" customWidth="1"/>
    <col min="2310" max="2310" width="8.54296875" style="113" bestFit="1" customWidth="1"/>
    <col min="2311" max="2311" width="8.81640625" style="113" bestFit="1" customWidth="1"/>
    <col min="2312" max="2312" width="2.453125" style="113" customWidth="1"/>
    <col min="2313" max="2316" width="18.453125" style="113" customWidth="1"/>
    <col min="2317" max="2317" width="4.81640625" style="113" customWidth="1"/>
    <col min="2318" max="2321" width="18.453125" style="113" customWidth="1"/>
    <col min="2322" max="2560" width="11.453125" style="113"/>
    <col min="2561" max="2561" width="1.453125" style="113" customWidth="1"/>
    <col min="2562" max="2562" width="15.81640625" style="113" customWidth="1"/>
    <col min="2563" max="2563" width="49.81640625" style="113" bestFit="1" customWidth="1"/>
    <col min="2564" max="2564" width="8.81640625" style="113" bestFit="1" customWidth="1"/>
    <col min="2565" max="2565" width="8.81640625" style="113" customWidth="1"/>
    <col min="2566" max="2566" width="8.54296875" style="113" bestFit="1" customWidth="1"/>
    <col min="2567" max="2567" width="8.81640625" style="113" bestFit="1" customWidth="1"/>
    <col min="2568" max="2568" width="2.453125" style="113" customWidth="1"/>
    <col min="2569" max="2572" width="18.453125" style="113" customWidth="1"/>
    <col min="2573" max="2573" width="4.81640625" style="113" customWidth="1"/>
    <col min="2574" max="2577" width="18.453125" style="113" customWidth="1"/>
    <col min="2578" max="2816" width="11.453125" style="113"/>
    <col min="2817" max="2817" width="1.453125" style="113" customWidth="1"/>
    <col min="2818" max="2818" width="15.81640625" style="113" customWidth="1"/>
    <col min="2819" max="2819" width="49.81640625" style="113" bestFit="1" customWidth="1"/>
    <col min="2820" max="2820" width="8.81640625" style="113" bestFit="1" customWidth="1"/>
    <col min="2821" max="2821" width="8.81640625" style="113" customWidth="1"/>
    <col min="2822" max="2822" width="8.54296875" style="113" bestFit="1" customWidth="1"/>
    <col min="2823" max="2823" width="8.81640625" style="113" bestFit="1" customWidth="1"/>
    <col min="2824" max="2824" width="2.453125" style="113" customWidth="1"/>
    <col min="2825" max="2828" width="18.453125" style="113" customWidth="1"/>
    <col min="2829" max="2829" width="4.81640625" style="113" customWidth="1"/>
    <col min="2830" max="2833" width="18.453125" style="113" customWidth="1"/>
    <col min="2834" max="3072" width="11.453125" style="113"/>
    <col min="3073" max="3073" width="1.453125" style="113" customWidth="1"/>
    <col min="3074" max="3074" width="15.81640625" style="113" customWidth="1"/>
    <col min="3075" max="3075" width="49.81640625" style="113" bestFit="1" customWidth="1"/>
    <col min="3076" max="3076" width="8.81640625" style="113" bestFit="1" customWidth="1"/>
    <col min="3077" max="3077" width="8.81640625" style="113" customWidth="1"/>
    <col min="3078" max="3078" width="8.54296875" style="113" bestFit="1" customWidth="1"/>
    <col min="3079" max="3079" width="8.81640625" style="113" bestFit="1" customWidth="1"/>
    <col min="3080" max="3080" width="2.453125" style="113" customWidth="1"/>
    <col min="3081" max="3084" width="18.453125" style="113" customWidth="1"/>
    <col min="3085" max="3085" width="4.81640625" style="113" customWidth="1"/>
    <col min="3086" max="3089" width="18.453125" style="113" customWidth="1"/>
    <col min="3090" max="3328" width="11.453125" style="113"/>
    <col min="3329" max="3329" width="1.453125" style="113" customWidth="1"/>
    <col min="3330" max="3330" width="15.81640625" style="113" customWidth="1"/>
    <col min="3331" max="3331" width="49.81640625" style="113" bestFit="1" customWidth="1"/>
    <col min="3332" max="3332" width="8.81640625" style="113" bestFit="1" customWidth="1"/>
    <col min="3333" max="3333" width="8.81640625" style="113" customWidth="1"/>
    <col min="3334" max="3334" width="8.54296875" style="113" bestFit="1" customWidth="1"/>
    <col min="3335" max="3335" width="8.81640625" style="113" bestFit="1" customWidth="1"/>
    <col min="3336" max="3336" width="2.453125" style="113" customWidth="1"/>
    <col min="3337" max="3340" width="18.453125" style="113" customWidth="1"/>
    <col min="3341" max="3341" width="4.81640625" style="113" customWidth="1"/>
    <col min="3342" max="3345" width="18.453125" style="113" customWidth="1"/>
    <col min="3346" max="3584" width="11.453125" style="113"/>
    <col min="3585" max="3585" width="1.453125" style="113" customWidth="1"/>
    <col min="3586" max="3586" width="15.81640625" style="113" customWidth="1"/>
    <col min="3587" max="3587" width="49.81640625" style="113" bestFit="1" customWidth="1"/>
    <col min="3588" max="3588" width="8.81640625" style="113" bestFit="1" customWidth="1"/>
    <col min="3589" max="3589" width="8.81640625" style="113" customWidth="1"/>
    <col min="3590" max="3590" width="8.54296875" style="113" bestFit="1" customWidth="1"/>
    <col min="3591" max="3591" width="8.81640625" style="113" bestFit="1" customWidth="1"/>
    <col min="3592" max="3592" width="2.453125" style="113" customWidth="1"/>
    <col min="3593" max="3596" width="18.453125" style="113" customWidth="1"/>
    <col min="3597" max="3597" width="4.81640625" style="113" customWidth="1"/>
    <col min="3598" max="3601" width="18.453125" style="113" customWidth="1"/>
    <col min="3602" max="3840" width="11.453125" style="113"/>
    <col min="3841" max="3841" width="1.453125" style="113" customWidth="1"/>
    <col min="3842" max="3842" width="15.81640625" style="113" customWidth="1"/>
    <col min="3843" max="3843" width="49.81640625" style="113" bestFit="1" customWidth="1"/>
    <col min="3844" max="3844" width="8.81640625" style="113" bestFit="1" customWidth="1"/>
    <col min="3845" max="3845" width="8.81640625" style="113" customWidth="1"/>
    <col min="3846" max="3846" width="8.54296875" style="113" bestFit="1" customWidth="1"/>
    <col min="3847" max="3847" width="8.81640625" style="113" bestFit="1" customWidth="1"/>
    <col min="3848" max="3848" width="2.453125" style="113" customWidth="1"/>
    <col min="3849" max="3852" width="18.453125" style="113" customWidth="1"/>
    <col min="3853" max="3853" width="4.81640625" style="113" customWidth="1"/>
    <col min="3854" max="3857" width="18.453125" style="113" customWidth="1"/>
    <col min="3858" max="4096" width="11.453125" style="113"/>
    <col min="4097" max="4097" width="1.453125" style="113" customWidth="1"/>
    <col min="4098" max="4098" width="15.81640625" style="113" customWidth="1"/>
    <col min="4099" max="4099" width="49.81640625" style="113" bestFit="1" customWidth="1"/>
    <col min="4100" max="4100" width="8.81640625" style="113" bestFit="1" customWidth="1"/>
    <col min="4101" max="4101" width="8.81640625" style="113" customWidth="1"/>
    <col min="4102" max="4102" width="8.54296875" style="113" bestFit="1" customWidth="1"/>
    <col min="4103" max="4103" width="8.81640625" style="113" bestFit="1" customWidth="1"/>
    <col min="4104" max="4104" width="2.453125" style="113" customWidth="1"/>
    <col min="4105" max="4108" width="18.453125" style="113" customWidth="1"/>
    <col min="4109" max="4109" width="4.81640625" style="113" customWidth="1"/>
    <col min="4110" max="4113" width="18.453125" style="113" customWidth="1"/>
    <col min="4114" max="4352" width="11.453125" style="113"/>
    <col min="4353" max="4353" width="1.453125" style="113" customWidth="1"/>
    <col min="4354" max="4354" width="15.81640625" style="113" customWidth="1"/>
    <col min="4355" max="4355" width="49.81640625" style="113" bestFit="1" customWidth="1"/>
    <col min="4356" max="4356" width="8.81640625" style="113" bestFit="1" customWidth="1"/>
    <col min="4357" max="4357" width="8.81640625" style="113" customWidth="1"/>
    <col min="4358" max="4358" width="8.54296875" style="113" bestFit="1" customWidth="1"/>
    <col min="4359" max="4359" width="8.81640625" style="113" bestFit="1" customWidth="1"/>
    <col min="4360" max="4360" width="2.453125" style="113" customWidth="1"/>
    <col min="4361" max="4364" width="18.453125" style="113" customWidth="1"/>
    <col min="4365" max="4365" width="4.81640625" style="113" customWidth="1"/>
    <col min="4366" max="4369" width="18.453125" style="113" customWidth="1"/>
    <col min="4370" max="4608" width="11.453125" style="113"/>
    <col min="4609" max="4609" width="1.453125" style="113" customWidth="1"/>
    <col min="4610" max="4610" width="15.81640625" style="113" customWidth="1"/>
    <col min="4611" max="4611" width="49.81640625" style="113" bestFit="1" customWidth="1"/>
    <col min="4612" max="4612" width="8.81640625" style="113" bestFit="1" customWidth="1"/>
    <col min="4613" max="4613" width="8.81640625" style="113" customWidth="1"/>
    <col min="4614" max="4614" width="8.54296875" style="113" bestFit="1" customWidth="1"/>
    <col min="4615" max="4615" width="8.81640625" style="113" bestFit="1" customWidth="1"/>
    <col min="4616" max="4616" width="2.453125" style="113" customWidth="1"/>
    <col min="4617" max="4620" width="18.453125" style="113" customWidth="1"/>
    <col min="4621" max="4621" width="4.81640625" style="113" customWidth="1"/>
    <col min="4622" max="4625" width="18.453125" style="113" customWidth="1"/>
    <col min="4626" max="4864" width="11.453125" style="113"/>
    <col min="4865" max="4865" width="1.453125" style="113" customWidth="1"/>
    <col min="4866" max="4866" width="15.81640625" style="113" customWidth="1"/>
    <col min="4867" max="4867" width="49.81640625" style="113" bestFit="1" customWidth="1"/>
    <col min="4868" max="4868" width="8.81640625" style="113" bestFit="1" customWidth="1"/>
    <col min="4869" max="4869" width="8.81640625" style="113" customWidth="1"/>
    <col min="4870" max="4870" width="8.54296875" style="113" bestFit="1" customWidth="1"/>
    <col min="4871" max="4871" width="8.81640625" style="113" bestFit="1" customWidth="1"/>
    <col min="4872" max="4872" width="2.453125" style="113" customWidth="1"/>
    <col min="4873" max="4876" width="18.453125" style="113" customWidth="1"/>
    <col min="4877" max="4877" width="4.81640625" style="113" customWidth="1"/>
    <col min="4878" max="4881" width="18.453125" style="113" customWidth="1"/>
    <col min="4882" max="5120" width="11.453125" style="113"/>
    <col min="5121" max="5121" width="1.453125" style="113" customWidth="1"/>
    <col min="5122" max="5122" width="15.81640625" style="113" customWidth="1"/>
    <col min="5123" max="5123" width="49.81640625" style="113" bestFit="1" customWidth="1"/>
    <col min="5124" max="5124" width="8.81640625" style="113" bestFit="1" customWidth="1"/>
    <col min="5125" max="5125" width="8.81640625" style="113" customWidth="1"/>
    <col min="5126" max="5126" width="8.54296875" style="113" bestFit="1" customWidth="1"/>
    <col min="5127" max="5127" width="8.81640625" style="113" bestFit="1" customWidth="1"/>
    <col min="5128" max="5128" width="2.453125" style="113" customWidth="1"/>
    <col min="5129" max="5132" width="18.453125" style="113" customWidth="1"/>
    <col min="5133" max="5133" width="4.81640625" style="113" customWidth="1"/>
    <col min="5134" max="5137" width="18.453125" style="113" customWidth="1"/>
    <col min="5138" max="5376" width="11.453125" style="113"/>
    <col min="5377" max="5377" width="1.453125" style="113" customWidth="1"/>
    <col min="5378" max="5378" width="15.81640625" style="113" customWidth="1"/>
    <col min="5379" max="5379" width="49.81640625" style="113" bestFit="1" customWidth="1"/>
    <col min="5380" max="5380" width="8.81640625" style="113" bestFit="1" customWidth="1"/>
    <col min="5381" max="5381" width="8.81640625" style="113" customWidth="1"/>
    <col min="5382" max="5382" width="8.54296875" style="113" bestFit="1" customWidth="1"/>
    <col min="5383" max="5383" width="8.81640625" style="113" bestFit="1" customWidth="1"/>
    <col min="5384" max="5384" width="2.453125" style="113" customWidth="1"/>
    <col min="5385" max="5388" width="18.453125" style="113" customWidth="1"/>
    <col min="5389" max="5389" width="4.81640625" style="113" customWidth="1"/>
    <col min="5390" max="5393" width="18.453125" style="113" customWidth="1"/>
    <col min="5394" max="5632" width="11.453125" style="113"/>
    <col min="5633" max="5633" width="1.453125" style="113" customWidth="1"/>
    <col min="5634" max="5634" width="15.81640625" style="113" customWidth="1"/>
    <col min="5635" max="5635" width="49.81640625" style="113" bestFit="1" customWidth="1"/>
    <col min="5636" max="5636" width="8.81640625" style="113" bestFit="1" customWidth="1"/>
    <col min="5637" max="5637" width="8.81640625" style="113" customWidth="1"/>
    <col min="5638" max="5638" width="8.54296875" style="113" bestFit="1" customWidth="1"/>
    <col min="5639" max="5639" width="8.81640625" style="113" bestFit="1" customWidth="1"/>
    <col min="5640" max="5640" width="2.453125" style="113" customWidth="1"/>
    <col min="5641" max="5644" width="18.453125" style="113" customWidth="1"/>
    <col min="5645" max="5645" width="4.81640625" style="113" customWidth="1"/>
    <col min="5646" max="5649" width="18.453125" style="113" customWidth="1"/>
    <col min="5650" max="5888" width="11.453125" style="113"/>
    <col min="5889" max="5889" width="1.453125" style="113" customWidth="1"/>
    <col min="5890" max="5890" width="15.81640625" style="113" customWidth="1"/>
    <col min="5891" max="5891" width="49.81640625" style="113" bestFit="1" customWidth="1"/>
    <col min="5892" max="5892" width="8.81640625" style="113" bestFit="1" customWidth="1"/>
    <col min="5893" max="5893" width="8.81640625" style="113" customWidth="1"/>
    <col min="5894" max="5894" width="8.54296875" style="113" bestFit="1" customWidth="1"/>
    <col min="5895" max="5895" width="8.81640625" style="113" bestFit="1" customWidth="1"/>
    <col min="5896" max="5896" width="2.453125" style="113" customWidth="1"/>
    <col min="5897" max="5900" width="18.453125" style="113" customWidth="1"/>
    <col min="5901" max="5901" width="4.81640625" style="113" customWidth="1"/>
    <col min="5902" max="5905" width="18.453125" style="113" customWidth="1"/>
    <col min="5906" max="6144" width="11.453125" style="113"/>
    <col min="6145" max="6145" width="1.453125" style="113" customWidth="1"/>
    <col min="6146" max="6146" width="15.81640625" style="113" customWidth="1"/>
    <col min="6147" max="6147" width="49.81640625" style="113" bestFit="1" customWidth="1"/>
    <col min="6148" max="6148" width="8.81640625" style="113" bestFit="1" customWidth="1"/>
    <col min="6149" max="6149" width="8.81640625" style="113" customWidth="1"/>
    <col min="6150" max="6150" width="8.54296875" style="113" bestFit="1" customWidth="1"/>
    <col min="6151" max="6151" width="8.81640625" style="113" bestFit="1" customWidth="1"/>
    <col min="6152" max="6152" width="2.453125" style="113" customWidth="1"/>
    <col min="6153" max="6156" width="18.453125" style="113" customWidth="1"/>
    <col min="6157" max="6157" width="4.81640625" style="113" customWidth="1"/>
    <col min="6158" max="6161" width="18.453125" style="113" customWidth="1"/>
    <col min="6162" max="6400" width="11.453125" style="113"/>
    <col min="6401" max="6401" width="1.453125" style="113" customWidth="1"/>
    <col min="6402" max="6402" width="15.81640625" style="113" customWidth="1"/>
    <col min="6403" max="6403" width="49.81640625" style="113" bestFit="1" customWidth="1"/>
    <col min="6404" max="6404" width="8.81640625" style="113" bestFit="1" customWidth="1"/>
    <col min="6405" max="6405" width="8.81640625" style="113" customWidth="1"/>
    <col min="6406" max="6406" width="8.54296875" style="113" bestFit="1" customWidth="1"/>
    <col min="6407" max="6407" width="8.81640625" style="113" bestFit="1" customWidth="1"/>
    <col min="6408" max="6408" width="2.453125" style="113" customWidth="1"/>
    <col min="6409" max="6412" width="18.453125" style="113" customWidth="1"/>
    <col min="6413" max="6413" width="4.81640625" style="113" customWidth="1"/>
    <col min="6414" max="6417" width="18.453125" style="113" customWidth="1"/>
    <col min="6418" max="6656" width="11.453125" style="113"/>
    <col min="6657" max="6657" width="1.453125" style="113" customWidth="1"/>
    <col min="6658" max="6658" width="15.81640625" style="113" customWidth="1"/>
    <col min="6659" max="6659" width="49.81640625" style="113" bestFit="1" customWidth="1"/>
    <col min="6660" max="6660" width="8.81640625" style="113" bestFit="1" customWidth="1"/>
    <col min="6661" max="6661" width="8.81640625" style="113" customWidth="1"/>
    <col min="6662" max="6662" width="8.54296875" style="113" bestFit="1" customWidth="1"/>
    <col min="6663" max="6663" width="8.81640625" style="113" bestFit="1" customWidth="1"/>
    <col min="6664" max="6664" width="2.453125" style="113" customWidth="1"/>
    <col min="6665" max="6668" width="18.453125" style="113" customWidth="1"/>
    <col min="6669" max="6669" width="4.81640625" style="113" customWidth="1"/>
    <col min="6670" max="6673" width="18.453125" style="113" customWidth="1"/>
    <col min="6674" max="6912" width="11.453125" style="113"/>
    <col min="6913" max="6913" width="1.453125" style="113" customWidth="1"/>
    <col min="6914" max="6914" width="15.81640625" style="113" customWidth="1"/>
    <col min="6915" max="6915" width="49.81640625" style="113" bestFit="1" customWidth="1"/>
    <col min="6916" max="6916" width="8.81640625" style="113" bestFit="1" customWidth="1"/>
    <col min="6917" max="6917" width="8.81640625" style="113" customWidth="1"/>
    <col min="6918" max="6918" width="8.54296875" style="113" bestFit="1" customWidth="1"/>
    <col min="6919" max="6919" width="8.81640625" style="113" bestFit="1" customWidth="1"/>
    <col min="6920" max="6920" width="2.453125" style="113" customWidth="1"/>
    <col min="6921" max="6924" width="18.453125" style="113" customWidth="1"/>
    <col min="6925" max="6925" width="4.81640625" style="113" customWidth="1"/>
    <col min="6926" max="6929" width="18.453125" style="113" customWidth="1"/>
    <col min="6930" max="7168" width="11.453125" style="113"/>
    <col min="7169" max="7169" width="1.453125" style="113" customWidth="1"/>
    <col min="7170" max="7170" width="15.81640625" style="113" customWidth="1"/>
    <col min="7171" max="7171" width="49.81640625" style="113" bestFit="1" customWidth="1"/>
    <col min="7172" max="7172" width="8.81640625" style="113" bestFit="1" customWidth="1"/>
    <col min="7173" max="7173" width="8.81640625" style="113" customWidth="1"/>
    <col min="7174" max="7174" width="8.54296875" style="113" bestFit="1" customWidth="1"/>
    <col min="7175" max="7175" width="8.81640625" style="113" bestFit="1" customWidth="1"/>
    <col min="7176" max="7176" width="2.453125" style="113" customWidth="1"/>
    <col min="7177" max="7180" width="18.453125" style="113" customWidth="1"/>
    <col min="7181" max="7181" width="4.81640625" style="113" customWidth="1"/>
    <col min="7182" max="7185" width="18.453125" style="113" customWidth="1"/>
    <col min="7186" max="7424" width="11.453125" style="113"/>
    <col min="7425" max="7425" width="1.453125" style="113" customWidth="1"/>
    <col min="7426" max="7426" width="15.81640625" style="113" customWidth="1"/>
    <col min="7427" max="7427" width="49.81640625" style="113" bestFit="1" customWidth="1"/>
    <col min="7428" max="7428" width="8.81640625" style="113" bestFit="1" customWidth="1"/>
    <col min="7429" max="7429" width="8.81640625" style="113" customWidth="1"/>
    <col min="7430" max="7430" width="8.54296875" style="113" bestFit="1" customWidth="1"/>
    <col min="7431" max="7431" width="8.81640625" style="113" bestFit="1" customWidth="1"/>
    <col min="7432" max="7432" width="2.453125" style="113" customWidth="1"/>
    <col min="7433" max="7436" width="18.453125" style="113" customWidth="1"/>
    <col min="7437" max="7437" width="4.81640625" style="113" customWidth="1"/>
    <col min="7438" max="7441" width="18.453125" style="113" customWidth="1"/>
    <col min="7442" max="7680" width="11.453125" style="113"/>
    <col min="7681" max="7681" width="1.453125" style="113" customWidth="1"/>
    <col min="7682" max="7682" width="15.81640625" style="113" customWidth="1"/>
    <col min="7683" max="7683" width="49.81640625" style="113" bestFit="1" customWidth="1"/>
    <col min="7684" max="7684" width="8.81640625" style="113" bestFit="1" customWidth="1"/>
    <col min="7685" max="7685" width="8.81640625" style="113" customWidth="1"/>
    <col min="7686" max="7686" width="8.54296875" style="113" bestFit="1" customWidth="1"/>
    <col min="7687" max="7687" width="8.81640625" style="113" bestFit="1" customWidth="1"/>
    <col min="7688" max="7688" width="2.453125" style="113" customWidth="1"/>
    <col min="7689" max="7692" width="18.453125" style="113" customWidth="1"/>
    <col min="7693" max="7693" width="4.81640625" style="113" customWidth="1"/>
    <col min="7694" max="7697" width="18.453125" style="113" customWidth="1"/>
    <col min="7698" max="7936" width="11.453125" style="113"/>
    <col min="7937" max="7937" width="1.453125" style="113" customWidth="1"/>
    <col min="7938" max="7938" width="15.81640625" style="113" customWidth="1"/>
    <col min="7939" max="7939" width="49.81640625" style="113" bestFit="1" customWidth="1"/>
    <col min="7940" max="7940" width="8.81640625" style="113" bestFit="1" customWidth="1"/>
    <col min="7941" max="7941" width="8.81640625" style="113" customWidth="1"/>
    <col min="7942" max="7942" width="8.54296875" style="113" bestFit="1" customWidth="1"/>
    <col min="7943" max="7943" width="8.81640625" style="113" bestFit="1" customWidth="1"/>
    <col min="7944" max="7944" width="2.453125" style="113" customWidth="1"/>
    <col min="7945" max="7948" width="18.453125" style="113" customWidth="1"/>
    <col min="7949" max="7949" width="4.81640625" style="113" customWidth="1"/>
    <col min="7950" max="7953" width="18.453125" style="113" customWidth="1"/>
    <col min="7954" max="8192" width="11.453125" style="113"/>
    <col min="8193" max="8193" width="1.453125" style="113" customWidth="1"/>
    <col min="8194" max="8194" width="15.81640625" style="113" customWidth="1"/>
    <col min="8195" max="8195" width="49.81640625" style="113" bestFit="1" customWidth="1"/>
    <col min="8196" max="8196" width="8.81640625" style="113" bestFit="1" customWidth="1"/>
    <col min="8197" max="8197" width="8.81640625" style="113" customWidth="1"/>
    <col min="8198" max="8198" width="8.54296875" style="113" bestFit="1" customWidth="1"/>
    <col min="8199" max="8199" width="8.81640625" style="113" bestFit="1" customWidth="1"/>
    <col min="8200" max="8200" width="2.453125" style="113" customWidth="1"/>
    <col min="8201" max="8204" width="18.453125" style="113" customWidth="1"/>
    <col min="8205" max="8205" width="4.81640625" style="113" customWidth="1"/>
    <col min="8206" max="8209" width="18.453125" style="113" customWidth="1"/>
    <col min="8210" max="8448" width="11.453125" style="113"/>
    <col min="8449" max="8449" width="1.453125" style="113" customWidth="1"/>
    <col min="8450" max="8450" width="15.81640625" style="113" customWidth="1"/>
    <col min="8451" max="8451" width="49.81640625" style="113" bestFit="1" customWidth="1"/>
    <col min="8452" max="8452" width="8.81640625" style="113" bestFit="1" customWidth="1"/>
    <col min="8453" max="8453" width="8.81640625" style="113" customWidth="1"/>
    <col min="8454" max="8454" width="8.54296875" style="113" bestFit="1" customWidth="1"/>
    <col min="8455" max="8455" width="8.81640625" style="113" bestFit="1" customWidth="1"/>
    <col min="8456" max="8456" width="2.453125" style="113" customWidth="1"/>
    <col min="8457" max="8460" width="18.453125" style="113" customWidth="1"/>
    <col min="8461" max="8461" width="4.81640625" style="113" customWidth="1"/>
    <col min="8462" max="8465" width="18.453125" style="113" customWidth="1"/>
    <col min="8466" max="8704" width="11.453125" style="113"/>
    <col min="8705" max="8705" width="1.453125" style="113" customWidth="1"/>
    <col min="8706" max="8706" width="15.81640625" style="113" customWidth="1"/>
    <col min="8707" max="8707" width="49.81640625" style="113" bestFit="1" customWidth="1"/>
    <col min="8708" max="8708" width="8.81640625" style="113" bestFit="1" customWidth="1"/>
    <col min="8709" max="8709" width="8.81640625" style="113" customWidth="1"/>
    <col min="8710" max="8710" width="8.54296875" style="113" bestFit="1" customWidth="1"/>
    <col min="8711" max="8711" width="8.81640625" style="113" bestFit="1" customWidth="1"/>
    <col min="8712" max="8712" width="2.453125" style="113" customWidth="1"/>
    <col min="8713" max="8716" width="18.453125" style="113" customWidth="1"/>
    <col min="8717" max="8717" width="4.81640625" style="113" customWidth="1"/>
    <col min="8718" max="8721" width="18.453125" style="113" customWidth="1"/>
    <col min="8722" max="8960" width="11.453125" style="113"/>
    <col min="8961" max="8961" width="1.453125" style="113" customWidth="1"/>
    <col min="8962" max="8962" width="15.81640625" style="113" customWidth="1"/>
    <col min="8963" max="8963" width="49.81640625" style="113" bestFit="1" customWidth="1"/>
    <col min="8964" max="8964" width="8.81640625" style="113" bestFit="1" customWidth="1"/>
    <col min="8965" max="8965" width="8.81640625" style="113" customWidth="1"/>
    <col min="8966" max="8966" width="8.54296875" style="113" bestFit="1" customWidth="1"/>
    <col min="8967" max="8967" width="8.81640625" style="113" bestFit="1" customWidth="1"/>
    <col min="8968" max="8968" width="2.453125" style="113" customWidth="1"/>
    <col min="8969" max="8972" width="18.453125" style="113" customWidth="1"/>
    <col min="8973" max="8973" width="4.81640625" style="113" customWidth="1"/>
    <col min="8974" max="8977" width="18.453125" style="113" customWidth="1"/>
    <col min="8978" max="9216" width="11.453125" style="113"/>
    <col min="9217" max="9217" width="1.453125" style="113" customWidth="1"/>
    <col min="9218" max="9218" width="15.81640625" style="113" customWidth="1"/>
    <col min="9219" max="9219" width="49.81640625" style="113" bestFit="1" customWidth="1"/>
    <col min="9220" max="9220" width="8.81640625" style="113" bestFit="1" customWidth="1"/>
    <col min="9221" max="9221" width="8.81640625" style="113" customWidth="1"/>
    <col min="9222" max="9222" width="8.54296875" style="113" bestFit="1" customWidth="1"/>
    <col min="9223" max="9223" width="8.81640625" style="113" bestFit="1" customWidth="1"/>
    <col min="9224" max="9224" width="2.453125" style="113" customWidth="1"/>
    <col min="9225" max="9228" width="18.453125" style="113" customWidth="1"/>
    <col min="9229" max="9229" width="4.81640625" style="113" customWidth="1"/>
    <col min="9230" max="9233" width="18.453125" style="113" customWidth="1"/>
    <col min="9234" max="9472" width="11.453125" style="113"/>
    <col min="9473" max="9473" width="1.453125" style="113" customWidth="1"/>
    <col min="9474" max="9474" width="15.81640625" style="113" customWidth="1"/>
    <col min="9475" max="9475" width="49.81640625" style="113" bestFit="1" customWidth="1"/>
    <col min="9476" max="9476" width="8.81640625" style="113" bestFit="1" customWidth="1"/>
    <col min="9477" max="9477" width="8.81640625" style="113" customWidth="1"/>
    <col min="9478" max="9478" width="8.54296875" style="113" bestFit="1" customWidth="1"/>
    <col min="9479" max="9479" width="8.81640625" style="113" bestFit="1" customWidth="1"/>
    <col min="9480" max="9480" width="2.453125" style="113" customWidth="1"/>
    <col min="9481" max="9484" width="18.453125" style="113" customWidth="1"/>
    <col min="9485" max="9485" width="4.81640625" style="113" customWidth="1"/>
    <col min="9486" max="9489" width="18.453125" style="113" customWidth="1"/>
    <col min="9490" max="9728" width="11.453125" style="113"/>
    <col min="9729" max="9729" width="1.453125" style="113" customWidth="1"/>
    <col min="9730" max="9730" width="15.81640625" style="113" customWidth="1"/>
    <col min="9731" max="9731" width="49.81640625" style="113" bestFit="1" customWidth="1"/>
    <col min="9732" max="9732" width="8.81640625" style="113" bestFit="1" customWidth="1"/>
    <col min="9733" max="9733" width="8.81640625" style="113" customWidth="1"/>
    <col min="9734" max="9734" width="8.54296875" style="113" bestFit="1" customWidth="1"/>
    <col min="9735" max="9735" width="8.81640625" style="113" bestFit="1" customWidth="1"/>
    <col min="9736" max="9736" width="2.453125" style="113" customWidth="1"/>
    <col min="9737" max="9740" width="18.453125" style="113" customWidth="1"/>
    <col min="9741" max="9741" width="4.81640625" style="113" customWidth="1"/>
    <col min="9742" max="9745" width="18.453125" style="113" customWidth="1"/>
    <col min="9746" max="9984" width="11.453125" style="113"/>
    <col min="9985" max="9985" width="1.453125" style="113" customWidth="1"/>
    <col min="9986" max="9986" width="15.81640625" style="113" customWidth="1"/>
    <col min="9987" max="9987" width="49.81640625" style="113" bestFit="1" customWidth="1"/>
    <col min="9988" max="9988" width="8.81640625" style="113" bestFit="1" customWidth="1"/>
    <col min="9989" max="9989" width="8.81640625" style="113" customWidth="1"/>
    <col min="9990" max="9990" width="8.54296875" style="113" bestFit="1" customWidth="1"/>
    <col min="9991" max="9991" width="8.81640625" style="113" bestFit="1" customWidth="1"/>
    <col min="9992" max="9992" width="2.453125" style="113" customWidth="1"/>
    <col min="9993" max="9996" width="18.453125" style="113" customWidth="1"/>
    <col min="9997" max="9997" width="4.81640625" style="113" customWidth="1"/>
    <col min="9998" max="10001" width="18.453125" style="113" customWidth="1"/>
    <col min="10002" max="10240" width="11.453125" style="113"/>
    <col min="10241" max="10241" width="1.453125" style="113" customWidth="1"/>
    <col min="10242" max="10242" width="15.81640625" style="113" customWidth="1"/>
    <col min="10243" max="10243" width="49.81640625" style="113" bestFit="1" customWidth="1"/>
    <col min="10244" max="10244" width="8.81640625" style="113" bestFit="1" customWidth="1"/>
    <col min="10245" max="10245" width="8.81640625" style="113" customWidth="1"/>
    <col min="10246" max="10246" width="8.54296875" style="113" bestFit="1" customWidth="1"/>
    <col min="10247" max="10247" width="8.81640625" style="113" bestFit="1" customWidth="1"/>
    <col min="10248" max="10248" width="2.453125" style="113" customWidth="1"/>
    <col min="10249" max="10252" width="18.453125" style="113" customWidth="1"/>
    <col min="10253" max="10253" width="4.81640625" style="113" customWidth="1"/>
    <col min="10254" max="10257" width="18.453125" style="113" customWidth="1"/>
    <col min="10258" max="10496" width="11.453125" style="113"/>
    <col min="10497" max="10497" width="1.453125" style="113" customWidth="1"/>
    <col min="10498" max="10498" width="15.81640625" style="113" customWidth="1"/>
    <col min="10499" max="10499" width="49.81640625" style="113" bestFit="1" customWidth="1"/>
    <col min="10500" max="10500" width="8.81640625" style="113" bestFit="1" customWidth="1"/>
    <col min="10501" max="10501" width="8.81640625" style="113" customWidth="1"/>
    <col min="10502" max="10502" width="8.54296875" style="113" bestFit="1" customWidth="1"/>
    <col min="10503" max="10503" width="8.81640625" style="113" bestFit="1" customWidth="1"/>
    <col min="10504" max="10504" width="2.453125" style="113" customWidth="1"/>
    <col min="10505" max="10508" width="18.453125" style="113" customWidth="1"/>
    <col min="10509" max="10509" width="4.81640625" style="113" customWidth="1"/>
    <col min="10510" max="10513" width="18.453125" style="113" customWidth="1"/>
    <col min="10514" max="10752" width="11.453125" style="113"/>
    <col min="10753" max="10753" width="1.453125" style="113" customWidth="1"/>
    <col min="10754" max="10754" width="15.81640625" style="113" customWidth="1"/>
    <col min="10755" max="10755" width="49.81640625" style="113" bestFit="1" customWidth="1"/>
    <col min="10756" max="10756" width="8.81640625" style="113" bestFit="1" customWidth="1"/>
    <col min="10757" max="10757" width="8.81640625" style="113" customWidth="1"/>
    <col min="10758" max="10758" width="8.54296875" style="113" bestFit="1" customWidth="1"/>
    <col min="10759" max="10759" width="8.81640625" style="113" bestFit="1" customWidth="1"/>
    <col min="10760" max="10760" width="2.453125" style="113" customWidth="1"/>
    <col min="10761" max="10764" width="18.453125" style="113" customWidth="1"/>
    <col min="10765" max="10765" width="4.81640625" style="113" customWidth="1"/>
    <col min="10766" max="10769" width="18.453125" style="113" customWidth="1"/>
    <col min="10770" max="11008" width="11.453125" style="113"/>
    <col min="11009" max="11009" width="1.453125" style="113" customWidth="1"/>
    <col min="11010" max="11010" width="15.81640625" style="113" customWidth="1"/>
    <col min="11011" max="11011" width="49.81640625" style="113" bestFit="1" customWidth="1"/>
    <col min="11012" max="11012" width="8.81640625" style="113" bestFit="1" customWidth="1"/>
    <col min="11013" max="11013" width="8.81640625" style="113" customWidth="1"/>
    <col min="11014" max="11014" width="8.54296875" style="113" bestFit="1" customWidth="1"/>
    <col min="11015" max="11015" width="8.81640625" style="113" bestFit="1" customWidth="1"/>
    <col min="11016" max="11016" width="2.453125" style="113" customWidth="1"/>
    <col min="11017" max="11020" width="18.453125" style="113" customWidth="1"/>
    <col min="11021" max="11021" width="4.81640625" style="113" customWidth="1"/>
    <col min="11022" max="11025" width="18.453125" style="113" customWidth="1"/>
    <col min="11026" max="11264" width="11.453125" style="113"/>
    <col min="11265" max="11265" width="1.453125" style="113" customWidth="1"/>
    <col min="11266" max="11266" width="15.81640625" style="113" customWidth="1"/>
    <col min="11267" max="11267" width="49.81640625" style="113" bestFit="1" customWidth="1"/>
    <col min="11268" max="11268" width="8.81640625" style="113" bestFit="1" customWidth="1"/>
    <col min="11269" max="11269" width="8.81640625" style="113" customWidth="1"/>
    <col min="11270" max="11270" width="8.54296875" style="113" bestFit="1" customWidth="1"/>
    <col min="11271" max="11271" width="8.81640625" style="113" bestFit="1" customWidth="1"/>
    <col min="11272" max="11272" width="2.453125" style="113" customWidth="1"/>
    <col min="11273" max="11276" width="18.453125" style="113" customWidth="1"/>
    <col min="11277" max="11277" width="4.81640625" style="113" customWidth="1"/>
    <col min="11278" max="11281" width="18.453125" style="113" customWidth="1"/>
    <col min="11282" max="11520" width="11.453125" style="113"/>
    <col min="11521" max="11521" width="1.453125" style="113" customWidth="1"/>
    <col min="11522" max="11522" width="15.81640625" style="113" customWidth="1"/>
    <col min="11523" max="11523" width="49.81640625" style="113" bestFit="1" customWidth="1"/>
    <col min="11524" max="11524" width="8.81640625" style="113" bestFit="1" customWidth="1"/>
    <col min="11525" max="11525" width="8.81640625" style="113" customWidth="1"/>
    <col min="11526" max="11526" width="8.54296875" style="113" bestFit="1" customWidth="1"/>
    <col min="11527" max="11527" width="8.81640625" style="113" bestFit="1" customWidth="1"/>
    <col min="11528" max="11528" width="2.453125" style="113" customWidth="1"/>
    <col min="11529" max="11532" width="18.453125" style="113" customWidth="1"/>
    <col min="11533" max="11533" width="4.81640625" style="113" customWidth="1"/>
    <col min="11534" max="11537" width="18.453125" style="113" customWidth="1"/>
    <col min="11538" max="11776" width="11.453125" style="113"/>
    <col min="11777" max="11777" width="1.453125" style="113" customWidth="1"/>
    <col min="11778" max="11778" width="15.81640625" style="113" customWidth="1"/>
    <col min="11779" max="11779" width="49.81640625" style="113" bestFit="1" customWidth="1"/>
    <col min="11780" max="11780" width="8.81640625" style="113" bestFit="1" customWidth="1"/>
    <col min="11781" max="11781" width="8.81640625" style="113" customWidth="1"/>
    <col min="11782" max="11782" width="8.54296875" style="113" bestFit="1" customWidth="1"/>
    <col min="11783" max="11783" width="8.81640625" style="113" bestFit="1" customWidth="1"/>
    <col min="11784" max="11784" width="2.453125" style="113" customWidth="1"/>
    <col min="11785" max="11788" width="18.453125" style="113" customWidth="1"/>
    <col min="11789" max="11789" width="4.81640625" style="113" customWidth="1"/>
    <col min="11790" max="11793" width="18.453125" style="113" customWidth="1"/>
    <col min="11794" max="12032" width="11.453125" style="113"/>
    <col min="12033" max="12033" width="1.453125" style="113" customWidth="1"/>
    <col min="12034" max="12034" width="15.81640625" style="113" customWidth="1"/>
    <col min="12035" max="12035" width="49.81640625" style="113" bestFit="1" customWidth="1"/>
    <col min="12036" max="12036" width="8.81640625" style="113" bestFit="1" customWidth="1"/>
    <col min="12037" max="12037" width="8.81640625" style="113" customWidth="1"/>
    <col min="12038" max="12038" width="8.54296875" style="113" bestFit="1" customWidth="1"/>
    <col min="12039" max="12039" width="8.81640625" style="113" bestFit="1" customWidth="1"/>
    <col min="12040" max="12040" width="2.453125" style="113" customWidth="1"/>
    <col min="12041" max="12044" width="18.453125" style="113" customWidth="1"/>
    <col min="12045" max="12045" width="4.81640625" style="113" customWidth="1"/>
    <col min="12046" max="12049" width="18.453125" style="113" customWidth="1"/>
    <col min="12050" max="12288" width="11.453125" style="113"/>
    <col min="12289" max="12289" width="1.453125" style="113" customWidth="1"/>
    <col min="12290" max="12290" width="15.81640625" style="113" customWidth="1"/>
    <col min="12291" max="12291" width="49.81640625" style="113" bestFit="1" customWidth="1"/>
    <col min="12292" max="12292" width="8.81640625" style="113" bestFit="1" customWidth="1"/>
    <col min="12293" max="12293" width="8.81640625" style="113" customWidth="1"/>
    <col min="12294" max="12294" width="8.54296875" style="113" bestFit="1" customWidth="1"/>
    <col min="12295" max="12295" width="8.81640625" style="113" bestFit="1" customWidth="1"/>
    <col min="12296" max="12296" width="2.453125" style="113" customWidth="1"/>
    <col min="12297" max="12300" width="18.453125" style="113" customWidth="1"/>
    <col min="12301" max="12301" width="4.81640625" style="113" customWidth="1"/>
    <col min="12302" max="12305" width="18.453125" style="113" customWidth="1"/>
    <col min="12306" max="12544" width="11.453125" style="113"/>
    <col min="12545" max="12545" width="1.453125" style="113" customWidth="1"/>
    <col min="12546" max="12546" width="15.81640625" style="113" customWidth="1"/>
    <col min="12547" max="12547" width="49.81640625" style="113" bestFit="1" customWidth="1"/>
    <col min="12548" max="12548" width="8.81640625" style="113" bestFit="1" customWidth="1"/>
    <col min="12549" max="12549" width="8.81640625" style="113" customWidth="1"/>
    <col min="12550" max="12550" width="8.54296875" style="113" bestFit="1" customWidth="1"/>
    <col min="12551" max="12551" width="8.81640625" style="113" bestFit="1" customWidth="1"/>
    <col min="12552" max="12552" width="2.453125" style="113" customWidth="1"/>
    <col min="12553" max="12556" width="18.453125" style="113" customWidth="1"/>
    <col min="12557" max="12557" width="4.81640625" style="113" customWidth="1"/>
    <col min="12558" max="12561" width="18.453125" style="113" customWidth="1"/>
    <col min="12562" max="12800" width="11.453125" style="113"/>
    <col min="12801" max="12801" width="1.453125" style="113" customWidth="1"/>
    <col min="12802" max="12802" width="15.81640625" style="113" customWidth="1"/>
    <col min="12803" max="12803" width="49.81640625" style="113" bestFit="1" customWidth="1"/>
    <col min="12804" max="12804" width="8.81640625" style="113" bestFit="1" customWidth="1"/>
    <col min="12805" max="12805" width="8.81640625" style="113" customWidth="1"/>
    <col min="12806" max="12806" width="8.54296875" style="113" bestFit="1" customWidth="1"/>
    <col min="12807" max="12807" width="8.81640625" style="113" bestFit="1" customWidth="1"/>
    <col min="12808" max="12808" width="2.453125" style="113" customWidth="1"/>
    <col min="12809" max="12812" width="18.453125" style="113" customWidth="1"/>
    <col min="12813" max="12813" width="4.81640625" style="113" customWidth="1"/>
    <col min="12814" max="12817" width="18.453125" style="113" customWidth="1"/>
    <col min="12818" max="13056" width="11.453125" style="113"/>
    <col min="13057" max="13057" width="1.453125" style="113" customWidth="1"/>
    <col min="13058" max="13058" width="15.81640625" style="113" customWidth="1"/>
    <col min="13059" max="13059" width="49.81640625" style="113" bestFit="1" customWidth="1"/>
    <col min="13060" max="13060" width="8.81640625" style="113" bestFit="1" customWidth="1"/>
    <col min="13061" max="13061" width="8.81640625" style="113" customWidth="1"/>
    <col min="13062" max="13062" width="8.54296875" style="113" bestFit="1" customWidth="1"/>
    <col min="13063" max="13063" width="8.81640625" style="113" bestFit="1" customWidth="1"/>
    <col min="13064" max="13064" width="2.453125" style="113" customWidth="1"/>
    <col min="13065" max="13068" width="18.453125" style="113" customWidth="1"/>
    <col min="13069" max="13069" width="4.81640625" style="113" customWidth="1"/>
    <col min="13070" max="13073" width="18.453125" style="113" customWidth="1"/>
    <col min="13074" max="13312" width="11.453125" style="113"/>
    <col min="13313" max="13313" width="1.453125" style="113" customWidth="1"/>
    <col min="13314" max="13314" width="15.81640625" style="113" customWidth="1"/>
    <col min="13315" max="13315" width="49.81640625" style="113" bestFit="1" customWidth="1"/>
    <col min="13316" max="13316" width="8.81640625" style="113" bestFit="1" customWidth="1"/>
    <col min="13317" max="13317" width="8.81640625" style="113" customWidth="1"/>
    <col min="13318" max="13318" width="8.54296875" style="113" bestFit="1" customWidth="1"/>
    <col min="13319" max="13319" width="8.81640625" style="113" bestFit="1" customWidth="1"/>
    <col min="13320" max="13320" width="2.453125" style="113" customWidth="1"/>
    <col min="13321" max="13324" width="18.453125" style="113" customWidth="1"/>
    <col min="13325" max="13325" width="4.81640625" style="113" customWidth="1"/>
    <col min="13326" max="13329" width="18.453125" style="113" customWidth="1"/>
    <col min="13330" max="13568" width="11.453125" style="113"/>
    <col min="13569" max="13569" width="1.453125" style="113" customWidth="1"/>
    <col min="13570" max="13570" width="15.81640625" style="113" customWidth="1"/>
    <col min="13571" max="13571" width="49.81640625" style="113" bestFit="1" customWidth="1"/>
    <col min="13572" max="13572" width="8.81640625" style="113" bestFit="1" customWidth="1"/>
    <col min="13573" max="13573" width="8.81640625" style="113" customWidth="1"/>
    <col min="13574" max="13574" width="8.54296875" style="113" bestFit="1" customWidth="1"/>
    <col min="13575" max="13575" width="8.81640625" style="113" bestFit="1" customWidth="1"/>
    <col min="13576" max="13576" width="2.453125" style="113" customWidth="1"/>
    <col min="13577" max="13580" width="18.453125" style="113" customWidth="1"/>
    <col min="13581" max="13581" width="4.81640625" style="113" customWidth="1"/>
    <col min="13582" max="13585" width="18.453125" style="113" customWidth="1"/>
    <col min="13586" max="13824" width="11.453125" style="113"/>
    <col min="13825" max="13825" width="1.453125" style="113" customWidth="1"/>
    <col min="13826" max="13826" width="15.81640625" style="113" customWidth="1"/>
    <col min="13827" max="13827" width="49.81640625" style="113" bestFit="1" customWidth="1"/>
    <col min="13828" max="13828" width="8.81640625" style="113" bestFit="1" customWidth="1"/>
    <col min="13829" max="13829" width="8.81640625" style="113" customWidth="1"/>
    <col min="13830" max="13830" width="8.54296875" style="113" bestFit="1" customWidth="1"/>
    <col min="13831" max="13831" width="8.81640625" style="113" bestFit="1" customWidth="1"/>
    <col min="13832" max="13832" width="2.453125" style="113" customWidth="1"/>
    <col min="13833" max="13836" width="18.453125" style="113" customWidth="1"/>
    <col min="13837" max="13837" width="4.81640625" style="113" customWidth="1"/>
    <col min="13838" max="13841" width="18.453125" style="113" customWidth="1"/>
    <col min="13842" max="14080" width="11.453125" style="113"/>
    <col min="14081" max="14081" width="1.453125" style="113" customWidth="1"/>
    <col min="14082" max="14082" width="15.81640625" style="113" customWidth="1"/>
    <col min="14083" max="14083" width="49.81640625" style="113" bestFit="1" customWidth="1"/>
    <col min="14084" max="14084" width="8.81640625" style="113" bestFit="1" customWidth="1"/>
    <col min="14085" max="14085" width="8.81640625" style="113" customWidth="1"/>
    <col min="14086" max="14086" width="8.54296875" style="113" bestFit="1" customWidth="1"/>
    <col min="14087" max="14087" width="8.81640625" style="113" bestFit="1" customWidth="1"/>
    <col min="14088" max="14088" width="2.453125" style="113" customWidth="1"/>
    <col min="14089" max="14092" width="18.453125" style="113" customWidth="1"/>
    <col min="14093" max="14093" width="4.81640625" style="113" customWidth="1"/>
    <col min="14094" max="14097" width="18.453125" style="113" customWidth="1"/>
    <col min="14098" max="14336" width="11.453125" style="113"/>
    <col min="14337" max="14337" width="1.453125" style="113" customWidth="1"/>
    <col min="14338" max="14338" width="15.81640625" style="113" customWidth="1"/>
    <col min="14339" max="14339" width="49.81640625" style="113" bestFit="1" customWidth="1"/>
    <col min="14340" max="14340" width="8.81640625" style="113" bestFit="1" customWidth="1"/>
    <col min="14341" max="14341" width="8.81640625" style="113" customWidth="1"/>
    <col min="14342" max="14342" width="8.54296875" style="113" bestFit="1" customWidth="1"/>
    <col min="14343" max="14343" width="8.81640625" style="113" bestFit="1" customWidth="1"/>
    <col min="14344" max="14344" width="2.453125" style="113" customWidth="1"/>
    <col min="14345" max="14348" width="18.453125" style="113" customWidth="1"/>
    <col min="14349" max="14349" width="4.81640625" style="113" customWidth="1"/>
    <col min="14350" max="14353" width="18.453125" style="113" customWidth="1"/>
    <col min="14354" max="14592" width="11.453125" style="113"/>
    <col min="14593" max="14593" width="1.453125" style="113" customWidth="1"/>
    <col min="14594" max="14594" width="15.81640625" style="113" customWidth="1"/>
    <col min="14595" max="14595" width="49.81640625" style="113" bestFit="1" customWidth="1"/>
    <col min="14596" max="14596" width="8.81640625" style="113" bestFit="1" customWidth="1"/>
    <col min="14597" max="14597" width="8.81640625" style="113" customWidth="1"/>
    <col min="14598" max="14598" width="8.54296875" style="113" bestFit="1" customWidth="1"/>
    <col min="14599" max="14599" width="8.81640625" style="113" bestFit="1" customWidth="1"/>
    <col min="14600" max="14600" width="2.453125" style="113" customWidth="1"/>
    <col min="14601" max="14604" width="18.453125" style="113" customWidth="1"/>
    <col min="14605" max="14605" width="4.81640625" style="113" customWidth="1"/>
    <col min="14606" max="14609" width="18.453125" style="113" customWidth="1"/>
    <col min="14610" max="14848" width="11.453125" style="113"/>
    <col min="14849" max="14849" width="1.453125" style="113" customWidth="1"/>
    <col min="14850" max="14850" width="15.81640625" style="113" customWidth="1"/>
    <col min="14851" max="14851" width="49.81640625" style="113" bestFit="1" customWidth="1"/>
    <col min="14852" max="14852" width="8.81640625" style="113" bestFit="1" customWidth="1"/>
    <col min="14853" max="14853" width="8.81640625" style="113" customWidth="1"/>
    <col min="14854" max="14854" width="8.54296875" style="113" bestFit="1" customWidth="1"/>
    <col min="14855" max="14855" width="8.81640625" style="113" bestFit="1" customWidth="1"/>
    <col min="14856" max="14856" width="2.453125" style="113" customWidth="1"/>
    <col min="14857" max="14860" width="18.453125" style="113" customWidth="1"/>
    <col min="14861" max="14861" width="4.81640625" style="113" customWidth="1"/>
    <col min="14862" max="14865" width="18.453125" style="113" customWidth="1"/>
    <col min="14866" max="15104" width="11.453125" style="113"/>
    <col min="15105" max="15105" width="1.453125" style="113" customWidth="1"/>
    <col min="15106" max="15106" width="15.81640625" style="113" customWidth="1"/>
    <col min="15107" max="15107" width="49.81640625" style="113" bestFit="1" customWidth="1"/>
    <col min="15108" max="15108" width="8.81640625" style="113" bestFit="1" customWidth="1"/>
    <col min="15109" max="15109" width="8.81640625" style="113" customWidth="1"/>
    <col min="15110" max="15110" width="8.54296875" style="113" bestFit="1" customWidth="1"/>
    <col min="15111" max="15111" width="8.81640625" style="113" bestFit="1" customWidth="1"/>
    <col min="15112" max="15112" width="2.453125" style="113" customWidth="1"/>
    <col min="15113" max="15116" width="18.453125" style="113" customWidth="1"/>
    <col min="15117" max="15117" width="4.81640625" style="113" customWidth="1"/>
    <col min="15118" max="15121" width="18.453125" style="113" customWidth="1"/>
    <col min="15122" max="15360" width="11.453125" style="113"/>
    <col min="15361" max="15361" width="1.453125" style="113" customWidth="1"/>
    <col min="15362" max="15362" width="15.81640625" style="113" customWidth="1"/>
    <col min="15363" max="15363" width="49.81640625" style="113" bestFit="1" customWidth="1"/>
    <col min="15364" max="15364" width="8.81640625" style="113" bestFit="1" customWidth="1"/>
    <col min="15365" max="15365" width="8.81640625" style="113" customWidth="1"/>
    <col min="15366" max="15366" width="8.54296875" style="113" bestFit="1" customWidth="1"/>
    <col min="15367" max="15367" width="8.81640625" style="113" bestFit="1" customWidth="1"/>
    <col min="15368" max="15368" width="2.453125" style="113" customWidth="1"/>
    <col min="15369" max="15372" width="18.453125" style="113" customWidth="1"/>
    <col min="15373" max="15373" width="4.81640625" style="113" customWidth="1"/>
    <col min="15374" max="15377" width="18.453125" style="113" customWidth="1"/>
    <col min="15378" max="15616" width="11.453125" style="113"/>
    <col min="15617" max="15617" width="1.453125" style="113" customWidth="1"/>
    <col min="15618" max="15618" width="15.81640625" style="113" customWidth="1"/>
    <col min="15619" max="15619" width="49.81640625" style="113" bestFit="1" customWidth="1"/>
    <col min="15620" max="15620" width="8.81640625" style="113" bestFit="1" customWidth="1"/>
    <col min="15621" max="15621" width="8.81640625" style="113" customWidth="1"/>
    <col min="15622" max="15622" width="8.54296875" style="113" bestFit="1" customWidth="1"/>
    <col min="15623" max="15623" width="8.81640625" style="113" bestFit="1" customWidth="1"/>
    <col min="15624" max="15624" width="2.453125" style="113" customWidth="1"/>
    <col min="15625" max="15628" width="18.453125" style="113" customWidth="1"/>
    <col min="15629" max="15629" width="4.81640625" style="113" customWidth="1"/>
    <col min="15630" max="15633" width="18.453125" style="113" customWidth="1"/>
    <col min="15634" max="15872" width="11.453125" style="113"/>
    <col min="15873" max="15873" width="1.453125" style="113" customWidth="1"/>
    <col min="15874" max="15874" width="15.81640625" style="113" customWidth="1"/>
    <col min="15875" max="15875" width="49.81640625" style="113" bestFit="1" customWidth="1"/>
    <col min="15876" max="15876" width="8.81640625" style="113" bestFit="1" customWidth="1"/>
    <col min="15877" max="15877" width="8.81640625" style="113" customWidth="1"/>
    <col min="15878" max="15878" width="8.54296875" style="113" bestFit="1" customWidth="1"/>
    <col min="15879" max="15879" width="8.81640625" style="113" bestFit="1" customWidth="1"/>
    <col min="15880" max="15880" width="2.453125" style="113" customWidth="1"/>
    <col min="15881" max="15884" width="18.453125" style="113" customWidth="1"/>
    <col min="15885" max="15885" width="4.81640625" style="113" customWidth="1"/>
    <col min="15886" max="15889" width="18.453125" style="113" customWidth="1"/>
    <col min="15890" max="16128" width="11.453125" style="113"/>
    <col min="16129" max="16129" width="1.453125" style="113" customWidth="1"/>
    <col min="16130" max="16130" width="15.81640625" style="113" customWidth="1"/>
    <col min="16131" max="16131" width="49.81640625" style="113" bestFit="1" customWidth="1"/>
    <col min="16132" max="16132" width="8.81640625" style="113" bestFit="1" customWidth="1"/>
    <col min="16133" max="16133" width="8.81640625" style="113" customWidth="1"/>
    <col min="16134" max="16134" width="8.54296875" style="113" bestFit="1" customWidth="1"/>
    <col min="16135" max="16135" width="8.81640625" style="113" bestFit="1" customWidth="1"/>
    <col min="16136" max="16136" width="2.453125" style="113" customWidth="1"/>
    <col min="16137" max="16140" width="18.453125" style="113" customWidth="1"/>
    <col min="16141" max="16141" width="4.81640625" style="113" customWidth="1"/>
    <col min="16142" max="16145" width="18.453125" style="113" customWidth="1"/>
    <col min="16146" max="16384" width="11.453125" style="113"/>
  </cols>
  <sheetData>
    <row r="1" spans="2:12" ht="13.5" customHeight="1" thickBot="1"/>
    <row r="2" spans="2:12" ht="23.25" customHeight="1">
      <c r="B2" s="456" t="s">
        <v>34</v>
      </c>
      <c r="C2" s="456"/>
      <c r="D2" s="456"/>
      <c r="E2" s="456"/>
      <c r="F2" s="456"/>
      <c r="G2" s="456"/>
      <c r="I2" s="678" t="s">
        <v>80</v>
      </c>
      <c r="J2" s="679"/>
      <c r="K2" s="679"/>
      <c r="L2" s="669"/>
    </row>
    <row r="3" spans="2:12" s="156" customFormat="1" ht="3.75" customHeight="1">
      <c r="I3" s="162"/>
    </row>
    <row r="4" spans="2:12" s="244" customFormat="1" ht="30" customHeight="1" thickBot="1">
      <c r="B4" s="121">
        <f>'PVP VaP - Pyme'!B4</f>
        <v>45658</v>
      </c>
      <c r="C4" s="119" t="s">
        <v>629</v>
      </c>
      <c r="D4" s="449"/>
      <c r="E4" s="449"/>
      <c r="F4" s="449"/>
      <c r="G4" s="449"/>
      <c r="H4" s="243"/>
      <c r="I4" s="312" t="s">
        <v>108</v>
      </c>
      <c r="J4" s="313" t="s">
        <v>109</v>
      </c>
      <c r="K4" s="313" t="s">
        <v>110</v>
      </c>
      <c r="L4" s="313" t="s">
        <v>111</v>
      </c>
    </row>
    <row r="5" spans="2:12" ht="15.75" customHeight="1">
      <c r="B5" s="646" t="s">
        <v>40</v>
      </c>
      <c r="C5" s="794"/>
      <c r="D5" s="450" t="s">
        <v>41</v>
      </c>
      <c r="E5" s="450"/>
      <c r="F5" s="450"/>
      <c r="G5" s="451"/>
      <c r="H5" s="245"/>
      <c r="I5" s="759" t="s">
        <v>197</v>
      </c>
      <c r="J5" s="762" t="s">
        <v>211</v>
      </c>
      <c r="K5" s="658" t="s">
        <v>17</v>
      </c>
      <c r="L5" s="765" t="s">
        <v>212</v>
      </c>
    </row>
    <row r="6" spans="2:12" ht="15.75" customHeight="1">
      <c r="B6" s="795"/>
      <c r="C6" s="796"/>
      <c r="D6" s="452"/>
      <c r="E6" s="452"/>
      <c r="F6" s="452"/>
      <c r="G6" s="453"/>
      <c r="H6" s="246"/>
      <c r="I6" s="760"/>
      <c r="J6" s="818"/>
      <c r="K6" s="820"/>
      <c r="L6" s="766"/>
    </row>
    <row r="7" spans="2:12" ht="15.75" customHeight="1">
      <c r="B7" s="795"/>
      <c r="C7" s="796"/>
      <c r="D7" s="452"/>
      <c r="E7" s="452"/>
      <c r="F7" s="452"/>
      <c r="G7" s="453"/>
      <c r="H7" s="246"/>
      <c r="I7" s="760"/>
      <c r="J7" s="818"/>
      <c r="K7" s="820"/>
      <c r="L7" s="766"/>
    </row>
    <row r="8" spans="2:12" ht="15.75" customHeight="1">
      <c r="B8" s="795"/>
      <c r="C8" s="796"/>
      <c r="D8" s="452"/>
      <c r="E8" s="452"/>
      <c r="F8" s="452"/>
      <c r="G8" s="453"/>
      <c r="H8" s="246"/>
      <c r="I8" s="760"/>
      <c r="J8" s="818"/>
      <c r="K8" s="820"/>
      <c r="L8" s="766"/>
    </row>
    <row r="9" spans="2:12" ht="15.75" customHeight="1">
      <c r="B9" s="795"/>
      <c r="C9" s="796"/>
      <c r="D9" s="452"/>
      <c r="E9" s="452"/>
      <c r="F9" s="452"/>
      <c r="G9" s="453"/>
      <c r="H9" s="246"/>
      <c r="I9" s="760"/>
      <c r="J9" s="818"/>
      <c r="K9" s="820"/>
      <c r="L9" s="766"/>
    </row>
    <row r="10" spans="2:12" ht="15.75" customHeight="1">
      <c r="B10" s="795"/>
      <c r="C10" s="796"/>
      <c r="D10" s="452"/>
      <c r="E10" s="452"/>
      <c r="F10" s="452"/>
      <c r="G10" s="453"/>
      <c r="H10" s="246"/>
      <c r="I10" s="760"/>
      <c r="J10" s="818"/>
      <c r="K10" s="820"/>
      <c r="L10" s="766"/>
    </row>
    <row r="11" spans="2:12" ht="15.75" customHeight="1" thickBot="1">
      <c r="B11" s="795"/>
      <c r="C11" s="796"/>
      <c r="D11" s="454"/>
      <c r="E11" s="454"/>
      <c r="F11" s="454"/>
      <c r="G11" s="455"/>
      <c r="H11" s="246"/>
      <c r="I11" s="761"/>
      <c r="J11" s="819"/>
      <c r="K11" s="739"/>
      <c r="L11" s="767"/>
    </row>
    <row r="12" spans="2:12" ht="30.75" customHeight="1" thickBot="1">
      <c r="B12" s="795"/>
      <c r="C12" s="796"/>
      <c r="D12" s="802" t="s">
        <v>42</v>
      </c>
      <c r="E12" s="803"/>
      <c r="F12" s="803"/>
      <c r="G12" s="804"/>
      <c r="H12" s="247"/>
      <c r="I12" s="307" t="s">
        <v>15</v>
      </c>
      <c r="J12" s="248" t="s">
        <v>15</v>
      </c>
      <c r="K12" s="308" t="s">
        <v>15</v>
      </c>
      <c r="L12" s="308" t="s">
        <v>15</v>
      </c>
    </row>
    <row r="13" spans="2:12" ht="65.25" customHeight="1" thickBot="1">
      <c r="B13" s="795"/>
      <c r="C13" s="796"/>
      <c r="D13" s="754" t="s">
        <v>44</v>
      </c>
      <c r="E13" s="805"/>
      <c r="F13" s="805"/>
      <c r="G13" s="806"/>
      <c r="H13" s="247"/>
      <c r="I13" s="310" t="s">
        <v>81</v>
      </c>
      <c r="J13" s="249" t="s">
        <v>81</v>
      </c>
      <c r="K13" s="311" t="s">
        <v>81</v>
      </c>
      <c r="L13" s="250" t="s">
        <v>81</v>
      </c>
    </row>
    <row r="14" spans="2:12" ht="21" customHeight="1" thickBot="1">
      <c r="B14" s="795"/>
      <c r="C14" s="796"/>
      <c r="D14" s="754" t="s">
        <v>82</v>
      </c>
      <c r="E14" s="807"/>
      <c r="F14" s="807"/>
      <c r="G14" s="808"/>
      <c r="H14" s="251"/>
      <c r="I14" s="252" t="s">
        <v>213</v>
      </c>
      <c r="J14" s="253" t="s">
        <v>213</v>
      </c>
      <c r="K14" s="253" t="s">
        <v>213</v>
      </c>
      <c r="L14" s="254" t="s">
        <v>47</v>
      </c>
    </row>
    <row r="15" spans="2:12" ht="21" customHeight="1" thickBot="1">
      <c r="B15" s="797"/>
      <c r="C15" s="798"/>
      <c r="D15" s="713" t="s">
        <v>51</v>
      </c>
      <c r="E15" s="809"/>
      <c r="F15" s="809"/>
      <c r="G15" s="810"/>
      <c r="H15" s="251"/>
      <c r="I15" s="252" t="s">
        <v>213</v>
      </c>
      <c r="J15" s="253" t="s">
        <v>213</v>
      </c>
      <c r="K15" s="253" t="s">
        <v>213</v>
      </c>
      <c r="L15" s="254" t="s">
        <v>47</v>
      </c>
    </row>
    <row r="16" spans="2:12" ht="21" customHeight="1">
      <c r="B16" s="255"/>
      <c r="C16" s="255"/>
      <c r="D16" s="256"/>
      <c r="E16" s="256"/>
      <c r="F16" s="256"/>
      <c r="G16" s="256"/>
      <c r="H16" s="257"/>
      <c r="I16" s="257"/>
      <c r="J16" s="258"/>
      <c r="K16" s="258"/>
      <c r="L16" s="258"/>
    </row>
    <row r="17" spans="2:18" ht="23.25" customHeight="1" thickBot="1">
      <c r="I17" s="157"/>
      <c r="J17" s="158" t="s">
        <v>208</v>
      </c>
      <c r="K17" s="157"/>
      <c r="L17" s="157"/>
      <c r="N17" s="157"/>
      <c r="O17" s="158" t="s">
        <v>209</v>
      </c>
      <c r="P17" s="157"/>
      <c r="Q17" s="157"/>
    </row>
    <row r="18" spans="2:18" ht="23.25" customHeight="1">
      <c r="B18" s="716" t="s">
        <v>52</v>
      </c>
      <c r="C18" s="827"/>
      <c r="D18" s="827"/>
      <c r="E18" s="827"/>
      <c r="F18" s="827"/>
      <c r="G18" s="828"/>
      <c r="I18" s="634" t="s">
        <v>84</v>
      </c>
      <c r="J18" s="722"/>
      <c r="K18" s="722"/>
      <c r="L18" s="723"/>
      <c r="N18" s="634" t="s">
        <v>84</v>
      </c>
      <c r="O18" s="722"/>
      <c r="P18" s="722"/>
      <c r="Q18" s="723"/>
    </row>
    <row r="19" spans="2:18" ht="3.75" customHeight="1" thickBot="1">
      <c r="B19" s="829"/>
      <c r="C19" s="830"/>
      <c r="D19" s="830"/>
      <c r="E19" s="830"/>
      <c r="F19" s="830"/>
      <c r="G19" s="831"/>
      <c r="I19" s="259"/>
      <c r="J19" s="260"/>
      <c r="K19" s="260"/>
      <c r="L19" s="260"/>
      <c r="N19" s="259"/>
      <c r="O19" s="260"/>
      <c r="P19" s="260"/>
      <c r="Q19" s="260"/>
    </row>
    <row r="20" spans="2:18" ht="33.75" customHeight="1">
      <c r="B20" s="829"/>
      <c r="C20" s="830"/>
      <c r="D20" s="830"/>
      <c r="E20" s="830"/>
      <c r="F20" s="830"/>
      <c r="G20" s="831"/>
      <c r="I20" s="824" t="s">
        <v>86</v>
      </c>
      <c r="J20" s="825"/>
      <c r="K20" s="825"/>
      <c r="L20" s="826"/>
      <c r="N20" s="824" t="s">
        <v>86</v>
      </c>
      <c r="O20" s="825"/>
      <c r="P20" s="825"/>
      <c r="Q20" s="826"/>
    </row>
    <row r="21" spans="2:18" s="150" customFormat="1" ht="3.75" customHeight="1">
      <c r="B21" s="829"/>
      <c r="C21" s="830"/>
      <c r="D21" s="830"/>
      <c r="E21" s="830"/>
      <c r="F21" s="830"/>
      <c r="G21" s="831"/>
      <c r="I21" s="261"/>
      <c r="J21" s="262"/>
      <c r="K21" s="262"/>
      <c r="L21" s="262"/>
      <c r="N21" s="261"/>
      <c r="O21" s="262"/>
      <c r="P21" s="262"/>
      <c r="Q21" s="262"/>
    </row>
    <row r="22" spans="2:18" ht="30" customHeight="1">
      <c r="B22" s="829"/>
      <c r="C22" s="830"/>
      <c r="D22" s="830"/>
      <c r="E22" s="830"/>
      <c r="F22" s="830"/>
      <c r="G22" s="831"/>
      <c r="H22" s="263"/>
      <c r="I22" s="312" t="s">
        <v>108</v>
      </c>
      <c r="J22" s="313" t="s">
        <v>109</v>
      </c>
      <c r="K22" s="313" t="s">
        <v>110</v>
      </c>
      <c r="L22" s="313" t="s">
        <v>111</v>
      </c>
      <c r="N22" s="312" t="s">
        <v>108</v>
      </c>
      <c r="O22" s="313" t="s">
        <v>109</v>
      </c>
      <c r="P22" s="313" t="s">
        <v>110</v>
      </c>
      <c r="Q22" s="313" t="s">
        <v>111</v>
      </c>
    </row>
    <row r="23" spans="2:18" s="156" customFormat="1" ht="3.75" customHeight="1">
      <c r="B23" s="159"/>
      <c r="G23" s="160"/>
      <c r="I23" s="159"/>
      <c r="L23" s="160"/>
      <c r="N23" s="15"/>
      <c r="O23" s="6"/>
      <c r="P23" s="6"/>
      <c r="Q23" s="16"/>
    </row>
    <row r="24" spans="2:18" ht="48.75" customHeight="1">
      <c r="B24" s="226" t="s">
        <v>56</v>
      </c>
      <c r="C24" s="8" t="s">
        <v>57</v>
      </c>
      <c r="D24" s="9" t="s">
        <v>58</v>
      </c>
      <c r="E24" s="101" t="s">
        <v>123</v>
      </c>
      <c r="F24" s="226" t="s">
        <v>59</v>
      </c>
      <c r="G24" s="316"/>
      <c r="H24" s="243"/>
      <c r="I24" s="10" t="s">
        <v>173</v>
      </c>
      <c r="J24" s="10" t="s">
        <v>173</v>
      </c>
      <c r="K24" s="10" t="s">
        <v>173</v>
      </c>
      <c r="L24" s="10" t="s">
        <v>173</v>
      </c>
      <c r="N24" s="10" t="s">
        <v>87</v>
      </c>
      <c r="O24" s="10" t="s">
        <v>87</v>
      </c>
      <c r="P24" s="8" t="s">
        <v>87</v>
      </c>
      <c r="Q24" s="8" t="s">
        <v>87</v>
      </c>
    </row>
    <row r="25" spans="2:18">
      <c r="B25" s="522" t="s">
        <v>60</v>
      </c>
      <c r="C25" s="346" t="s">
        <v>319</v>
      </c>
      <c r="D25" s="523">
        <v>49</v>
      </c>
      <c r="E25" s="536">
        <v>0</v>
      </c>
      <c r="F25" s="540" t="s">
        <v>285</v>
      </c>
      <c r="G25" s="518"/>
      <c r="H25"/>
      <c r="I25" s="527">
        <v>9</v>
      </c>
      <c r="J25" s="527">
        <v>0</v>
      </c>
      <c r="K25" s="538">
        <v>0</v>
      </c>
      <c r="L25" s="538">
        <v>0</v>
      </c>
      <c r="N25" s="265">
        <v>40</v>
      </c>
      <c r="O25" s="265">
        <v>49</v>
      </c>
      <c r="P25" s="265">
        <v>49</v>
      </c>
      <c r="Q25" s="266">
        <v>49</v>
      </c>
      <c r="R25" s="127"/>
    </row>
    <row r="26" spans="2:18">
      <c r="B26" s="524" t="s">
        <v>61</v>
      </c>
      <c r="C26" s="354" t="s">
        <v>200</v>
      </c>
      <c r="D26" s="525">
        <v>66</v>
      </c>
      <c r="E26" s="537">
        <v>0</v>
      </c>
      <c r="F26" s="541" t="s">
        <v>285</v>
      </c>
      <c r="G26" s="314"/>
      <c r="H26"/>
      <c r="I26" s="528">
        <v>19</v>
      </c>
      <c r="J26" s="528">
        <v>0</v>
      </c>
      <c r="K26" s="539">
        <v>0</v>
      </c>
      <c r="L26" s="539">
        <v>0</v>
      </c>
      <c r="M26" s="109"/>
      <c r="N26" s="267">
        <v>47</v>
      </c>
      <c r="O26" s="267">
        <v>66</v>
      </c>
      <c r="P26" s="268">
        <v>66</v>
      </c>
      <c r="Q26" s="268">
        <v>66</v>
      </c>
      <c r="R26" s="127"/>
    </row>
    <row r="27" spans="2:18">
      <c r="B27" s="522" t="s">
        <v>182</v>
      </c>
      <c r="C27" s="346" t="s">
        <v>201</v>
      </c>
      <c r="D27" s="523">
        <v>58</v>
      </c>
      <c r="E27" s="536">
        <v>0</v>
      </c>
      <c r="F27" s="540" t="s">
        <v>285</v>
      </c>
      <c r="G27" s="518"/>
      <c r="H27"/>
      <c r="I27" s="527">
        <v>19</v>
      </c>
      <c r="J27" s="527">
        <v>9</v>
      </c>
      <c r="K27" s="538">
        <v>0</v>
      </c>
      <c r="L27" s="538">
        <v>0</v>
      </c>
      <c r="N27" s="265">
        <v>39</v>
      </c>
      <c r="O27" s="265">
        <v>49</v>
      </c>
      <c r="P27" s="266">
        <v>58</v>
      </c>
      <c r="Q27" s="266">
        <v>58</v>
      </c>
      <c r="R27" s="127"/>
    </row>
    <row r="28" spans="2:18">
      <c r="B28" s="524" t="s">
        <v>298</v>
      </c>
      <c r="C28" s="354" t="s">
        <v>431</v>
      </c>
      <c r="D28" s="525">
        <v>66</v>
      </c>
      <c r="E28" s="537">
        <v>0</v>
      </c>
      <c r="F28" s="541" t="s">
        <v>285</v>
      </c>
      <c r="G28" s="314"/>
      <c r="H28"/>
      <c r="I28" s="528">
        <v>9</v>
      </c>
      <c r="J28" s="528">
        <v>0</v>
      </c>
      <c r="K28" s="539">
        <v>0</v>
      </c>
      <c r="L28" s="539">
        <v>0</v>
      </c>
      <c r="M28" s="109"/>
      <c r="N28" s="267">
        <v>57</v>
      </c>
      <c r="O28" s="267">
        <v>66</v>
      </c>
      <c r="P28" s="268">
        <v>66</v>
      </c>
      <c r="Q28" s="268">
        <v>66</v>
      </c>
      <c r="R28" s="127"/>
    </row>
    <row r="29" spans="2:18">
      <c r="B29" s="522" t="s">
        <v>298</v>
      </c>
      <c r="C29" s="346" t="s">
        <v>299</v>
      </c>
      <c r="D29" s="523">
        <v>244</v>
      </c>
      <c r="E29" s="536">
        <v>0</v>
      </c>
      <c r="F29" s="540" t="s">
        <v>285</v>
      </c>
      <c r="G29" s="518"/>
      <c r="H29"/>
      <c r="I29" s="527">
        <v>169</v>
      </c>
      <c r="J29" s="527">
        <v>159</v>
      </c>
      <c r="K29" s="538">
        <v>149</v>
      </c>
      <c r="L29" s="538">
        <v>129</v>
      </c>
      <c r="N29" s="265">
        <v>38</v>
      </c>
      <c r="O29" s="265">
        <v>43</v>
      </c>
      <c r="P29" s="266">
        <v>48</v>
      </c>
      <c r="Q29" s="266">
        <v>58</v>
      </c>
      <c r="R29" s="127"/>
    </row>
    <row r="30" spans="2:18">
      <c r="B30" s="524" t="s">
        <v>298</v>
      </c>
      <c r="C30" s="354" t="s">
        <v>300</v>
      </c>
      <c r="D30" s="525">
        <v>200</v>
      </c>
      <c r="E30" s="537">
        <v>0</v>
      </c>
      <c r="F30" s="541" t="s">
        <v>285</v>
      </c>
      <c r="G30" s="314"/>
      <c r="H30"/>
      <c r="I30" s="528">
        <v>149</v>
      </c>
      <c r="J30" s="528">
        <v>139</v>
      </c>
      <c r="K30" s="539">
        <v>129</v>
      </c>
      <c r="L30" s="539">
        <v>109</v>
      </c>
      <c r="M30" s="109"/>
      <c r="N30" s="267">
        <v>26</v>
      </c>
      <c r="O30" s="267">
        <v>31</v>
      </c>
      <c r="P30" s="268">
        <v>36</v>
      </c>
      <c r="Q30" s="268">
        <v>46</v>
      </c>
      <c r="R30" s="127"/>
    </row>
    <row r="31" spans="2:18">
      <c r="B31" s="522" t="s">
        <v>607</v>
      </c>
      <c r="C31" s="346" t="s">
        <v>608</v>
      </c>
      <c r="D31" s="523">
        <v>207</v>
      </c>
      <c r="E31" s="536">
        <v>0</v>
      </c>
      <c r="F31" s="540" t="s">
        <v>285</v>
      </c>
      <c r="G31" s="518"/>
      <c r="H31"/>
      <c r="I31" s="527">
        <v>129</v>
      </c>
      <c r="J31" s="527">
        <v>119</v>
      </c>
      <c r="K31" s="538">
        <v>109</v>
      </c>
      <c r="L31" s="538">
        <v>79</v>
      </c>
      <c r="N31" s="265">
        <v>39</v>
      </c>
      <c r="O31" s="265">
        <v>44</v>
      </c>
      <c r="P31" s="266">
        <v>49</v>
      </c>
      <c r="Q31" s="266">
        <v>64</v>
      </c>
      <c r="R31" s="127"/>
    </row>
    <row r="32" spans="2:18">
      <c r="B32" s="524" t="s">
        <v>61</v>
      </c>
      <c r="C32" s="354" t="s">
        <v>618</v>
      </c>
      <c r="D32" s="525">
        <v>248</v>
      </c>
      <c r="E32" s="537">
        <v>0</v>
      </c>
      <c r="F32" s="541" t="s">
        <v>285</v>
      </c>
      <c r="G32" s="314"/>
      <c r="H32"/>
      <c r="I32" s="528">
        <v>79</v>
      </c>
      <c r="J32" s="528">
        <v>69</v>
      </c>
      <c r="K32" s="539">
        <v>59</v>
      </c>
      <c r="L32" s="539">
        <v>39</v>
      </c>
      <c r="M32" s="109"/>
      <c r="N32" s="267">
        <v>85</v>
      </c>
      <c r="O32" s="267">
        <v>90</v>
      </c>
      <c r="P32" s="268">
        <v>95</v>
      </c>
      <c r="Q32" s="268">
        <v>105</v>
      </c>
      <c r="R32" s="127"/>
    </row>
    <row r="33" spans="2:18">
      <c r="B33" s="522" t="s">
        <v>65</v>
      </c>
      <c r="C33" s="346" t="s">
        <v>491</v>
      </c>
      <c r="D33" s="523">
        <v>182</v>
      </c>
      <c r="E33" s="536">
        <v>3.75</v>
      </c>
      <c r="F33" s="540" t="s">
        <v>191</v>
      </c>
      <c r="G33" s="518"/>
      <c r="H33"/>
      <c r="I33" s="527">
        <v>109</v>
      </c>
      <c r="J33" s="527">
        <v>99</v>
      </c>
      <c r="K33" s="538">
        <v>89</v>
      </c>
      <c r="L33" s="538">
        <v>69</v>
      </c>
      <c r="N33" s="265">
        <v>37</v>
      </c>
      <c r="O33" s="265">
        <v>42</v>
      </c>
      <c r="P33" s="266">
        <v>47</v>
      </c>
      <c r="Q33" s="266">
        <v>57</v>
      </c>
      <c r="R33" s="127"/>
    </row>
    <row r="34" spans="2:18" ht="13" thickBot="1">
      <c r="B34" s="524" t="s">
        <v>181</v>
      </c>
      <c r="C34" s="354" t="s">
        <v>560</v>
      </c>
      <c r="D34" s="525">
        <v>167</v>
      </c>
      <c r="E34" s="537">
        <v>3.75</v>
      </c>
      <c r="F34" s="541" t="s">
        <v>191</v>
      </c>
      <c r="G34" s="314"/>
      <c r="H34"/>
      <c r="I34" s="528">
        <v>79</v>
      </c>
      <c r="J34" s="528">
        <v>69</v>
      </c>
      <c r="K34" s="539">
        <v>59</v>
      </c>
      <c r="L34" s="539">
        <v>39</v>
      </c>
      <c r="M34" s="109"/>
      <c r="N34" s="267">
        <v>44</v>
      </c>
      <c r="O34" s="267">
        <v>49</v>
      </c>
      <c r="P34" s="268">
        <v>54</v>
      </c>
      <c r="Q34" s="268">
        <v>64</v>
      </c>
      <c r="R34" s="127"/>
    </row>
    <row r="35" spans="2:18">
      <c r="B35" s="521"/>
      <c r="C35" s="521"/>
      <c r="D35" s="521"/>
      <c r="E35" s="521"/>
      <c r="F35" s="521"/>
      <c r="G35" s="521"/>
      <c r="H35"/>
      <c r="I35" s="521"/>
      <c r="J35" s="521"/>
      <c r="K35" s="521"/>
      <c r="L35" s="521"/>
      <c r="M35" s="150"/>
      <c r="N35" s="521"/>
      <c r="O35" s="521"/>
      <c r="P35" s="521"/>
      <c r="Q35" s="521"/>
      <c r="R35" s="127"/>
    </row>
    <row r="36" spans="2:18">
      <c r="H36" s="113"/>
      <c r="R36" s="127"/>
    </row>
    <row r="37" spans="2:18">
      <c r="H37"/>
      <c r="R37" s="127"/>
    </row>
    <row r="38" spans="2:18">
      <c r="H38"/>
      <c r="R38" s="127"/>
    </row>
    <row r="39" spans="2:18">
      <c r="H39"/>
      <c r="R39" s="127"/>
    </row>
    <row r="40" spans="2:18">
      <c r="H40"/>
    </row>
    <row r="41" spans="2:18">
      <c r="H41"/>
    </row>
    <row r="42" spans="2:18">
      <c r="H42"/>
    </row>
    <row r="43" spans="2:18">
      <c r="H43"/>
    </row>
    <row r="44" spans="2:18">
      <c r="H44"/>
    </row>
    <row r="45" spans="2:18">
      <c r="H45" s="6"/>
    </row>
    <row r="46" spans="2:18">
      <c r="H46" s="6"/>
    </row>
    <row r="47" spans="2:18">
      <c r="H47"/>
    </row>
    <row r="48" spans="2:18">
      <c r="H48"/>
    </row>
    <row r="49" spans="8:8">
      <c r="H49"/>
    </row>
    <row r="50" spans="8:8">
      <c r="H50"/>
    </row>
    <row r="51" spans="8:8">
      <c r="H51"/>
    </row>
    <row r="52" spans="8:8">
      <c r="H52"/>
    </row>
    <row r="53" spans="8:8">
      <c r="H53"/>
    </row>
    <row r="54" spans="8:8">
      <c r="H54"/>
    </row>
    <row r="55" spans="8:8">
      <c r="H55"/>
    </row>
    <row r="56" spans="8:8">
      <c r="H56"/>
    </row>
    <row r="57" spans="8:8">
      <c r="H57"/>
    </row>
    <row r="58" spans="8:8">
      <c r="H58"/>
    </row>
    <row r="59" spans="8:8">
      <c r="H59"/>
    </row>
  </sheetData>
  <sheetProtection algorithmName="SHA-512" hashValue="2h+Rg1w8VYL8PR9wlR8h9Hnm4K/4Z5Wsu4FeTnUIyce9GwR/sCuJfpa+KPV6TOwqQ+MpP4et96z/rJVcHNhK3A==" saltValue="blnzyN0Jw1nreug12KKvMA==" spinCount="100000" sheet="1" objects="1" scenarios="1"/>
  <autoFilter ref="B24:C24" xr:uid="{00000000-0009-0000-0000-00000A000000}"/>
  <mergeCells count="15">
    <mergeCell ref="N18:Q18"/>
    <mergeCell ref="I20:L20"/>
    <mergeCell ref="N20:Q20"/>
    <mergeCell ref="I18:L18"/>
    <mergeCell ref="B18:G22"/>
    <mergeCell ref="I2:L2"/>
    <mergeCell ref="I5:I11"/>
    <mergeCell ref="J5:J11"/>
    <mergeCell ref="K5:K11"/>
    <mergeCell ref="L5:L11"/>
    <mergeCell ref="B5:C15"/>
    <mergeCell ref="D12:G12"/>
    <mergeCell ref="D13:G13"/>
    <mergeCell ref="D14:G14"/>
    <mergeCell ref="D15:G15"/>
  </mergeCells>
  <conditionalFormatting sqref="S25:V59">
    <cfRule type="cellIs" dxfId="20" priority="1" stopIfTrue="1" operator="lessThan">
      <formula>0</formula>
    </cfRule>
    <cfRule type="cellIs" dxfId="19" priority="2" stopIfTrue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Footer>&amp;C&amp;1#&amp;"Calibri"&amp;8&amp;KED7D31Orange Restricted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/>
  <dimension ref="A1:AA142"/>
  <sheetViews>
    <sheetView showGridLines="0" topLeftCell="A117" zoomScale="80" zoomScaleNormal="80" workbookViewId="0">
      <selection activeCell="A127" sqref="A127"/>
    </sheetView>
  </sheetViews>
  <sheetFormatPr baseColWidth="10" defaultColWidth="11.453125" defaultRowHeight="12.5"/>
  <cols>
    <col min="1" max="1" width="50.90625" style="67" customWidth="1"/>
    <col min="2" max="2" width="21.81640625" style="67" customWidth="1"/>
    <col min="3" max="3" width="11.453125" style="67"/>
    <col min="4" max="4" width="12.1796875" style="67" customWidth="1"/>
    <col min="5" max="5" width="15.08984375" style="67" customWidth="1"/>
    <col min="6" max="6" width="15.453125" style="67" customWidth="1"/>
    <col min="7" max="7" width="25.81640625" style="67" customWidth="1"/>
    <col min="8" max="8" width="11.453125" style="67"/>
    <col min="9" max="9" width="13" style="67" customWidth="1"/>
    <col min="10" max="10" width="14.453125" style="67" customWidth="1"/>
    <col min="11" max="11" width="11.453125" style="67"/>
    <col min="12" max="12" width="7.54296875" style="67" customWidth="1"/>
    <col min="13" max="13" width="23.81640625" style="67" customWidth="1"/>
    <col min="14" max="14" width="12.81640625" style="67" bestFit="1" customWidth="1"/>
    <col min="15" max="15" width="68.1796875" style="67" customWidth="1"/>
    <col min="16" max="16" width="29.1796875" style="67" bestFit="1" customWidth="1"/>
    <col min="17" max="17" width="20.453125" style="67" customWidth="1"/>
    <col min="18" max="18" width="20.1796875" style="67" bestFit="1" customWidth="1"/>
    <col min="19" max="19" width="55.1796875" style="67" bestFit="1" customWidth="1"/>
    <col min="20" max="20" width="13.54296875" style="67" bestFit="1" customWidth="1"/>
    <col min="21" max="21" width="26.453125" style="67" customWidth="1"/>
    <col min="22" max="22" width="15.1796875" style="67" bestFit="1" customWidth="1"/>
    <col min="23" max="23" width="12.1796875" style="67" bestFit="1" customWidth="1"/>
    <col min="24" max="24" width="6" style="67" bestFit="1" customWidth="1"/>
    <col min="25" max="25" width="17.1796875" style="67" bestFit="1" customWidth="1"/>
    <col min="26" max="26" width="11.453125" style="67"/>
    <col min="27" max="27" width="15.81640625" style="67" bestFit="1" customWidth="1"/>
    <col min="28" max="16384" width="11.453125" style="67"/>
  </cols>
  <sheetData>
    <row r="1" spans="1:27" s="77" customFormat="1" ht="27.75" customHeight="1">
      <c r="A1" s="76" t="s">
        <v>22</v>
      </c>
      <c r="B1" s="169"/>
      <c r="C1" s="169"/>
      <c r="D1" s="169"/>
      <c r="E1" s="169"/>
      <c r="F1" s="169"/>
      <c r="G1" s="169"/>
      <c r="P1" s="76" t="s">
        <v>90</v>
      </c>
      <c r="S1" s="76" t="s">
        <v>121</v>
      </c>
    </row>
    <row r="2" spans="1:27" s="77" customFormat="1" ht="28.5" customHeight="1">
      <c r="A2" s="169"/>
      <c r="B2" s="164"/>
      <c r="C2" s="164"/>
      <c r="D2" s="164"/>
      <c r="E2" s="164"/>
      <c r="F2" s="164"/>
      <c r="G2" s="164"/>
      <c r="J2" s="512" t="s">
        <v>552</v>
      </c>
      <c r="M2" s="839" t="s">
        <v>27</v>
      </c>
      <c r="N2" s="839"/>
      <c r="P2" s="78" t="s">
        <v>14</v>
      </c>
      <c r="Q2" s="79" t="s">
        <v>89</v>
      </c>
    </row>
    <row r="3" spans="1:27" ht="13">
      <c r="A3" s="170" t="s">
        <v>223</v>
      </c>
      <c r="B3" s="835" t="s">
        <v>224</v>
      </c>
      <c r="C3" s="835"/>
      <c r="D3" s="835"/>
      <c r="E3" s="835" t="s">
        <v>225</v>
      </c>
      <c r="F3" s="835"/>
      <c r="G3" s="832" t="s">
        <v>21</v>
      </c>
      <c r="H3" s="832" t="s">
        <v>355</v>
      </c>
      <c r="I3" s="832" t="s">
        <v>353</v>
      </c>
      <c r="J3" s="832" t="s">
        <v>21</v>
      </c>
      <c r="L3" s="68"/>
      <c r="M3" s="80" t="s">
        <v>24</v>
      </c>
      <c r="N3" s="81" t="s">
        <v>20</v>
      </c>
      <c r="O3" s="68"/>
      <c r="P3" s="94" t="s">
        <v>321</v>
      </c>
      <c r="Q3" s="82" t="s">
        <v>91</v>
      </c>
      <c r="R3" s="68"/>
      <c r="S3" s="83" t="s">
        <v>14</v>
      </c>
      <c r="T3" s="83" t="s">
        <v>19</v>
      </c>
      <c r="U3" s="84" t="s">
        <v>23</v>
      </c>
      <c r="V3" s="84" t="s">
        <v>24</v>
      </c>
      <c r="W3" s="85" t="s">
        <v>92</v>
      </c>
      <c r="X3" s="85" t="s">
        <v>95</v>
      </c>
      <c r="Y3" s="85" t="s">
        <v>114</v>
      </c>
      <c r="Z3" s="85" t="s">
        <v>219</v>
      </c>
      <c r="AA3" s="85" t="s">
        <v>217</v>
      </c>
    </row>
    <row r="4" spans="1:27" ht="22.5">
      <c r="A4" s="171"/>
      <c r="B4" s="835" t="s">
        <v>226</v>
      </c>
      <c r="C4" s="835"/>
      <c r="D4" s="835"/>
      <c r="E4" s="835" t="s">
        <v>227</v>
      </c>
      <c r="F4" s="835" t="s">
        <v>228</v>
      </c>
      <c r="G4" s="832"/>
      <c r="H4" s="832"/>
      <c r="I4" s="832"/>
      <c r="J4" s="832"/>
      <c r="M4" s="89" t="s">
        <v>25</v>
      </c>
      <c r="N4" s="86">
        <v>10</v>
      </c>
      <c r="P4" s="94" t="s">
        <v>322</v>
      </c>
      <c r="Q4" s="82" t="s">
        <v>91</v>
      </c>
      <c r="S4" s="88" t="s">
        <v>321</v>
      </c>
      <c r="T4" s="87" t="s">
        <v>70</v>
      </c>
      <c r="U4" s="100" t="s">
        <v>316</v>
      </c>
      <c r="V4" s="90" t="s">
        <v>25</v>
      </c>
      <c r="W4" s="91" t="s">
        <v>93</v>
      </c>
      <c r="X4" s="91" t="s">
        <v>1</v>
      </c>
      <c r="Y4" s="91" t="s">
        <v>238</v>
      </c>
      <c r="Z4" s="82" t="s">
        <v>220</v>
      </c>
      <c r="AA4" s="87" t="s">
        <v>239</v>
      </c>
    </row>
    <row r="5" spans="1:27" ht="14">
      <c r="A5" s="172" t="s">
        <v>229</v>
      </c>
      <c r="B5" s="173">
        <v>20</v>
      </c>
      <c r="C5" s="173">
        <v>40</v>
      </c>
      <c r="D5" s="173" t="s">
        <v>230</v>
      </c>
      <c r="E5" s="835"/>
      <c r="F5" s="835"/>
      <c r="G5" s="832"/>
      <c r="H5" s="832"/>
      <c r="I5" s="832"/>
      <c r="J5" s="832"/>
      <c r="M5" s="93" t="s">
        <v>26</v>
      </c>
      <c r="N5" s="92">
        <v>15</v>
      </c>
      <c r="P5" s="94" t="s">
        <v>104</v>
      </c>
      <c r="Q5" s="82" t="s">
        <v>91</v>
      </c>
      <c r="S5" s="88" t="s">
        <v>322</v>
      </c>
      <c r="T5" s="87" t="s">
        <v>71</v>
      </c>
      <c r="U5" s="174" t="s">
        <v>312</v>
      </c>
      <c r="V5" s="95" t="s">
        <v>26</v>
      </c>
      <c r="W5" s="95" t="s">
        <v>94</v>
      </c>
      <c r="X5" s="91" t="s">
        <v>2</v>
      </c>
      <c r="Y5" s="91" t="s">
        <v>205</v>
      </c>
      <c r="Z5" s="82" t="s">
        <v>222</v>
      </c>
      <c r="AA5" s="87" t="s">
        <v>240</v>
      </c>
    </row>
    <row r="6" spans="1:27" ht="14.25" customHeight="1">
      <c r="A6" s="174" t="s">
        <v>316</v>
      </c>
      <c r="B6" s="364">
        <v>0</v>
      </c>
      <c r="C6" s="364">
        <v>0</v>
      </c>
      <c r="D6" s="364">
        <v>0</v>
      </c>
      <c r="E6" s="176">
        <v>0</v>
      </c>
      <c r="F6" s="176">
        <v>30</v>
      </c>
      <c r="G6" s="175">
        <v>10</v>
      </c>
      <c r="H6" s="375">
        <v>4</v>
      </c>
      <c r="I6" s="176">
        <f>H6*$I$13</f>
        <v>12</v>
      </c>
      <c r="J6" s="511">
        <v>15</v>
      </c>
      <c r="M6" s="96"/>
      <c r="N6" s="96"/>
      <c r="P6" s="97" t="s">
        <v>153</v>
      </c>
      <c r="Q6" s="82" t="s">
        <v>5</v>
      </c>
      <c r="S6" s="88" t="s">
        <v>104</v>
      </c>
      <c r="U6" s="174" t="s">
        <v>313</v>
      </c>
      <c r="Y6" s="91" t="s">
        <v>206</v>
      </c>
      <c r="Z6" s="82" t="s">
        <v>221</v>
      </c>
      <c r="AA6" s="87" t="s">
        <v>241</v>
      </c>
    </row>
    <row r="7" spans="1:27" ht="15.5">
      <c r="A7" s="174" t="s">
        <v>312</v>
      </c>
      <c r="B7" s="365">
        <v>15</v>
      </c>
      <c r="C7" s="365">
        <v>15</v>
      </c>
      <c r="D7" s="365">
        <v>15</v>
      </c>
      <c r="E7" s="175">
        <v>0</v>
      </c>
      <c r="F7" s="175">
        <v>30</v>
      </c>
      <c r="G7" s="175">
        <v>10</v>
      </c>
      <c r="H7" s="375">
        <v>9</v>
      </c>
      <c r="I7" s="175">
        <f t="shared" ref="I7:I11" si="0">H7*$I$13</f>
        <v>27</v>
      </c>
      <c r="J7" s="511">
        <v>15</v>
      </c>
      <c r="M7" s="96"/>
      <c r="N7" s="96"/>
      <c r="P7" s="97" t="s">
        <v>117</v>
      </c>
      <c r="Q7" s="82" t="s">
        <v>5</v>
      </c>
      <c r="S7" s="88" t="s">
        <v>184</v>
      </c>
      <c r="U7" s="174" t="s">
        <v>314</v>
      </c>
      <c r="AA7" s="87" t="s">
        <v>242</v>
      </c>
    </row>
    <row r="8" spans="1:27" ht="15.5">
      <c r="A8" s="363" t="s">
        <v>313</v>
      </c>
      <c r="B8" s="365">
        <v>60</v>
      </c>
      <c r="C8" s="365">
        <v>60</v>
      </c>
      <c r="D8" s="365">
        <v>60</v>
      </c>
      <c r="E8" s="175">
        <v>0</v>
      </c>
      <c r="F8" s="175">
        <v>30</v>
      </c>
      <c r="G8" s="175">
        <v>15</v>
      </c>
      <c r="H8" s="375">
        <v>11</v>
      </c>
      <c r="I8" s="175">
        <f t="shared" si="0"/>
        <v>33</v>
      </c>
      <c r="J8" s="511">
        <v>20</v>
      </c>
      <c r="M8" s="321" t="s">
        <v>327</v>
      </c>
      <c r="N8" s="321" t="s">
        <v>20</v>
      </c>
      <c r="P8" s="97" t="s">
        <v>17</v>
      </c>
      <c r="Q8" s="82" t="s">
        <v>5</v>
      </c>
      <c r="S8" s="98" t="s">
        <v>153</v>
      </c>
      <c r="U8" s="174" t="s">
        <v>315</v>
      </c>
      <c r="AA8" s="87" t="s">
        <v>243</v>
      </c>
    </row>
    <row r="9" spans="1:27" ht="15.5">
      <c r="A9" s="363" t="s">
        <v>314</v>
      </c>
      <c r="B9" s="365">
        <v>115</v>
      </c>
      <c r="C9" s="365">
        <v>115</v>
      </c>
      <c r="D9" s="365">
        <v>115</v>
      </c>
      <c r="E9" s="175">
        <v>0</v>
      </c>
      <c r="F9" s="175">
        <v>40</v>
      </c>
      <c r="G9" s="175">
        <v>15</v>
      </c>
      <c r="H9" s="375">
        <v>15</v>
      </c>
      <c r="I9" s="175">
        <f t="shared" si="0"/>
        <v>45</v>
      </c>
      <c r="J9" s="511">
        <v>20</v>
      </c>
      <c r="M9" s="322" t="s">
        <v>324</v>
      </c>
      <c r="N9" s="322">
        <v>0</v>
      </c>
      <c r="P9" s="99" t="s">
        <v>107</v>
      </c>
      <c r="Q9" s="92" t="s">
        <v>5</v>
      </c>
      <c r="S9" s="98" t="s">
        <v>117</v>
      </c>
      <c r="U9" s="174" t="s">
        <v>320</v>
      </c>
      <c r="AA9" s="87" t="s">
        <v>216</v>
      </c>
    </row>
    <row r="10" spans="1:27" ht="15.5">
      <c r="A10" s="363" t="s">
        <v>315</v>
      </c>
      <c r="B10" s="365">
        <v>165</v>
      </c>
      <c r="C10" s="365">
        <v>165</v>
      </c>
      <c r="D10" s="365">
        <v>165</v>
      </c>
      <c r="E10" s="175">
        <v>0</v>
      </c>
      <c r="F10" s="175">
        <v>40</v>
      </c>
      <c r="G10" s="175">
        <v>20</v>
      </c>
      <c r="H10" s="375">
        <v>20</v>
      </c>
      <c r="I10" s="175">
        <f t="shared" si="0"/>
        <v>60</v>
      </c>
      <c r="J10" s="511">
        <v>25</v>
      </c>
      <c r="M10" s="323" t="s">
        <v>325</v>
      </c>
      <c r="N10" s="323">
        <v>0</v>
      </c>
      <c r="P10" s="116" t="s">
        <v>177</v>
      </c>
      <c r="Q10" s="117" t="s">
        <v>5</v>
      </c>
      <c r="S10" s="98" t="s">
        <v>17</v>
      </c>
      <c r="U10" s="242"/>
      <c r="AA10" s="87" t="s">
        <v>218</v>
      </c>
    </row>
    <row r="11" spans="1:27" ht="15.5">
      <c r="A11" s="363" t="s">
        <v>320</v>
      </c>
      <c r="B11" s="365">
        <v>240</v>
      </c>
      <c r="C11" s="365">
        <v>240</v>
      </c>
      <c r="D11" s="365">
        <v>240</v>
      </c>
      <c r="E11" s="175">
        <v>0</v>
      </c>
      <c r="F11" s="175">
        <v>40</v>
      </c>
      <c r="G11" s="175">
        <v>20</v>
      </c>
      <c r="H11" s="375">
        <v>31</v>
      </c>
      <c r="I11" s="175">
        <f t="shared" si="0"/>
        <v>93</v>
      </c>
      <c r="J11" s="511">
        <v>25</v>
      </c>
      <c r="M11" s="164" t="s">
        <v>326</v>
      </c>
      <c r="N11" s="67">
        <v>0</v>
      </c>
      <c r="P11" s="97" t="s">
        <v>184</v>
      </c>
      <c r="Q11" s="82" t="s">
        <v>91</v>
      </c>
      <c r="S11" s="98" t="s">
        <v>107</v>
      </c>
      <c r="U11" s="242"/>
      <c r="AA11" s="87" t="s">
        <v>244</v>
      </c>
    </row>
    <row r="12" spans="1:27" ht="14">
      <c r="A12" s="174"/>
      <c r="B12" s="177"/>
      <c r="C12" s="177"/>
      <c r="D12" s="177"/>
      <c r="E12" s="177"/>
      <c r="F12" s="177"/>
      <c r="G12" s="177"/>
      <c r="P12" s="120" t="s">
        <v>187</v>
      </c>
      <c r="Q12" s="82" t="s">
        <v>5</v>
      </c>
      <c r="S12" s="98" t="s">
        <v>177</v>
      </c>
      <c r="U12" s="242"/>
      <c r="AA12" s="87" t="s">
        <v>245</v>
      </c>
    </row>
    <row r="13" spans="1:27" ht="14">
      <c r="A13" s="174"/>
      <c r="B13" s="177"/>
      <c r="C13" s="177"/>
      <c r="D13" s="177"/>
      <c r="E13" s="177"/>
      <c r="F13" s="177"/>
      <c r="G13" s="177"/>
      <c r="I13" s="338">
        <f>IF('Configurador Operaciones'!$C$9="NO",3,5)*0+3</f>
        <v>3</v>
      </c>
      <c r="J13" s="373"/>
      <c r="P13" s="116" t="s">
        <v>188</v>
      </c>
      <c r="Q13" s="117" t="s">
        <v>5</v>
      </c>
      <c r="S13" s="120" t="s">
        <v>187</v>
      </c>
      <c r="U13" s="242"/>
      <c r="AA13" s="87" t="s">
        <v>246</v>
      </c>
    </row>
    <row r="14" spans="1:27" ht="12.75" customHeight="1">
      <c r="A14" s="164"/>
      <c r="B14" s="164"/>
      <c r="C14" s="164"/>
      <c r="D14" s="164"/>
      <c r="E14" s="164"/>
      <c r="F14" s="164"/>
      <c r="G14" s="164" t="s">
        <v>323</v>
      </c>
      <c r="J14" s="512" t="s">
        <v>552</v>
      </c>
      <c r="M14" s="839" t="s">
        <v>389</v>
      </c>
      <c r="N14" s="839"/>
      <c r="P14" s="116" t="s">
        <v>215</v>
      </c>
      <c r="Q14" s="117" t="s">
        <v>5</v>
      </c>
      <c r="S14" s="120" t="s">
        <v>188</v>
      </c>
      <c r="U14" s="242"/>
    </row>
    <row r="15" spans="1:27" ht="12.75" customHeight="1">
      <c r="A15" s="170" t="s">
        <v>231</v>
      </c>
      <c r="B15" s="833" t="s">
        <v>224</v>
      </c>
      <c r="C15" s="848"/>
      <c r="D15" s="834"/>
      <c r="E15" s="833" t="s">
        <v>225</v>
      </c>
      <c r="F15" s="834"/>
      <c r="G15" s="836" t="s">
        <v>21</v>
      </c>
      <c r="H15" s="832" t="s">
        <v>355</v>
      </c>
      <c r="I15" s="832" t="s">
        <v>353</v>
      </c>
      <c r="J15" s="832" t="s">
        <v>21</v>
      </c>
      <c r="P15" s="97" t="s">
        <v>252</v>
      </c>
      <c r="Q15" s="82" t="s">
        <v>247</v>
      </c>
      <c r="S15" s="120" t="s">
        <v>215</v>
      </c>
      <c r="U15" s="242"/>
    </row>
    <row r="16" spans="1:27" ht="23.25" customHeight="1">
      <c r="A16" s="171"/>
      <c r="B16" s="833" t="s">
        <v>226</v>
      </c>
      <c r="C16" s="848"/>
      <c r="D16" s="834"/>
      <c r="E16" s="836" t="s">
        <v>227</v>
      </c>
      <c r="F16" s="836" t="s">
        <v>228</v>
      </c>
      <c r="G16" s="840"/>
      <c r="H16" s="832"/>
      <c r="I16" s="832"/>
      <c r="J16" s="832"/>
      <c r="M16" s="321" t="s">
        <v>327</v>
      </c>
      <c r="N16" s="321" t="s">
        <v>20</v>
      </c>
      <c r="O16" s="164" t="s">
        <v>402</v>
      </c>
      <c r="P16" s="97" t="s">
        <v>253</v>
      </c>
      <c r="Q16" s="82" t="s">
        <v>247</v>
      </c>
      <c r="U16" s="242"/>
    </row>
    <row r="17" spans="1:21" ht="12.75" customHeight="1">
      <c r="A17" s="172" t="s">
        <v>229</v>
      </c>
      <c r="B17" s="194">
        <v>20</v>
      </c>
      <c r="C17" s="194">
        <v>40</v>
      </c>
      <c r="D17" s="194" t="s">
        <v>230</v>
      </c>
      <c r="E17" s="837"/>
      <c r="F17" s="837"/>
      <c r="G17" s="837"/>
      <c r="H17" s="832"/>
      <c r="I17" s="832"/>
      <c r="J17" s="832"/>
      <c r="M17" s="398" t="s">
        <v>392</v>
      </c>
      <c r="N17" s="595">
        <f>6*24</f>
        <v>144</v>
      </c>
      <c r="O17" s="398" t="s">
        <v>403</v>
      </c>
      <c r="P17" s="97" t="s">
        <v>254</v>
      </c>
      <c r="Q17" s="82" t="s">
        <v>247</v>
      </c>
      <c r="S17" s="83" t="s">
        <v>14</v>
      </c>
      <c r="U17" s="242"/>
    </row>
    <row r="18" spans="1:21" ht="23.25" customHeight="1">
      <c r="A18" s="174" t="s">
        <v>316</v>
      </c>
      <c r="B18" s="368">
        <v>0</v>
      </c>
      <c r="C18" s="368">
        <v>0</v>
      </c>
      <c r="D18" s="368">
        <v>0</v>
      </c>
      <c r="E18" s="176">
        <v>0</v>
      </c>
      <c r="F18" s="176">
        <v>30</v>
      </c>
      <c r="G18" s="175">
        <v>10</v>
      </c>
      <c r="H18" s="337">
        <v>3</v>
      </c>
      <c r="I18" s="175">
        <f>H18*$I$13</f>
        <v>9</v>
      </c>
      <c r="J18" s="511">
        <v>15</v>
      </c>
      <c r="M18" s="398" t="s">
        <v>393</v>
      </c>
      <c r="N18" s="595">
        <f>5*24*75%</f>
        <v>90</v>
      </c>
      <c r="O18" s="398" t="s">
        <v>562</v>
      </c>
      <c r="P18" s="97" t="s">
        <v>255</v>
      </c>
      <c r="Q18" s="82" t="s">
        <v>247</v>
      </c>
      <c r="S18" s="88" t="s">
        <v>250</v>
      </c>
      <c r="U18" s="242"/>
    </row>
    <row r="19" spans="1:21" ht="15.5">
      <c r="A19" s="174" t="s">
        <v>312</v>
      </c>
      <c r="B19" s="369">
        <v>15</v>
      </c>
      <c r="C19" s="369">
        <v>15</v>
      </c>
      <c r="D19" s="369">
        <v>15</v>
      </c>
      <c r="E19" s="175">
        <v>0</v>
      </c>
      <c r="F19" s="175">
        <v>30</v>
      </c>
      <c r="G19" s="175">
        <v>10</v>
      </c>
      <c r="H19" s="337">
        <v>7</v>
      </c>
      <c r="I19" s="175">
        <f t="shared" ref="I19:I23" si="1">H19*$I$13</f>
        <v>21</v>
      </c>
      <c r="J19" s="511">
        <v>15</v>
      </c>
      <c r="M19" s="398" t="s">
        <v>577</v>
      </c>
      <c r="N19" s="595">
        <f>(4*24)*75%</f>
        <v>72</v>
      </c>
      <c r="O19" s="398" t="s">
        <v>563</v>
      </c>
      <c r="P19" s="97" t="s">
        <v>256</v>
      </c>
      <c r="Q19" s="82" t="s">
        <v>247</v>
      </c>
      <c r="S19" s="88" t="s">
        <v>251</v>
      </c>
    </row>
    <row r="20" spans="1:21" ht="15.5">
      <c r="A20" s="174" t="s">
        <v>313</v>
      </c>
      <c r="B20" s="366">
        <v>53</v>
      </c>
      <c r="C20" s="366">
        <v>53</v>
      </c>
      <c r="D20" s="366">
        <v>53</v>
      </c>
      <c r="E20" s="175">
        <v>0</v>
      </c>
      <c r="F20" s="175">
        <v>30</v>
      </c>
      <c r="G20" s="175">
        <v>15</v>
      </c>
      <c r="H20" s="337">
        <v>8</v>
      </c>
      <c r="I20" s="175">
        <f t="shared" si="1"/>
        <v>24</v>
      </c>
      <c r="J20" s="511">
        <v>20</v>
      </c>
      <c r="M20" s="398" t="s">
        <v>456</v>
      </c>
      <c r="N20" s="595">
        <v>36</v>
      </c>
      <c r="O20" s="398" t="s">
        <v>405</v>
      </c>
      <c r="P20" s="222" t="s">
        <v>253</v>
      </c>
      <c r="Q20" s="82" t="s">
        <v>247</v>
      </c>
      <c r="S20" s="88" t="s">
        <v>252</v>
      </c>
    </row>
    <row r="21" spans="1:21" ht="15" customHeight="1">
      <c r="A21" s="174" t="s">
        <v>314</v>
      </c>
      <c r="B21" s="366">
        <v>94</v>
      </c>
      <c r="C21" s="366">
        <v>94</v>
      </c>
      <c r="D21" s="366">
        <v>94</v>
      </c>
      <c r="E21" s="175">
        <v>0</v>
      </c>
      <c r="F21" s="175">
        <v>40</v>
      </c>
      <c r="G21" s="175">
        <v>15</v>
      </c>
      <c r="H21" s="337">
        <v>12</v>
      </c>
      <c r="I21" s="175">
        <f t="shared" si="1"/>
        <v>36</v>
      </c>
      <c r="J21" s="511">
        <v>20</v>
      </c>
      <c r="M21" s="398" t="s">
        <v>455</v>
      </c>
      <c r="N21" s="595">
        <v>24</v>
      </c>
      <c r="O21" s="398" t="s">
        <v>406</v>
      </c>
      <c r="P21" s="222" t="s">
        <v>254</v>
      </c>
      <c r="Q21" s="82" t="s">
        <v>247</v>
      </c>
      <c r="S21" s="88" t="s">
        <v>253</v>
      </c>
    </row>
    <row r="22" spans="1:21" ht="15" customHeight="1">
      <c r="A22" s="174" t="s">
        <v>315</v>
      </c>
      <c r="B22" s="366">
        <v>131</v>
      </c>
      <c r="C22" s="366">
        <v>131</v>
      </c>
      <c r="D22" s="366">
        <v>131</v>
      </c>
      <c r="E22" s="175">
        <v>0</v>
      </c>
      <c r="F22" s="175">
        <v>40</v>
      </c>
      <c r="G22" s="175">
        <v>20</v>
      </c>
      <c r="H22" s="337">
        <v>16</v>
      </c>
      <c r="I22" s="175">
        <f t="shared" si="1"/>
        <v>48</v>
      </c>
      <c r="J22" s="511">
        <v>25</v>
      </c>
      <c r="L22" s="542">
        <f>Tabla32[[#This Row],[IMPORTE]]-N19</f>
        <v>36</v>
      </c>
      <c r="M22" s="398" t="s">
        <v>575</v>
      </c>
      <c r="N22" s="595">
        <v>108</v>
      </c>
      <c r="O22" s="398" t="s">
        <v>576</v>
      </c>
      <c r="P22" s="222" t="s">
        <v>255</v>
      </c>
      <c r="Q22" s="82" t="s">
        <v>247</v>
      </c>
      <c r="S22" s="196" t="s">
        <v>254</v>
      </c>
    </row>
    <row r="23" spans="1:21" ht="16" thickBot="1">
      <c r="A23" s="174" t="s">
        <v>320</v>
      </c>
      <c r="B23" s="367">
        <v>188</v>
      </c>
      <c r="C23" s="367">
        <v>188</v>
      </c>
      <c r="D23" s="367">
        <v>188</v>
      </c>
      <c r="E23" s="175">
        <v>0</v>
      </c>
      <c r="F23" s="175">
        <v>40</v>
      </c>
      <c r="G23" s="175">
        <v>20</v>
      </c>
      <c r="H23" s="337">
        <v>24</v>
      </c>
      <c r="I23" s="175">
        <f t="shared" si="1"/>
        <v>72</v>
      </c>
      <c r="J23" s="511">
        <v>25</v>
      </c>
      <c r="L23" s="542">
        <f>Tabla32[[#This Row],[IMPORTE]]-N20</f>
        <v>18</v>
      </c>
      <c r="M23" s="398" t="s">
        <v>453</v>
      </c>
      <c r="N23" s="595">
        <v>54</v>
      </c>
      <c r="O23" s="398" t="s">
        <v>405</v>
      </c>
      <c r="P23" s="222" t="s">
        <v>256</v>
      </c>
      <c r="Q23" s="82" t="s">
        <v>247</v>
      </c>
      <c r="S23" s="197" t="s">
        <v>255</v>
      </c>
    </row>
    <row r="24" spans="1:21" ht="14">
      <c r="A24" s="174"/>
      <c r="B24" s="177"/>
      <c r="C24" s="177"/>
      <c r="D24" s="177"/>
      <c r="E24" s="175"/>
      <c r="F24" s="175"/>
      <c r="G24" s="175"/>
      <c r="L24" s="542">
        <f>Tabla32[[#This Row],[IMPORTE]]-N21</f>
        <v>12</v>
      </c>
      <c r="M24" s="398" t="s">
        <v>454</v>
      </c>
      <c r="N24" s="595">
        <v>36</v>
      </c>
      <c r="O24" s="398" t="s">
        <v>406</v>
      </c>
      <c r="P24" s="222" t="s">
        <v>257</v>
      </c>
      <c r="Q24" s="82" t="s">
        <v>247</v>
      </c>
      <c r="S24" s="197" t="s">
        <v>256</v>
      </c>
    </row>
    <row r="25" spans="1:21" ht="15" customHeight="1">
      <c r="A25" s="174"/>
      <c r="B25" s="177"/>
      <c r="C25" s="177"/>
      <c r="D25" s="177"/>
      <c r="E25" s="175"/>
      <c r="F25" s="175"/>
      <c r="G25" s="175"/>
      <c r="P25" s="223" t="s">
        <v>291</v>
      </c>
      <c r="Q25" s="86" t="s">
        <v>247</v>
      </c>
      <c r="S25" s="197" t="s">
        <v>257</v>
      </c>
    </row>
    <row r="26" spans="1:21" ht="13">
      <c r="A26" s="76"/>
      <c r="B26" s="169"/>
      <c r="C26" s="169"/>
      <c r="D26" s="169"/>
      <c r="E26" s="169"/>
      <c r="F26" s="169"/>
      <c r="G26" s="169"/>
      <c r="M26" s="401" t="s">
        <v>390</v>
      </c>
      <c r="N26" s="402">
        <v>30</v>
      </c>
      <c r="O26" s="403" t="s">
        <v>403</v>
      </c>
      <c r="P26" s="222" t="s">
        <v>382</v>
      </c>
      <c r="Q26" s="86" t="s">
        <v>247</v>
      </c>
      <c r="S26" s="197" t="s">
        <v>291</v>
      </c>
    </row>
    <row r="27" spans="1:21">
      <c r="A27" s="169"/>
      <c r="B27" s="164"/>
      <c r="C27" s="164"/>
      <c r="D27" s="164"/>
      <c r="E27" s="164"/>
      <c r="F27" s="164"/>
      <c r="G27" s="164"/>
      <c r="M27" s="404" t="s">
        <v>391</v>
      </c>
      <c r="N27" s="405">
        <v>60</v>
      </c>
      <c r="O27" s="406" t="s">
        <v>403</v>
      </c>
      <c r="P27" s="223" t="s">
        <v>260</v>
      </c>
      <c r="Q27" s="86" t="s">
        <v>275</v>
      </c>
      <c r="S27" s="197" t="s">
        <v>260</v>
      </c>
    </row>
    <row r="28" spans="1:21" ht="13">
      <c r="A28" s="170"/>
      <c r="B28" s="835" t="s">
        <v>224</v>
      </c>
      <c r="C28" s="835"/>
      <c r="D28" s="835"/>
      <c r="E28" s="835" t="s">
        <v>225</v>
      </c>
      <c r="F28" s="835"/>
      <c r="G28" s="832" t="s">
        <v>21</v>
      </c>
      <c r="P28" s="223" t="s">
        <v>260</v>
      </c>
      <c r="Q28" s="86" t="s">
        <v>275</v>
      </c>
      <c r="S28" s="197" t="s">
        <v>261</v>
      </c>
    </row>
    <row r="29" spans="1:21" ht="22.5">
      <c r="A29" s="171"/>
      <c r="B29" s="835" t="s">
        <v>226</v>
      </c>
      <c r="C29" s="835"/>
      <c r="D29" s="835"/>
      <c r="E29" s="835" t="s">
        <v>227</v>
      </c>
      <c r="F29" s="835" t="s">
        <v>228</v>
      </c>
      <c r="G29" s="832"/>
      <c r="P29" s="223" t="s">
        <v>261</v>
      </c>
      <c r="Q29" s="86" t="s">
        <v>275</v>
      </c>
      <c r="S29" s="197" t="s">
        <v>262</v>
      </c>
    </row>
    <row r="30" spans="1:21" ht="14.5" thickBot="1">
      <c r="A30" s="172" t="s">
        <v>229</v>
      </c>
      <c r="B30" s="173">
        <v>20</v>
      </c>
      <c r="C30" s="173">
        <v>40</v>
      </c>
      <c r="D30" s="173" t="s">
        <v>230</v>
      </c>
      <c r="E30" s="835"/>
      <c r="F30" s="835"/>
      <c r="G30" s="832"/>
      <c r="L30" s="165"/>
      <c r="M30" s="227"/>
      <c r="N30" s="227"/>
      <c r="P30" s="222" t="s">
        <v>262</v>
      </c>
      <c r="Q30" s="86" t="s">
        <v>275</v>
      </c>
      <c r="S30" s="88" t="s">
        <v>263</v>
      </c>
    </row>
    <row r="31" spans="1:21" ht="14.5" thickBot="1">
      <c r="A31" s="174"/>
      <c r="B31" s="175"/>
      <c r="C31" s="175"/>
      <c r="D31" s="175"/>
      <c r="E31" s="176"/>
      <c r="F31" s="176"/>
      <c r="G31" s="175"/>
      <c r="L31" s="228"/>
      <c r="M31" s="166"/>
      <c r="N31" s="843"/>
      <c r="P31" s="222" t="s">
        <v>415</v>
      </c>
      <c r="Q31" s="86" t="s">
        <v>275</v>
      </c>
      <c r="S31" s="88" t="s">
        <v>264</v>
      </c>
    </row>
    <row r="32" spans="1:21" ht="14.5" thickBot="1">
      <c r="A32" s="174"/>
      <c r="B32" s="175"/>
      <c r="C32" s="175"/>
      <c r="D32" s="175"/>
      <c r="E32" s="175"/>
      <c r="F32" s="175"/>
      <c r="G32" s="175"/>
      <c r="L32" s="229"/>
      <c r="M32" s="167"/>
      <c r="N32" s="844"/>
      <c r="P32" s="222" t="s">
        <v>416</v>
      </c>
      <c r="Q32" s="86" t="s">
        <v>275</v>
      </c>
      <c r="S32" s="197" t="s">
        <v>265</v>
      </c>
    </row>
    <row r="33" spans="1:19" ht="14.5" thickBot="1">
      <c r="A33" s="174"/>
      <c r="B33" s="175"/>
      <c r="C33" s="175"/>
      <c r="D33" s="175"/>
      <c r="E33" s="175"/>
      <c r="F33" s="175"/>
      <c r="G33" s="175"/>
      <c r="L33" s="229"/>
      <c r="M33" s="167"/>
      <c r="N33" s="844"/>
      <c r="P33" s="224" t="s">
        <v>265</v>
      </c>
      <c r="Q33" s="92" t="s">
        <v>275</v>
      </c>
      <c r="S33" s="88" t="s">
        <v>266</v>
      </c>
    </row>
    <row r="34" spans="1:19" ht="14.5" thickBot="1">
      <c r="A34" s="174"/>
      <c r="B34" s="177"/>
      <c r="C34" s="177"/>
      <c r="D34" s="177"/>
      <c r="E34" s="175"/>
      <c r="F34" s="175"/>
      <c r="G34" s="175"/>
      <c r="L34" s="229"/>
      <c r="M34" s="167"/>
      <c r="N34" s="844"/>
      <c r="P34" s="225" t="s">
        <v>381</v>
      </c>
      <c r="Q34" s="117" t="s">
        <v>275</v>
      </c>
      <c r="S34" s="197" t="s">
        <v>267</v>
      </c>
    </row>
    <row r="35" spans="1:19" ht="14.5" thickBot="1">
      <c r="A35" s="174"/>
      <c r="B35" s="177"/>
      <c r="C35" s="177"/>
      <c r="D35" s="177"/>
      <c r="E35" s="175"/>
      <c r="F35" s="175"/>
      <c r="G35" s="175"/>
      <c r="L35" s="229"/>
      <c r="M35" s="167"/>
      <c r="N35" s="844"/>
      <c r="P35" s="225" t="s">
        <v>266</v>
      </c>
      <c r="Q35" s="117" t="s">
        <v>275</v>
      </c>
      <c r="S35" s="197" t="s">
        <v>268</v>
      </c>
    </row>
    <row r="36" spans="1:19" ht="15" customHeight="1">
      <c r="A36" s="174"/>
      <c r="B36" s="177"/>
      <c r="C36" s="177"/>
      <c r="D36" s="177"/>
      <c r="E36" s="175"/>
      <c r="F36" s="175"/>
      <c r="G36" s="175"/>
      <c r="L36" s="230"/>
      <c r="M36" s="167"/>
      <c r="N36" s="844"/>
      <c r="P36" s="97" t="s">
        <v>368</v>
      </c>
      <c r="Q36" s="82" t="s">
        <v>366</v>
      </c>
      <c r="S36" s="88" t="s">
        <v>349</v>
      </c>
    </row>
    <row r="37" spans="1:19" ht="14.5" thickBot="1">
      <c r="A37" s="174"/>
      <c r="B37" s="177"/>
      <c r="C37" s="177"/>
      <c r="D37" s="177"/>
      <c r="E37" s="177"/>
      <c r="F37" s="177"/>
      <c r="G37" s="177"/>
      <c r="L37" s="231"/>
      <c r="M37" s="168"/>
      <c r="N37" s="845"/>
      <c r="P37" s="97" t="s">
        <v>369</v>
      </c>
      <c r="Q37" s="82" t="s">
        <v>366</v>
      </c>
      <c r="S37" s="197" t="s">
        <v>270</v>
      </c>
    </row>
    <row r="38" spans="1:19" ht="13" thickBot="1">
      <c r="A38" s="164"/>
      <c r="B38" s="164"/>
      <c r="C38" s="164"/>
      <c r="D38" s="164"/>
      <c r="E38" s="164"/>
      <c r="F38" s="164"/>
      <c r="G38" s="164"/>
      <c r="L38" s="229"/>
      <c r="M38" s="167"/>
      <c r="N38" s="843"/>
      <c r="P38" s="97" t="s">
        <v>370</v>
      </c>
      <c r="Q38" s="82" t="s">
        <v>366</v>
      </c>
      <c r="S38" s="88" t="s">
        <v>271</v>
      </c>
    </row>
    <row r="39" spans="1:19" ht="13.5" customHeight="1" thickBot="1">
      <c r="A39" s="170"/>
      <c r="B39" s="832" t="s">
        <v>224</v>
      </c>
      <c r="C39" s="832"/>
      <c r="D39" s="832"/>
      <c r="E39" s="832" t="s">
        <v>225</v>
      </c>
      <c r="F39" s="832"/>
      <c r="G39" s="832" t="s">
        <v>21</v>
      </c>
      <c r="L39" s="229"/>
      <c r="M39" s="167"/>
      <c r="N39" s="844"/>
      <c r="P39" s="116" t="s">
        <v>371</v>
      </c>
      <c r="Q39" s="82" t="s">
        <v>366</v>
      </c>
      <c r="S39" s="87" t="s">
        <v>273</v>
      </c>
    </row>
    <row r="40" spans="1:19" ht="24" customHeight="1" thickBot="1">
      <c r="A40" s="171" t="s">
        <v>301</v>
      </c>
      <c r="B40" s="832" t="s">
        <v>226</v>
      </c>
      <c r="C40" s="832"/>
      <c r="D40" s="832"/>
      <c r="E40" s="832" t="s">
        <v>227</v>
      </c>
      <c r="F40" s="832" t="s">
        <v>228</v>
      </c>
      <c r="G40" s="832"/>
      <c r="L40" s="229"/>
      <c r="M40" s="167"/>
      <c r="N40" s="844"/>
      <c r="P40" s="116" t="s">
        <v>444</v>
      </c>
      <c r="Q40" s="86" t="s">
        <v>247</v>
      </c>
      <c r="S40" s="88" t="s">
        <v>272</v>
      </c>
    </row>
    <row r="41" spans="1:19" ht="14.5" thickBot="1">
      <c r="A41" s="172" t="s">
        <v>229</v>
      </c>
      <c r="B41" s="194">
        <v>20</v>
      </c>
      <c r="C41" s="194">
        <v>40</v>
      </c>
      <c r="D41" s="194" t="s">
        <v>230</v>
      </c>
      <c r="E41" s="832"/>
      <c r="F41" s="832"/>
      <c r="G41" s="832"/>
      <c r="L41" s="229"/>
      <c r="M41" s="167"/>
      <c r="N41" s="844"/>
      <c r="P41" s="116" t="s">
        <v>445</v>
      </c>
      <c r="Q41" s="117" t="s">
        <v>247</v>
      </c>
      <c r="S41" s="88" t="s">
        <v>288</v>
      </c>
    </row>
    <row r="42" spans="1:19" ht="14.5" thickBot="1">
      <c r="A42" s="174"/>
      <c r="B42" s="175"/>
      <c r="C42" s="175"/>
      <c r="D42" s="175"/>
      <c r="E42" s="176"/>
      <c r="F42" s="176"/>
      <c r="G42" s="175"/>
      <c r="L42" s="229"/>
      <c r="M42" s="167"/>
      <c r="N42" s="844"/>
      <c r="P42" s="116" t="s">
        <v>446</v>
      </c>
      <c r="Q42" s="86" t="s">
        <v>247</v>
      </c>
      <c r="S42" s="88" t="s">
        <v>289</v>
      </c>
    </row>
    <row r="43" spans="1:19" ht="14.5" thickBot="1">
      <c r="A43" s="174"/>
      <c r="B43" s="175"/>
      <c r="C43" s="175"/>
      <c r="D43" s="175"/>
      <c r="E43" s="175"/>
      <c r="F43" s="175"/>
      <c r="G43" s="175"/>
      <c r="L43" s="229"/>
      <c r="M43" s="167"/>
      <c r="N43" s="844"/>
      <c r="Q43" s="842"/>
    </row>
    <row r="44" spans="1:19" ht="14.5" thickBot="1">
      <c r="A44" s="174"/>
      <c r="B44" s="175"/>
      <c r="C44" s="175"/>
      <c r="D44" s="175"/>
      <c r="E44" s="175"/>
      <c r="F44" s="175"/>
      <c r="G44" s="175"/>
      <c r="L44" s="229"/>
      <c r="M44" s="167"/>
      <c r="N44" s="844"/>
      <c r="Q44" s="842"/>
    </row>
    <row r="45" spans="1:19" ht="14.5" thickBot="1">
      <c r="A45" s="174"/>
      <c r="B45" s="177"/>
      <c r="C45" s="177"/>
      <c r="D45" s="177"/>
      <c r="E45" s="175"/>
      <c r="F45" s="175"/>
      <c r="G45" s="175"/>
      <c r="L45" s="229"/>
      <c r="M45" s="167"/>
      <c r="N45" s="844"/>
    </row>
    <row r="46" spans="1:19" ht="14.5" thickBot="1">
      <c r="A46" s="174"/>
      <c r="B46" s="177"/>
      <c r="C46" s="177"/>
      <c r="D46" s="177"/>
      <c r="E46" s="175"/>
      <c r="F46" s="175"/>
      <c r="G46" s="175"/>
      <c r="L46" s="229"/>
      <c r="M46" s="167"/>
      <c r="N46" s="844"/>
    </row>
    <row r="47" spans="1:19" ht="14.5" thickBot="1">
      <c r="A47" s="174"/>
      <c r="B47" s="177"/>
      <c r="C47" s="177"/>
      <c r="D47" s="177"/>
      <c r="E47" s="175"/>
      <c r="F47" s="175"/>
      <c r="G47" s="175"/>
      <c r="L47" s="229"/>
      <c r="M47" s="167"/>
      <c r="N47" s="844"/>
    </row>
    <row r="48" spans="1:19" ht="14.5" thickBot="1">
      <c r="A48" s="174"/>
      <c r="B48" s="177"/>
      <c r="C48" s="177"/>
      <c r="D48" s="177"/>
      <c r="E48" s="177"/>
      <c r="F48" s="177"/>
      <c r="G48" s="177"/>
      <c r="L48" s="229"/>
      <c r="M48" s="167"/>
      <c r="N48" s="844"/>
    </row>
    <row r="49" spans="1:22" ht="13.5" thickBot="1">
      <c r="A49" s="76"/>
      <c r="B49" s="169"/>
      <c r="C49" s="169"/>
      <c r="D49" s="169"/>
      <c r="E49" s="169"/>
      <c r="F49" s="169"/>
      <c r="G49" s="169"/>
      <c r="L49" s="229"/>
      <c r="M49" s="167"/>
      <c r="N49" s="844"/>
    </row>
    <row r="50" spans="1:22" ht="13.5" thickBot="1">
      <c r="A50" s="76" t="s">
        <v>5</v>
      </c>
      <c r="B50" s="169"/>
      <c r="C50" s="169"/>
      <c r="D50" s="169"/>
      <c r="E50" s="169"/>
      <c r="F50" s="169"/>
      <c r="G50" s="169"/>
      <c r="L50" s="229"/>
      <c r="M50" s="167"/>
      <c r="N50" s="844"/>
    </row>
    <row r="51" spans="1:22" ht="16" thickBot="1">
      <c r="A51" s="178"/>
      <c r="B51" s="179"/>
      <c r="C51" s="164"/>
      <c r="D51" s="164"/>
      <c r="E51" s="164"/>
      <c r="F51" s="164"/>
      <c r="G51" s="164"/>
      <c r="L51" s="229"/>
      <c r="M51" s="167"/>
      <c r="N51" s="844"/>
    </row>
    <row r="52" spans="1:22" ht="15" customHeight="1" thickBot="1">
      <c r="A52" s="164"/>
      <c r="B52" s="180" t="s">
        <v>232</v>
      </c>
      <c r="C52" s="832" t="s">
        <v>357</v>
      </c>
      <c r="D52" s="832" t="s">
        <v>358</v>
      </c>
      <c r="E52" s="164"/>
      <c r="F52" s="164"/>
      <c r="L52" s="229"/>
      <c r="M52" s="167"/>
      <c r="N52" s="844"/>
      <c r="S52" s="392" t="s">
        <v>274</v>
      </c>
    </row>
    <row r="53" spans="1:22" ht="21.75" customHeight="1" thickBot="1">
      <c r="A53" s="181" t="s">
        <v>233</v>
      </c>
      <c r="B53" s="33" t="s">
        <v>234</v>
      </c>
      <c r="C53" s="832"/>
      <c r="D53" s="832"/>
      <c r="E53" s="164"/>
      <c r="F53" s="164"/>
      <c r="L53" s="229"/>
      <c r="M53" s="167"/>
      <c r="N53" s="844"/>
    </row>
    <row r="54" spans="1:22" ht="14.5" thickBot="1">
      <c r="A54" s="182" t="s">
        <v>153</v>
      </c>
      <c r="B54" s="183">
        <v>10</v>
      </c>
      <c r="C54" s="375">
        <v>9</v>
      </c>
      <c r="D54" s="175">
        <f>C54*3</f>
        <v>27</v>
      </c>
      <c r="E54" s="164"/>
      <c r="F54" s="164"/>
      <c r="L54" s="231"/>
      <c r="M54" s="168"/>
      <c r="N54" s="845"/>
      <c r="S54" s="185"/>
    </row>
    <row r="55" spans="1:22" ht="14.5" thickBot="1">
      <c r="A55" s="182" t="s">
        <v>117</v>
      </c>
      <c r="B55" s="183">
        <v>20</v>
      </c>
      <c r="C55" s="337">
        <v>12</v>
      </c>
      <c r="D55" s="175">
        <f t="shared" ref="D55:D61" si="2">C55*3</f>
        <v>36</v>
      </c>
      <c r="E55" s="164"/>
      <c r="F55" s="164"/>
      <c r="S55" s="186"/>
    </row>
    <row r="56" spans="1:22" ht="14.5" thickBot="1">
      <c r="A56" s="182" t="s">
        <v>17</v>
      </c>
      <c r="B56" s="183">
        <v>20</v>
      </c>
      <c r="C56" s="337">
        <v>20</v>
      </c>
      <c r="D56" s="175">
        <f t="shared" si="2"/>
        <v>60</v>
      </c>
      <c r="E56" s="164"/>
      <c r="F56" s="164"/>
      <c r="M56" s="370"/>
      <c r="N56" s="370"/>
      <c r="S56" s="379"/>
      <c r="T56" s="376"/>
      <c r="U56" s="379"/>
      <c r="V56" s="376"/>
    </row>
    <row r="57" spans="1:22" ht="16" thickBot="1">
      <c r="A57" s="182" t="s">
        <v>107</v>
      </c>
      <c r="B57" s="184">
        <v>60</v>
      </c>
      <c r="C57" s="337">
        <v>35</v>
      </c>
      <c r="D57" s="175">
        <f t="shared" si="2"/>
        <v>105</v>
      </c>
      <c r="E57" s="164"/>
      <c r="F57" s="164"/>
      <c r="M57" s="390"/>
      <c r="N57" s="389"/>
      <c r="P57" s="370"/>
      <c r="Q57" s="371"/>
      <c r="R57" s="841"/>
      <c r="S57" s="377"/>
      <c r="T57" s="378"/>
      <c r="U57" s="377"/>
      <c r="V57" s="378"/>
    </row>
    <row r="58" spans="1:22" ht="16" thickBot="1">
      <c r="A58" s="182" t="s">
        <v>177</v>
      </c>
      <c r="B58" s="184">
        <v>60</v>
      </c>
      <c r="C58" s="337">
        <v>30</v>
      </c>
      <c r="D58" s="175">
        <f t="shared" si="2"/>
        <v>90</v>
      </c>
      <c r="E58" s="164"/>
      <c r="F58" s="164"/>
      <c r="M58" s="390"/>
      <c r="N58" s="389"/>
      <c r="P58" s="187"/>
      <c r="Q58" s="382"/>
      <c r="R58" s="841"/>
      <c r="S58" s="377"/>
      <c r="T58" s="378"/>
      <c r="U58" s="396"/>
      <c r="V58" s="397"/>
    </row>
    <row r="59" spans="1:22" ht="16" thickBot="1">
      <c r="A59" s="182" t="s">
        <v>187</v>
      </c>
      <c r="B59" s="184">
        <v>35</v>
      </c>
      <c r="C59" s="337">
        <v>20</v>
      </c>
      <c r="D59" s="175">
        <f t="shared" si="2"/>
        <v>60</v>
      </c>
      <c r="E59" s="164"/>
      <c r="F59" s="164"/>
      <c r="M59" s="390"/>
      <c r="N59" s="389"/>
      <c r="P59" s="187"/>
      <c r="Q59" s="383"/>
      <c r="R59" s="387"/>
      <c r="S59" s="377"/>
      <c r="T59" s="378"/>
      <c r="U59" s="377"/>
      <c r="V59" s="378"/>
    </row>
    <row r="60" spans="1:22" ht="16" thickBot="1">
      <c r="A60" s="182" t="s">
        <v>188</v>
      </c>
      <c r="B60" s="184">
        <v>60</v>
      </c>
      <c r="C60" s="337">
        <v>35</v>
      </c>
      <c r="D60" s="175">
        <f t="shared" si="2"/>
        <v>105</v>
      </c>
      <c r="E60" s="164"/>
      <c r="F60" s="164"/>
      <c r="M60" s="390"/>
      <c r="N60" s="389"/>
      <c r="P60" s="187"/>
      <c r="Q60" s="383"/>
      <c r="R60" s="386"/>
      <c r="S60" s="377"/>
      <c r="T60" s="378"/>
      <c r="U60" s="377"/>
      <c r="V60" s="378"/>
    </row>
    <row r="61" spans="1:22" ht="16" thickBot="1">
      <c r="A61" s="182" t="s">
        <v>215</v>
      </c>
      <c r="B61" s="184">
        <v>67</v>
      </c>
      <c r="C61" s="337">
        <v>35</v>
      </c>
      <c r="D61" s="175">
        <f t="shared" si="2"/>
        <v>105</v>
      </c>
      <c r="E61" s="164"/>
      <c r="F61" s="164"/>
      <c r="M61" s="390"/>
      <c r="N61" s="389"/>
      <c r="P61" s="187"/>
      <c r="Q61" s="383"/>
      <c r="R61" s="385"/>
      <c r="S61" s="377"/>
      <c r="T61" s="378"/>
      <c r="U61" s="377"/>
      <c r="V61" s="378"/>
    </row>
    <row r="62" spans="1:22" ht="16" thickBot="1">
      <c r="M62" s="390"/>
      <c r="N62" s="389"/>
      <c r="R62" s="372"/>
      <c r="S62" s="377"/>
      <c r="T62" s="378"/>
    </row>
    <row r="63" spans="1:22" ht="15" thickBot="1">
      <c r="M63" s="390"/>
      <c r="N63" s="389"/>
      <c r="P63" s="370"/>
      <c r="Q63" s="371"/>
      <c r="R63" s="372"/>
    </row>
    <row r="64" spans="1:22" ht="15" thickBot="1">
      <c r="M64" s="390"/>
      <c r="N64" s="389"/>
      <c r="P64" s="187"/>
      <c r="Q64" s="381"/>
      <c r="R64" s="384"/>
    </row>
    <row r="65" spans="1:18" ht="15" thickBot="1">
      <c r="A65" s="76" t="s">
        <v>247</v>
      </c>
      <c r="B65" s="164"/>
      <c r="P65" s="187"/>
      <c r="Q65" s="381"/>
      <c r="R65" s="372"/>
    </row>
    <row r="66" spans="1:18" ht="15.75" customHeight="1" thickBot="1">
      <c r="A66" s="171"/>
      <c r="B66" s="180" t="s">
        <v>248</v>
      </c>
      <c r="C66" s="836" t="s">
        <v>357</v>
      </c>
      <c r="D66" s="836" t="s">
        <v>358</v>
      </c>
      <c r="E66" s="846"/>
      <c r="P66" s="187"/>
      <c r="Q66" s="381"/>
      <c r="R66" s="372"/>
    </row>
    <row r="67" spans="1:18" ht="14.5" thickBot="1">
      <c r="A67" s="172" t="s">
        <v>249</v>
      </c>
      <c r="B67" s="545" t="s">
        <v>234</v>
      </c>
      <c r="C67" s="837" t="s">
        <v>338</v>
      </c>
      <c r="D67" s="837"/>
      <c r="E67" s="846"/>
      <c r="R67" s="380"/>
    </row>
    <row r="68" spans="1:18" ht="14.5" thickBot="1">
      <c r="A68" s="174" t="s">
        <v>252</v>
      </c>
      <c r="B68" s="552">
        <v>60</v>
      </c>
      <c r="C68" s="337">
        <v>40</v>
      </c>
      <c r="D68" s="552">
        <f>C68*3</f>
        <v>120</v>
      </c>
      <c r="E68" s="550"/>
      <c r="P68" s="370"/>
      <c r="Q68" s="371"/>
      <c r="R68" s="380"/>
    </row>
    <row r="69" spans="1:18" ht="14.5" thickBot="1">
      <c r="A69" s="549" t="s">
        <v>253</v>
      </c>
      <c r="B69" s="552">
        <v>65</v>
      </c>
      <c r="C69" s="337">
        <v>40</v>
      </c>
      <c r="D69" s="552">
        <f t="shared" ref="D69:D78" si="3">C69*3</f>
        <v>120</v>
      </c>
      <c r="E69" s="550"/>
      <c r="P69" s="187"/>
      <c r="Q69" s="381"/>
      <c r="R69" s="380"/>
    </row>
    <row r="70" spans="1:18" ht="14.5" thickBot="1">
      <c r="A70" s="174" t="s">
        <v>254</v>
      </c>
      <c r="B70" s="552">
        <v>65</v>
      </c>
      <c r="C70" s="337">
        <v>40</v>
      </c>
      <c r="D70" s="552">
        <f t="shared" si="3"/>
        <v>120</v>
      </c>
      <c r="E70" s="550"/>
      <c r="P70" s="187"/>
      <c r="Q70" s="381"/>
      <c r="R70" s="380"/>
    </row>
    <row r="71" spans="1:18" ht="14.5" thickBot="1">
      <c r="A71" s="549" t="s">
        <v>255</v>
      </c>
      <c r="B71" s="552">
        <v>95</v>
      </c>
      <c r="C71" s="337">
        <v>40</v>
      </c>
      <c r="D71" s="552">
        <f t="shared" si="3"/>
        <v>120</v>
      </c>
      <c r="E71" s="550"/>
      <c r="P71" s="187"/>
      <c r="Q71" s="381"/>
    </row>
    <row r="72" spans="1:18" ht="14">
      <c r="A72" s="174" t="s">
        <v>256</v>
      </c>
      <c r="B72" s="552">
        <v>95</v>
      </c>
      <c r="C72" s="337">
        <v>40</v>
      </c>
      <c r="D72" s="552">
        <f t="shared" si="3"/>
        <v>120</v>
      </c>
      <c r="E72" s="550"/>
    </row>
    <row r="73" spans="1:18" ht="14">
      <c r="A73" s="549" t="s">
        <v>257</v>
      </c>
      <c r="B73" s="552">
        <v>130</v>
      </c>
      <c r="C73" s="337">
        <v>40</v>
      </c>
      <c r="D73" s="552">
        <f t="shared" si="3"/>
        <v>120</v>
      </c>
      <c r="E73" s="550"/>
    </row>
    <row r="74" spans="1:18" ht="14">
      <c r="A74" s="174" t="s">
        <v>291</v>
      </c>
      <c r="B74" s="552">
        <v>130</v>
      </c>
      <c r="C74" s="337">
        <v>40</v>
      </c>
      <c r="D74" s="552">
        <f t="shared" si="3"/>
        <v>120</v>
      </c>
      <c r="E74" s="550"/>
    </row>
    <row r="75" spans="1:18" ht="14">
      <c r="A75" s="549" t="s">
        <v>382</v>
      </c>
      <c r="B75" s="552">
        <v>170</v>
      </c>
      <c r="C75" s="337">
        <v>40</v>
      </c>
      <c r="D75" s="552">
        <f t="shared" si="3"/>
        <v>120</v>
      </c>
      <c r="E75" s="550"/>
    </row>
    <row r="76" spans="1:18" ht="14.25" customHeight="1">
      <c r="A76" s="363" t="s">
        <v>444</v>
      </c>
      <c r="B76" s="552">
        <v>95</v>
      </c>
      <c r="C76" s="337">
        <v>45</v>
      </c>
      <c r="D76" s="552">
        <f t="shared" si="3"/>
        <v>135</v>
      </c>
      <c r="E76" s="550"/>
    </row>
    <row r="77" spans="1:18" ht="14">
      <c r="A77" s="363" t="s">
        <v>445</v>
      </c>
      <c r="B77" s="552">
        <v>135</v>
      </c>
      <c r="C77" s="337">
        <v>45</v>
      </c>
      <c r="D77" s="552">
        <f t="shared" si="3"/>
        <v>135</v>
      </c>
      <c r="E77" s="550"/>
    </row>
    <row r="78" spans="1:18" ht="16.5" customHeight="1">
      <c r="A78" s="363" t="s">
        <v>446</v>
      </c>
      <c r="B78" s="552">
        <v>180</v>
      </c>
      <c r="C78" s="337">
        <v>45</v>
      </c>
      <c r="D78" s="552">
        <f t="shared" si="3"/>
        <v>135</v>
      </c>
      <c r="E78" s="550"/>
      <c r="G78" s="96"/>
      <c r="H78" s="96"/>
      <c r="I78" s="96"/>
    </row>
    <row r="79" spans="1:18" ht="39">
      <c r="A79" s="76" t="s">
        <v>258</v>
      </c>
      <c r="B79" s="180" t="s">
        <v>259</v>
      </c>
      <c r="C79" s="832" t="s">
        <v>357</v>
      </c>
      <c r="D79" s="838" t="s">
        <v>358</v>
      </c>
      <c r="E79" s="846"/>
      <c r="G79" s="413"/>
      <c r="H79" s="414"/>
      <c r="I79" s="847"/>
    </row>
    <row r="80" spans="1:18" ht="15.5">
      <c r="A80" s="172" t="s">
        <v>249</v>
      </c>
      <c r="B80" s="33" t="s">
        <v>234</v>
      </c>
      <c r="C80" s="832" t="s">
        <v>338</v>
      </c>
      <c r="D80" s="838"/>
      <c r="E80" s="846"/>
      <c r="G80" s="413"/>
      <c r="H80" s="414"/>
      <c r="I80" s="847"/>
    </row>
    <row r="81" spans="1:9" ht="15.5">
      <c r="A81" s="549" t="s">
        <v>261</v>
      </c>
      <c r="B81" s="337">
        <v>80</v>
      </c>
      <c r="C81" s="337">
        <v>45</v>
      </c>
      <c r="D81" s="552">
        <f t="shared" ref="D81:D94" si="4">C81*3</f>
        <v>135</v>
      </c>
      <c r="E81" s="550"/>
      <c r="G81" s="415"/>
      <c r="H81" s="416"/>
      <c r="I81" s="425"/>
    </row>
    <row r="82" spans="1:9" ht="15.5">
      <c r="A82" s="174" t="s">
        <v>262</v>
      </c>
      <c r="B82" s="337">
        <v>80</v>
      </c>
      <c r="C82" s="337">
        <v>45</v>
      </c>
      <c r="D82" s="552">
        <f t="shared" si="4"/>
        <v>135</v>
      </c>
      <c r="E82" s="550"/>
      <c r="G82" s="415"/>
      <c r="H82" s="416"/>
      <c r="I82" s="425"/>
    </row>
    <row r="83" spans="1:9" ht="15.5">
      <c r="A83" s="549" t="s">
        <v>415</v>
      </c>
      <c r="B83" s="337">
        <v>115</v>
      </c>
      <c r="C83" s="337">
        <v>45</v>
      </c>
      <c r="D83" s="552">
        <f t="shared" si="4"/>
        <v>135</v>
      </c>
      <c r="E83" s="550"/>
      <c r="G83" s="415"/>
      <c r="H83" s="416"/>
      <c r="I83" s="425"/>
    </row>
    <row r="84" spans="1:9" ht="15.5">
      <c r="A84" s="174" t="s">
        <v>416</v>
      </c>
      <c r="B84" s="337">
        <v>115</v>
      </c>
      <c r="C84" s="337">
        <v>45</v>
      </c>
      <c r="D84" s="552">
        <f t="shared" si="4"/>
        <v>135</v>
      </c>
      <c r="E84" s="550"/>
      <c r="G84" s="415"/>
      <c r="H84" s="416"/>
      <c r="I84" s="425"/>
    </row>
    <row r="85" spans="1:9" ht="15.5">
      <c r="A85" s="549" t="s">
        <v>265</v>
      </c>
      <c r="B85" s="337">
        <v>155</v>
      </c>
      <c r="C85" s="337">
        <v>45</v>
      </c>
      <c r="D85" s="552">
        <f t="shared" si="4"/>
        <v>135</v>
      </c>
      <c r="E85" s="550"/>
      <c r="G85" s="417"/>
      <c r="H85" s="418"/>
      <c r="I85" s="418"/>
    </row>
    <row r="86" spans="1:9" ht="15.5">
      <c r="A86" s="549" t="s">
        <v>381</v>
      </c>
      <c r="B86" s="337">
        <v>180</v>
      </c>
      <c r="C86" s="337">
        <v>45</v>
      </c>
      <c r="D86" s="552">
        <f t="shared" si="4"/>
        <v>135</v>
      </c>
      <c r="E86" s="550"/>
      <c r="G86" s="419"/>
      <c r="H86" s="420"/>
      <c r="I86" s="421"/>
    </row>
    <row r="87" spans="1:9" ht="15.5">
      <c r="A87" s="174" t="s">
        <v>266</v>
      </c>
      <c r="B87" s="177">
        <v>60</v>
      </c>
      <c r="C87" s="337">
        <v>30</v>
      </c>
      <c r="D87" s="175">
        <f t="shared" si="4"/>
        <v>90</v>
      </c>
      <c r="G87" s="422"/>
      <c r="H87" s="420"/>
      <c r="I87" s="423"/>
    </row>
    <row r="88" spans="1:9" ht="15.5">
      <c r="A88" s="174" t="s">
        <v>267</v>
      </c>
      <c r="B88" s="177">
        <v>25</v>
      </c>
      <c r="C88" s="337">
        <v>10</v>
      </c>
      <c r="D88" s="175">
        <f t="shared" si="4"/>
        <v>30</v>
      </c>
      <c r="G88" s="424"/>
      <c r="H88" s="420"/>
      <c r="I88" s="423"/>
    </row>
    <row r="89" spans="1:9" ht="15.5">
      <c r="A89" s="174" t="s">
        <v>268</v>
      </c>
      <c r="B89" s="177">
        <v>25</v>
      </c>
      <c r="C89" s="337">
        <v>10</v>
      </c>
      <c r="D89" s="175">
        <f t="shared" si="4"/>
        <v>30</v>
      </c>
      <c r="G89" s="415"/>
      <c r="H89" s="420"/>
      <c r="I89" s="423"/>
    </row>
    <row r="90" spans="1:9" ht="14">
      <c r="A90" s="174" t="s">
        <v>269</v>
      </c>
      <c r="B90" s="177">
        <v>25</v>
      </c>
      <c r="C90" s="337">
        <v>10</v>
      </c>
      <c r="D90" s="175">
        <f t="shared" si="4"/>
        <v>30</v>
      </c>
      <c r="G90" s="96"/>
      <c r="H90" s="96"/>
      <c r="I90" s="96"/>
    </row>
    <row r="91" spans="1:9" ht="14">
      <c r="A91" s="174" t="s">
        <v>270</v>
      </c>
      <c r="B91" s="177">
        <v>45</v>
      </c>
      <c r="C91" s="337">
        <v>10</v>
      </c>
      <c r="D91" s="175">
        <f t="shared" si="4"/>
        <v>30</v>
      </c>
    </row>
    <row r="92" spans="1:9" ht="14">
      <c r="A92" s="174" t="s">
        <v>271</v>
      </c>
      <c r="B92" s="177">
        <v>45</v>
      </c>
      <c r="C92" s="337">
        <v>10</v>
      </c>
      <c r="D92" s="175">
        <f t="shared" si="4"/>
        <v>30</v>
      </c>
    </row>
    <row r="93" spans="1:9" ht="14">
      <c r="A93" s="174" t="s">
        <v>348</v>
      </c>
      <c r="B93" s="177">
        <v>25</v>
      </c>
      <c r="C93" s="337">
        <v>0</v>
      </c>
      <c r="D93" s="175">
        <f t="shared" si="4"/>
        <v>0</v>
      </c>
    </row>
    <row r="94" spans="1:9" ht="14">
      <c r="A94" s="174" t="s">
        <v>273</v>
      </c>
      <c r="B94" s="177">
        <v>0</v>
      </c>
      <c r="C94" s="337">
        <v>0</v>
      </c>
      <c r="D94" s="175">
        <f t="shared" si="4"/>
        <v>0</v>
      </c>
    </row>
    <row r="95" spans="1:9" ht="14">
      <c r="A95" s="174"/>
      <c r="B95" s="177"/>
      <c r="C95" s="175"/>
      <c r="D95" s="175"/>
    </row>
    <row r="97" spans="1:5" ht="13">
      <c r="A97" s="76" t="s">
        <v>287</v>
      </c>
      <c r="B97" s="164"/>
    </row>
    <row r="98" spans="1:5" ht="22.5">
      <c r="A98" s="171"/>
      <c r="B98" s="180" t="s">
        <v>290</v>
      </c>
      <c r="C98" s="832" t="s">
        <v>357</v>
      </c>
      <c r="D98" s="832" t="s">
        <v>358</v>
      </c>
    </row>
    <row r="99" spans="1:5" ht="14">
      <c r="A99" s="172" t="s">
        <v>249</v>
      </c>
      <c r="B99" s="33" t="s">
        <v>234</v>
      </c>
      <c r="C99" s="832" t="s">
        <v>338</v>
      </c>
      <c r="D99" s="832"/>
    </row>
    <row r="100" spans="1:5" ht="14">
      <c r="A100" s="553" t="s">
        <v>288</v>
      </c>
      <c r="B100" s="412">
        <v>45</v>
      </c>
      <c r="C100" s="337">
        <v>15</v>
      </c>
      <c r="D100" s="175">
        <f>C100*3</f>
        <v>45</v>
      </c>
      <c r="E100" s="164" t="s">
        <v>609</v>
      </c>
    </row>
    <row r="101" spans="1:5" ht="14">
      <c r="A101" s="174" t="s">
        <v>289</v>
      </c>
      <c r="B101" s="175">
        <v>60</v>
      </c>
      <c r="C101" s="337">
        <v>20</v>
      </c>
      <c r="D101" s="175">
        <f>C101*3</f>
        <v>60</v>
      </c>
    </row>
    <row r="102" spans="1:5" ht="14">
      <c r="A102" s="174" t="s">
        <v>532</v>
      </c>
      <c r="B102" s="175">
        <v>28</v>
      </c>
      <c r="C102" s="337">
        <v>0</v>
      </c>
      <c r="D102" s="175">
        <f>C102*3</f>
        <v>0</v>
      </c>
    </row>
    <row r="103" spans="1:5" ht="14">
      <c r="A103" s="174" t="s">
        <v>531</v>
      </c>
      <c r="B103" s="175">
        <v>14</v>
      </c>
      <c r="C103" s="337">
        <v>0</v>
      </c>
      <c r="D103" s="175">
        <f>C103*3</f>
        <v>0</v>
      </c>
    </row>
    <row r="105" spans="1:5" ht="13">
      <c r="A105" s="76" t="s">
        <v>366</v>
      </c>
      <c r="B105" s="164"/>
    </row>
    <row r="106" spans="1:5" ht="26">
      <c r="A106" s="171"/>
      <c r="B106" s="180" t="s">
        <v>372</v>
      </c>
      <c r="C106" s="832" t="s">
        <v>357</v>
      </c>
      <c r="D106" s="838" t="s">
        <v>358</v>
      </c>
      <c r="E106" s="846"/>
    </row>
    <row r="107" spans="1:5" ht="14">
      <c r="A107" s="172" t="s">
        <v>367</v>
      </c>
      <c r="B107" s="33" t="s">
        <v>234</v>
      </c>
      <c r="C107" s="832" t="s">
        <v>338</v>
      </c>
      <c r="D107" s="838"/>
      <c r="E107" s="846"/>
    </row>
    <row r="108" spans="1:5" ht="14">
      <c r="A108" s="174" t="s">
        <v>368</v>
      </c>
      <c r="B108" s="175">
        <v>60</v>
      </c>
      <c r="C108" s="337">
        <v>60</v>
      </c>
      <c r="D108" s="552">
        <f t="shared" ref="D108:D114" si="5">C108*3</f>
        <v>180</v>
      </c>
      <c r="E108" s="550"/>
    </row>
    <row r="109" spans="1:5" ht="14">
      <c r="A109" s="174" t="s">
        <v>369</v>
      </c>
      <c r="B109" s="175">
        <v>85</v>
      </c>
      <c r="C109" s="337">
        <v>60</v>
      </c>
      <c r="D109" s="552">
        <f t="shared" si="5"/>
        <v>180</v>
      </c>
      <c r="E109" s="550"/>
    </row>
    <row r="110" spans="1:5" ht="14">
      <c r="A110" s="174" t="s">
        <v>370</v>
      </c>
      <c r="B110" s="175">
        <v>115</v>
      </c>
      <c r="C110" s="337">
        <v>60</v>
      </c>
      <c r="D110" s="552">
        <f t="shared" si="5"/>
        <v>180</v>
      </c>
      <c r="E110" s="550"/>
    </row>
    <row r="111" spans="1:5" ht="14">
      <c r="A111" s="174" t="s">
        <v>371</v>
      </c>
      <c r="B111" s="175">
        <v>145</v>
      </c>
      <c r="C111" s="337">
        <v>60</v>
      </c>
      <c r="D111" s="552">
        <f t="shared" si="5"/>
        <v>180</v>
      </c>
      <c r="E111" s="550"/>
    </row>
    <row r="112" spans="1:5" ht="14">
      <c r="A112" s="174" t="s">
        <v>376</v>
      </c>
      <c r="B112" s="177"/>
      <c r="C112" s="337">
        <v>30</v>
      </c>
      <c r="D112" s="552">
        <f t="shared" si="5"/>
        <v>90</v>
      </c>
      <c r="E112" s="551"/>
    </row>
    <row r="113" spans="1:5" ht="14">
      <c r="A113" s="174" t="s">
        <v>377</v>
      </c>
      <c r="B113" s="177"/>
      <c r="C113" s="337">
        <v>40</v>
      </c>
      <c r="D113" s="175">
        <f t="shared" si="5"/>
        <v>120</v>
      </c>
    </row>
    <row r="114" spans="1:5" ht="14">
      <c r="A114" s="174" t="s">
        <v>378</v>
      </c>
      <c r="B114" s="177"/>
      <c r="C114" s="337">
        <v>20</v>
      </c>
      <c r="D114" s="175">
        <f t="shared" si="5"/>
        <v>60</v>
      </c>
    </row>
    <row r="115" spans="1:5" ht="14">
      <c r="A115" s="174" t="s">
        <v>495</v>
      </c>
      <c r="B115" s="175">
        <v>60</v>
      </c>
      <c r="C115" s="337">
        <v>25</v>
      </c>
      <c r="D115" s="175">
        <f>C115*$I$13</f>
        <v>75</v>
      </c>
    </row>
    <row r="116" spans="1:5" ht="14">
      <c r="A116" s="174" t="s">
        <v>496</v>
      </c>
      <c r="B116" s="175">
        <v>85</v>
      </c>
      <c r="C116" s="337">
        <v>35</v>
      </c>
      <c r="D116" s="175">
        <f>C116*$I$13</f>
        <v>105</v>
      </c>
    </row>
    <row r="118" spans="1:5">
      <c r="A118" s="164" t="s">
        <v>400</v>
      </c>
    </row>
    <row r="120" spans="1:5" ht="22.5">
      <c r="A120" s="171"/>
      <c r="B120" s="180" t="s">
        <v>401</v>
      </c>
      <c r="C120" s="832" t="s">
        <v>357</v>
      </c>
      <c r="D120" s="832" t="s">
        <v>358</v>
      </c>
    </row>
    <row r="121" spans="1:5" ht="14">
      <c r="A121" s="172" t="s">
        <v>471</v>
      </c>
      <c r="B121" s="33" t="s">
        <v>234</v>
      </c>
      <c r="C121" s="832" t="s">
        <v>338</v>
      </c>
      <c r="D121" s="832"/>
    </row>
    <row r="122" spans="1:5" ht="14">
      <c r="A122" s="174" t="s">
        <v>395</v>
      </c>
      <c r="B122" s="583">
        <v>25.5</v>
      </c>
      <c r="C122" s="337">
        <v>0</v>
      </c>
      <c r="D122" s="175">
        <v>0</v>
      </c>
      <c r="E122" s="164" t="s">
        <v>611</v>
      </c>
    </row>
    <row r="123" spans="1:5" ht="14">
      <c r="A123" s="174" t="s">
        <v>396</v>
      </c>
      <c r="B123" s="584">
        <v>18</v>
      </c>
      <c r="C123" s="337">
        <v>0</v>
      </c>
      <c r="D123" s="175">
        <v>0</v>
      </c>
      <c r="E123" s="164" t="s">
        <v>610</v>
      </c>
    </row>
    <row r="124" spans="1:5" ht="14">
      <c r="A124" s="174" t="s">
        <v>397</v>
      </c>
      <c r="B124" s="584">
        <v>6</v>
      </c>
      <c r="C124" s="337">
        <v>0</v>
      </c>
      <c r="D124" s="175">
        <v>0</v>
      </c>
      <c r="E124" s="164" t="s">
        <v>612</v>
      </c>
    </row>
    <row r="125" spans="1:5" ht="14">
      <c r="A125" s="174" t="s">
        <v>398</v>
      </c>
      <c r="B125" s="177">
        <v>6</v>
      </c>
      <c r="C125" s="337">
        <v>0</v>
      </c>
      <c r="D125" s="175">
        <v>0</v>
      </c>
    </row>
    <row r="126" spans="1:5" ht="14">
      <c r="A126" s="174" t="s">
        <v>641</v>
      </c>
      <c r="B126" s="177">
        <v>6</v>
      </c>
      <c r="C126" s="337">
        <v>0</v>
      </c>
      <c r="D126" s="175">
        <v>0</v>
      </c>
      <c r="E126" s="164" t="s">
        <v>642</v>
      </c>
    </row>
    <row r="127" spans="1:5" ht="14">
      <c r="A127" s="174" t="s">
        <v>399</v>
      </c>
      <c r="B127" s="177">
        <v>45</v>
      </c>
      <c r="C127" s="337">
        <v>0</v>
      </c>
      <c r="D127" s="175">
        <v>0</v>
      </c>
    </row>
    <row r="128" spans="1:5" ht="14">
      <c r="A128" s="174" t="s">
        <v>626</v>
      </c>
      <c r="B128" s="585">
        <v>12</v>
      </c>
      <c r="C128" s="337">
        <v>0</v>
      </c>
      <c r="D128" s="175">
        <f>C128*$I$13</f>
        <v>0</v>
      </c>
    </row>
    <row r="129" spans="1:6" ht="14">
      <c r="A129" s="174" t="s">
        <v>627</v>
      </c>
      <c r="B129" s="585">
        <v>24</v>
      </c>
      <c r="C129" s="337">
        <v>0</v>
      </c>
      <c r="D129" s="175">
        <f>C129*$I$13</f>
        <v>0</v>
      </c>
    </row>
    <row r="130" spans="1:6" ht="14">
      <c r="A130" s="174" t="s">
        <v>472</v>
      </c>
      <c r="B130" s="508">
        <f>40*2</f>
        <v>80</v>
      </c>
      <c r="C130" s="337">
        <v>27</v>
      </c>
      <c r="D130" s="175">
        <f>C130*3</f>
        <v>81</v>
      </c>
      <c r="E130" s="373"/>
    </row>
    <row r="131" spans="1:6" ht="14">
      <c r="A131" s="174" t="s">
        <v>473</v>
      </c>
      <c r="B131" s="177">
        <f>99*2</f>
        <v>198</v>
      </c>
      <c r="C131" s="337">
        <v>66</v>
      </c>
      <c r="D131" s="175">
        <f>C131*3</f>
        <v>198</v>
      </c>
    </row>
    <row r="132" spans="1:6" ht="14">
      <c r="A132" s="174" t="s">
        <v>474</v>
      </c>
      <c r="B132" s="175">
        <f>99*2</f>
        <v>198</v>
      </c>
      <c r="C132" s="337">
        <v>66</v>
      </c>
      <c r="D132" s="175">
        <f>C132*3</f>
        <v>198</v>
      </c>
    </row>
    <row r="133" spans="1:6" ht="14">
      <c r="A133" s="174" t="s">
        <v>475</v>
      </c>
      <c r="B133" s="175">
        <f>160*2</f>
        <v>320</v>
      </c>
      <c r="C133" s="337">
        <v>107</v>
      </c>
      <c r="D133" s="175">
        <f>C133*3</f>
        <v>321</v>
      </c>
    </row>
    <row r="134" spans="1:6" ht="14">
      <c r="A134" s="174" t="s">
        <v>476</v>
      </c>
      <c r="B134" s="175">
        <f>30*2</f>
        <v>60</v>
      </c>
      <c r="C134" s="337">
        <v>25</v>
      </c>
      <c r="D134" s="175">
        <f>C134*3</f>
        <v>75</v>
      </c>
    </row>
    <row r="135" spans="1:6" ht="14">
      <c r="A135" s="174" t="s">
        <v>498</v>
      </c>
      <c r="B135" s="175">
        <v>3</v>
      </c>
      <c r="C135" s="337">
        <v>0</v>
      </c>
      <c r="D135" s="175">
        <f t="shared" ref="D135:D142" si="6">C135*$I$13</f>
        <v>0</v>
      </c>
    </row>
    <row r="136" spans="1:6" ht="14">
      <c r="A136" s="174" t="s">
        <v>504</v>
      </c>
      <c r="B136" s="175">
        <f>1.5+3</f>
        <v>4.5</v>
      </c>
      <c r="C136" s="337">
        <v>0</v>
      </c>
      <c r="D136" s="175">
        <f t="shared" si="6"/>
        <v>0</v>
      </c>
      <c r="E136" s="164" t="s">
        <v>503</v>
      </c>
      <c r="F136" s="510">
        <v>1.5</v>
      </c>
    </row>
    <row r="137" spans="1:6" ht="14">
      <c r="A137" s="174" t="s">
        <v>505</v>
      </c>
      <c r="B137" s="175">
        <v>18</v>
      </c>
      <c r="C137" s="337">
        <v>0</v>
      </c>
      <c r="D137" s="175">
        <f t="shared" si="6"/>
        <v>0</v>
      </c>
    </row>
    <row r="138" spans="1:6" ht="14">
      <c r="A138" s="174" t="s">
        <v>506</v>
      </c>
      <c r="B138" s="175">
        <v>10</v>
      </c>
      <c r="C138" s="337">
        <v>7</v>
      </c>
      <c r="D138" s="175">
        <f t="shared" si="6"/>
        <v>21</v>
      </c>
    </row>
    <row r="139" spans="1:6" ht="14">
      <c r="A139" s="174" t="s">
        <v>507</v>
      </c>
      <c r="B139" s="175">
        <v>120</v>
      </c>
      <c r="C139" s="337">
        <v>80</v>
      </c>
      <c r="D139" s="175">
        <f t="shared" si="6"/>
        <v>240</v>
      </c>
    </row>
    <row r="140" spans="1:6" ht="14">
      <c r="A140" s="174" t="s">
        <v>524</v>
      </c>
      <c r="B140" s="507">
        <f>3*3</f>
        <v>9</v>
      </c>
      <c r="C140" s="337">
        <v>0</v>
      </c>
      <c r="D140" s="175">
        <f t="shared" si="6"/>
        <v>0</v>
      </c>
    </row>
    <row r="141" spans="1:6" ht="14">
      <c r="A141" s="174" t="s">
        <v>525</v>
      </c>
      <c r="B141" s="507">
        <f>3*3</f>
        <v>9</v>
      </c>
      <c r="C141" s="337">
        <v>0</v>
      </c>
      <c r="D141" s="175">
        <f t="shared" si="6"/>
        <v>0</v>
      </c>
    </row>
    <row r="142" spans="1:6" ht="14">
      <c r="A142" s="174" t="s">
        <v>526</v>
      </c>
      <c r="B142" s="507">
        <f>2.5*3</f>
        <v>7.5</v>
      </c>
      <c r="C142" s="337">
        <v>0</v>
      </c>
      <c r="D142" s="175">
        <f t="shared" si="6"/>
        <v>0</v>
      </c>
    </row>
  </sheetData>
  <mergeCells count="52">
    <mergeCell ref="E106:E107"/>
    <mergeCell ref="I79:I80"/>
    <mergeCell ref="B15:D15"/>
    <mergeCell ref="B29:D29"/>
    <mergeCell ref="E29:E30"/>
    <mergeCell ref="F29:F30"/>
    <mergeCell ref="E39:F39"/>
    <mergeCell ref="B16:D16"/>
    <mergeCell ref="E16:E17"/>
    <mergeCell ref="F16:F17"/>
    <mergeCell ref="E40:E41"/>
    <mergeCell ref="F40:F41"/>
    <mergeCell ref="E66:E67"/>
    <mergeCell ref="E79:E80"/>
    <mergeCell ref="R57:R58"/>
    <mergeCell ref="Q43:Q44"/>
    <mergeCell ref="B39:D39"/>
    <mergeCell ref="I3:I5"/>
    <mergeCell ref="N31:N37"/>
    <mergeCell ref="N38:N54"/>
    <mergeCell ref="G28:G30"/>
    <mergeCell ref="G39:G41"/>
    <mergeCell ref="B3:D3"/>
    <mergeCell ref="E3:F3"/>
    <mergeCell ref="B4:D4"/>
    <mergeCell ref="E4:E5"/>
    <mergeCell ref="F4:F5"/>
    <mergeCell ref="M2:N2"/>
    <mergeCell ref="I15:I17"/>
    <mergeCell ref="G15:G17"/>
    <mergeCell ref="H3:H5"/>
    <mergeCell ref="H15:H17"/>
    <mergeCell ref="M14:N14"/>
    <mergeCell ref="G3:G5"/>
    <mergeCell ref="J3:J5"/>
    <mergeCell ref="J15:J17"/>
    <mergeCell ref="C120:C121"/>
    <mergeCell ref="D120:D121"/>
    <mergeCell ref="E15:F15"/>
    <mergeCell ref="B28:D28"/>
    <mergeCell ref="E28:F28"/>
    <mergeCell ref="C98:C99"/>
    <mergeCell ref="D98:D99"/>
    <mergeCell ref="C52:C53"/>
    <mergeCell ref="D52:D53"/>
    <mergeCell ref="C66:C67"/>
    <mergeCell ref="D66:D67"/>
    <mergeCell ref="C79:C80"/>
    <mergeCell ref="D79:D80"/>
    <mergeCell ref="C106:C107"/>
    <mergeCell ref="D106:D107"/>
    <mergeCell ref="B40:D40"/>
  </mergeCells>
  <phoneticPr fontId="2" type="noConversion"/>
  <dataValidations disablePrompts="1" count="1">
    <dataValidation type="list" allowBlank="1" showInputMessage="1" showErrorMessage="1" sqref="S4:S6 S8:S10" xr:uid="{00000000-0002-0000-0B00-000000000000}">
      <formula1>$S$4:$S$11</formula1>
    </dataValidation>
  </dataValidations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6"/>
  <dimension ref="A1:L447"/>
  <sheetViews>
    <sheetView showGridLines="0" topLeftCell="B1" workbookViewId="0">
      <selection activeCell="D2" sqref="D2:D387"/>
    </sheetView>
  </sheetViews>
  <sheetFormatPr baseColWidth="10" defaultRowHeight="12.5"/>
  <cols>
    <col min="1" max="1" width="52.81640625" style="14" customWidth="1"/>
    <col min="2" max="2" width="21" style="14" bestFit="1" customWidth="1"/>
    <col min="3" max="3" width="15.81640625" style="14" bestFit="1" customWidth="1"/>
    <col min="4" max="4" width="28.81640625" style="14" bestFit="1" customWidth="1"/>
    <col min="5" max="5" width="21.81640625" style="14" bestFit="1" customWidth="1"/>
    <col min="6" max="6" width="15.1796875" style="14" bestFit="1" customWidth="1"/>
    <col min="8" max="8" width="14.1796875" bestFit="1" customWidth="1"/>
    <col min="9" max="9" width="7.81640625" bestFit="1" customWidth="1"/>
    <col min="10" max="11" width="14.1796875" bestFit="1" customWidth="1"/>
    <col min="12" max="12" width="7.81640625" bestFit="1" customWidth="1"/>
  </cols>
  <sheetData>
    <row r="1" spans="1:12" ht="13">
      <c r="A1" s="11" t="s">
        <v>69</v>
      </c>
      <c r="B1" s="192" t="s">
        <v>68</v>
      </c>
      <c r="C1" s="192" t="s">
        <v>19</v>
      </c>
      <c r="D1" s="192" t="s">
        <v>23</v>
      </c>
      <c r="E1" s="192" t="s">
        <v>66</v>
      </c>
      <c r="F1" s="192" t="s">
        <v>67</v>
      </c>
      <c r="H1" s="8" t="s">
        <v>59</v>
      </c>
      <c r="I1" s="8" t="s">
        <v>59</v>
      </c>
      <c r="J1" s="8" t="s">
        <v>59</v>
      </c>
      <c r="K1" s="226" t="s">
        <v>59</v>
      </c>
      <c r="L1" s="151" t="s">
        <v>59</v>
      </c>
    </row>
    <row r="2" spans="1:12">
      <c r="A2" s="12" t="str">
        <f t="shared" ref="A2:A49" si="0">C2&amp;D2&amp;E2</f>
        <v>portabilidadEMPRESAS VOZVOZ</v>
      </c>
      <c r="B2" s="193" t="s">
        <v>32</v>
      </c>
      <c r="C2" s="13" t="s">
        <v>70</v>
      </c>
      <c r="D2" s="100" t="s">
        <v>316</v>
      </c>
      <c r="E2" s="193" t="s">
        <v>4</v>
      </c>
      <c r="F2" s="193" t="s">
        <v>108</v>
      </c>
      <c r="H2" s="232" t="s">
        <v>6</v>
      </c>
      <c r="I2" s="233" t="s">
        <v>191</v>
      </c>
      <c r="J2" s="232" t="s">
        <v>6</v>
      </c>
      <c r="K2" s="234" t="s">
        <v>6</v>
      </c>
      <c r="L2" s="235" t="s">
        <v>88</v>
      </c>
    </row>
    <row r="3" spans="1:12" ht="14">
      <c r="A3" s="12" t="str">
        <f t="shared" si="0"/>
        <v>portabilidadEMPRESAS 1VOZ</v>
      </c>
      <c r="B3" s="193" t="s">
        <v>32</v>
      </c>
      <c r="C3" s="13" t="s">
        <v>70</v>
      </c>
      <c r="D3" s="174" t="s">
        <v>312</v>
      </c>
      <c r="E3" s="193" t="s">
        <v>4</v>
      </c>
      <c r="F3" s="193" t="s">
        <v>108</v>
      </c>
      <c r="H3" s="236" t="s">
        <v>15</v>
      </c>
      <c r="I3" s="236" t="s">
        <v>88</v>
      </c>
      <c r="J3" s="236" t="s">
        <v>190</v>
      </c>
      <c r="K3" s="237" t="s">
        <v>190</v>
      </c>
      <c r="L3" s="235" t="s">
        <v>102</v>
      </c>
    </row>
    <row r="4" spans="1:12" ht="14">
      <c r="A4" s="12" t="str">
        <f t="shared" si="0"/>
        <v>portabilidadEMPRESAS 5VOZ</v>
      </c>
      <c r="B4" s="193" t="s">
        <v>32</v>
      </c>
      <c r="C4" s="13" t="s">
        <v>70</v>
      </c>
      <c r="D4" s="174" t="s">
        <v>313</v>
      </c>
      <c r="E4" s="193" t="s">
        <v>4</v>
      </c>
      <c r="F4" s="193" t="s">
        <v>109</v>
      </c>
      <c r="H4" s="233" t="s">
        <v>207</v>
      </c>
      <c r="I4" s="236" t="s">
        <v>193</v>
      </c>
      <c r="J4" s="233" t="s">
        <v>191</v>
      </c>
      <c r="K4" s="239" t="s">
        <v>191</v>
      </c>
      <c r="L4" s="235" t="s">
        <v>18</v>
      </c>
    </row>
    <row r="5" spans="1:12" ht="14">
      <c r="A5" s="12" t="str">
        <f t="shared" si="0"/>
        <v>portabilidadEMPRESAS 20VOZ</v>
      </c>
      <c r="B5" s="193" t="s">
        <v>32</v>
      </c>
      <c r="C5" s="13" t="s">
        <v>70</v>
      </c>
      <c r="D5" s="174" t="s">
        <v>314</v>
      </c>
      <c r="E5" s="193" t="s">
        <v>4</v>
      </c>
      <c r="F5" s="193" t="s">
        <v>110</v>
      </c>
      <c r="H5" s="233" t="s">
        <v>124</v>
      </c>
      <c r="I5" s="236" t="s">
        <v>210</v>
      </c>
      <c r="J5" s="236" t="s">
        <v>4</v>
      </c>
      <c r="K5" s="237" t="s">
        <v>4</v>
      </c>
      <c r="L5" s="240" t="s">
        <v>101</v>
      </c>
    </row>
    <row r="6" spans="1:12" ht="14">
      <c r="A6" s="12" t="str">
        <f t="shared" si="0"/>
        <v>portabilidadEMPRESAS ILIMITADAVOZ</v>
      </c>
      <c r="B6" s="193" t="s">
        <v>32</v>
      </c>
      <c r="C6" s="13" t="s">
        <v>70</v>
      </c>
      <c r="D6" s="174" t="s">
        <v>315</v>
      </c>
      <c r="E6" s="193" t="s">
        <v>4</v>
      </c>
      <c r="F6" s="193" t="s">
        <v>111</v>
      </c>
      <c r="H6" s="233" t="s">
        <v>193</v>
      </c>
      <c r="J6" s="233" t="s">
        <v>192</v>
      </c>
      <c r="K6" s="239" t="s">
        <v>192</v>
      </c>
      <c r="L6" s="235"/>
    </row>
    <row r="7" spans="1:12" ht="14">
      <c r="A7" s="12" t="str">
        <f t="shared" si="0"/>
        <v>portabilidadEMPRESAS INTERNACIONALVOZ</v>
      </c>
      <c r="B7" s="193" t="s">
        <v>32</v>
      </c>
      <c r="C7" s="13" t="s">
        <v>70</v>
      </c>
      <c r="D7" s="174" t="s">
        <v>320</v>
      </c>
      <c r="E7" s="193" t="s">
        <v>4</v>
      </c>
      <c r="F7" s="193" t="s">
        <v>146</v>
      </c>
      <c r="H7" s="233" t="s">
        <v>195</v>
      </c>
      <c r="J7" s="236" t="s">
        <v>193</v>
      </c>
      <c r="K7" s="237" t="s">
        <v>193</v>
      </c>
    </row>
    <row r="8" spans="1:12">
      <c r="A8" s="12" t="str">
        <f t="shared" si="0"/>
        <v>captaEMPRESAS VOZVOZ</v>
      </c>
      <c r="B8" s="193" t="s">
        <v>32</v>
      </c>
      <c r="C8" s="12" t="s">
        <v>71</v>
      </c>
      <c r="D8" s="100" t="s">
        <v>316</v>
      </c>
      <c r="E8" s="193" t="s">
        <v>4</v>
      </c>
      <c r="F8" s="193" t="s">
        <v>108</v>
      </c>
      <c r="H8" s="236" t="s">
        <v>190</v>
      </c>
      <c r="J8" s="236" t="s">
        <v>194</v>
      </c>
      <c r="K8" s="237" t="s">
        <v>194</v>
      </c>
    </row>
    <row r="9" spans="1:12" ht="14">
      <c r="A9" s="12" t="str">
        <f t="shared" si="0"/>
        <v>captaEMPRESAS 1VOZ</v>
      </c>
      <c r="B9" s="193" t="s">
        <v>32</v>
      </c>
      <c r="C9" s="12" t="s">
        <v>71</v>
      </c>
      <c r="D9" s="174" t="s">
        <v>312</v>
      </c>
      <c r="E9" s="193" t="s">
        <v>4</v>
      </c>
      <c r="F9" s="193" t="s">
        <v>108</v>
      </c>
      <c r="H9" s="236" t="s">
        <v>192</v>
      </c>
      <c r="J9" s="236" t="s">
        <v>195</v>
      </c>
      <c r="K9" s="237" t="s">
        <v>195</v>
      </c>
    </row>
    <row r="10" spans="1:12" ht="14">
      <c r="A10" s="12" t="str">
        <f t="shared" si="0"/>
        <v>captaEMPRESAS 5VOZ</v>
      </c>
      <c r="B10" s="193" t="s">
        <v>32</v>
      </c>
      <c r="C10" s="12" t="s">
        <v>71</v>
      </c>
      <c r="D10" s="174" t="s">
        <v>313</v>
      </c>
      <c r="E10" s="193" t="s">
        <v>4</v>
      </c>
      <c r="F10" s="193" t="s">
        <v>109</v>
      </c>
      <c r="H10" s="236" t="s">
        <v>191</v>
      </c>
      <c r="J10" s="236" t="s">
        <v>124</v>
      </c>
      <c r="K10" s="237" t="s">
        <v>124</v>
      </c>
    </row>
    <row r="11" spans="1:12" ht="14">
      <c r="A11" s="12" t="str">
        <f t="shared" si="0"/>
        <v>captaEMPRESAS 20VOZ</v>
      </c>
      <c r="B11" s="193" t="s">
        <v>32</v>
      </c>
      <c r="C11" s="12" t="s">
        <v>71</v>
      </c>
      <c r="D11" s="174" t="s">
        <v>314</v>
      </c>
      <c r="E11" s="193" t="s">
        <v>4</v>
      </c>
      <c r="F11" s="193" t="s">
        <v>110</v>
      </c>
      <c r="H11" s="233" t="s">
        <v>210</v>
      </c>
      <c r="J11" s="233" t="s">
        <v>15</v>
      </c>
      <c r="K11" s="239" t="s">
        <v>15</v>
      </c>
    </row>
    <row r="12" spans="1:12" ht="14">
      <c r="A12" s="12" t="str">
        <f t="shared" si="0"/>
        <v>captaEMPRESAS ILIMITADAVOZ</v>
      </c>
      <c r="B12" s="193" t="s">
        <v>32</v>
      </c>
      <c r="C12" s="12" t="s">
        <v>71</v>
      </c>
      <c r="D12" s="174" t="s">
        <v>315</v>
      </c>
      <c r="E12" s="193" t="s">
        <v>4</v>
      </c>
      <c r="F12" s="193" t="s">
        <v>111</v>
      </c>
      <c r="H12" s="233" t="s">
        <v>4</v>
      </c>
    </row>
    <row r="13" spans="1:12" ht="14">
      <c r="A13" s="12" t="str">
        <f t="shared" si="0"/>
        <v>captaEMPRESAS INTERNACIONALVOZ</v>
      </c>
      <c r="B13" s="193" t="s">
        <v>32</v>
      </c>
      <c r="C13" s="12" t="s">
        <v>71</v>
      </c>
      <c r="D13" s="174" t="s">
        <v>320</v>
      </c>
      <c r="E13" s="193" t="s">
        <v>4</v>
      </c>
      <c r="F13" s="193" t="s">
        <v>146</v>
      </c>
      <c r="H13" s="236" t="s">
        <v>284</v>
      </c>
    </row>
    <row r="14" spans="1:12">
      <c r="A14" s="12" t="str">
        <f t="shared" si="0"/>
        <v>portabilidadEMPRESAS VOZFIX</v>
      </c>
      <c r="B14" s="193" t="s">
        <v>32</v>
      </c>
      <c r="C14" s="13" t="s">
        <v>70</v>
      </c>
      <c r="D14" s="100" t="s">
        <v>316</v>
      </c>
      <c r="E14" s="193" t="s">
        <v>6</v>
      </c>
      <c r="F14" s="193" t="s">
        <v>108</v>
      </c>
      <c r="H14" s="122"/>
    </row>
    <row r="15" spans="1:12" ht="14">
      <c r="A15" s="12" t="str">
        <f t="shared" si="0"/>
        <v>portabilidadEMPRESAS 1FIX</v>
      </c>
      <c r="B15" s="193" t="s">
        <v>32</v>
      </c>
      <c r="C15" s="13" t="s">
        <v>70</v>
      </c>
      <c r="D15" s="174" t="s">
        <v>312</v>
      </c>
      <c r="E15" s="193" t="s">
        <v>6</v>
      </c>
      <c r="F15" s="193" t="s">
        <v>108</v>
      </c>
    </row>
    <row r="16" spans="1:12" ht="14">
      <c r="A16" s="12" t="str">
        <f t="shared" si="0"/>
        <v>portabilidadEMPRESAS 5FIX</v>
      </c>
      <c r="B16" s="193" t="s">
        <v>32</v>
      </c>
      <c r="C16" s="13" t="s">
        <v>70</v>
      </c>
      <c r="D16" s="174" t="s">
        <v>313</v>
      </c>
      <c r="E16" s="193" t="s">
        <v>6</v>
      </c>
      <c r="F16" s="193" t="s">
        <v>109</v>
      </c>
    </row>
    <row r="17" spans="1:6" ht="14">
      <c r="A17" s="12" t="str">
        <f t="shared" si="0"/>
        <v>portabilidadEMPRESAS 20FIX</v>
      </c>
      <c r="B17" s="193" t="s">
        <v>32</v>
      </c>
      <c r="C17" s="13" t="s">
        <v>70</v>
      </c>
      <c r="D17" s="174" t="s">
        <v>314</v>
      </c>
      <c r="E17" s="193" t="s">
        <v>6</v>
      </c>
      <c r="F17" s="193" t="s">
        <v>110</v>
      </c>
    </row>
    <row r="18" spans="1:6" ht="14">
      <c r="A18" s="12" t="str">
        <f t="shared" si="0"/>
        <v>portabilidadEMPRESAS ILIMITADAFIX</v>
      </c>
      <c r="B18" s="193" t="s">
        <v>32</v>
      </c>
      <c r="C18" s="13" t="s">
        <v>70</v>
      </c>
      <c r="D18" s="174" t="s">
        <v>315</v>
      </c>
      <c r="E18" s="193" t="s">
        <v>6</v>
      </c>
      <c r="F18" s="193" t="s">
        <v>111</v>
      </c>
    </row>
    <row r="19" spans="1:6" ht="14">
      <c r="A19" s="12" t="str">
        <f t="shared" si="0"/>
        <v>portabilidadEMPRESAS INTERNACIONALFIX</v>
      </c>
      <c r="B19" s="193" t="s">
        <v>32</v>
      </c>
      <c r="C19" s="13" t="s">
        <v>70</v>
      </c>
      <c r="D19" s="174" t="s">
        <v>320</v>
      </c>
      <c r="E19" s="193" t="s">
        <v>6</v>
      </c>
      <c r="F19" s="193" t="s">
        <v>146</v>
      </c>
    </row>
    <row r="20" spans="1:6">
      <c r="A20" s="12" t="str">
        <f t="shared" si="0"/>
        <v>captaEMPRESAS VOZFIX</v>
      </c>
      <c r="B20" s="193" t="s">
        <v>32</v>
      </c>
      <c r="C20" s="12" t="s">
        <v>71</v>
      </c>
      <c r="D20" s="100" t="s">
        <v>316</v>
      </c>
      <c r="E20" s="193" t="s">
        <v>6</v>
      </c>
      <c r="F20" s="193" t="s">
        <v>108</v>
      </c>
    </row>
    <row r="21" spans="1:6" ht="14">
      <c r="A21" s="12" t="str">
        <f t="shared" si="0"/>
        <v>captaEMPRESAS 1FIX</v>
      </c>
      <c r="B21" s="193" t="s">
        <v>32</v>
      </c>
      <c r="C21" s="12" t="s">
        <v>71</v>
      </c>
      <c r="D21" s="174" t="s">
        <v>312</v>
      </c>
      <c r="E21" s="193" t="s">
        <v>6</v>
      </c>
      <c r="F21" s="193" t="s">
        <v>108</v>
      </c>
    </row>
    <row r="22" spans="1:6" ht="14">
      <c r="A22" s="12" t="str">
        <f t="shared" si="0"/>
        <v>captaEMPRESAS 5FIX</v>
      </c>
      <c r="B22" s="193" t="s">
        <v>32</v>
      </c>
      <c r="C22" s="12" t="s">
        <v>71</v>
      </c>
      <c r="D22" s="174" t="s">
        <v>313</v>
      </c>
      <c r="E22" s="193" t="s">
        <v>6</v>
      </c>
      <c r="F22" s="193" t="s">
        <v>109</v>
      </c>
    </row>
    <row r="23" spans="1:6" ht="14">
      <c r="A23" s="12" t="str">
        <f t="shared" si="0"/>
        <v>captaEMPRESAS 20FIX</v>
      </c>
      <c r="B23" s="193" t="s">
        <v>32</v>
      </c>
      <c r="C23" s="12" t="s">
        <v>71</v>
      </c>
      <c r="D23" s="174" t="s">
        <v>314</v>
      </c>
      <c r="E23" s="193" t="s">
        <v>6</v>
      </c>
      <c r="F23" s="193" t="s">
        <v>110</v>
      </c>
    </row>
    <row r="24" spans="1:6" ht="14">
      <c r="A24" s="12" t="str">
        <f t="shared" si="0"/>
        <v>captaEMPRESAS ILIMITADAFIX</v>
      </c>
      <c r="B24" s="193" t="s">
        <v>32</v>
      </c>
      <c r="C24" s="12" t="s">
        <v>71</v>
      </c>
      <c r="D24" s="174" t="s">
        <v>315</v>
      </c>
      <c r="E24" s="193" t="s">
        <v>6</v>
      </c>
      <c r="F24" s="193" t="s">
        <v>111</v>
      </c>
    </row>
    <row r="25" spans="1:6" ht="14">
      <c r="A25" s="12" t="str">
        <f t="shared" si="0"/>
        <v>captaEMPRESAS INTERNACIONALFIX</v>
      </c>
      <c r="B25" s="193" t="s">
        <v>32</v>
      </c>
      <c r="C25" s="12" t="s">
        <v>71</v>
      </c>
      <c r="D25" s="174" t="s">
        <v>320</v>
      </c>
      <c r="E25" s="193" t="s">
        <v>6</v>
      </c>
      <c r="F25" s="193" t="s">
        <v>146</v>
      </c>
    </row>
    <row r="26" spans="1:6">
      <c r="A26" s="12" t="str">
        <f t="shared" si="0"/>
        <v>portabilidadEMPRESAS VOZSMARTPHONE</v>
      </c>
      <c r="B26" s="193" t="s">
        <v>32</v>
      </c>
      <c r="C26" s="13" t="s">
        <v>70</v>
      </c>
      <c r="D26" s="100" t="s">
        <v>316</v>
      </c>
      <c r="E26" s="193" t="s">
        <v>190</v>
      </c>
      <c r="F26" s="193" t="s">
        <v>108</v>
      </c>
    </row>
    <row r="27" spans="1:6" ht="14">
      <c r="A27" s="12" t="str">
        <f t="shared" si="0"/>
        <v>portabilidadEMPRESAS 1SMARTPHONE</v>
      </c>
      <c r="B27" s="193" t="s">
        <v>32</v>
      </c>
      <c r="C27" s="13" t="s">
        <v>70</v>
      </c>
      <c r="D27" s="174" t="s">
        <v>312</v>
      </c>
      <c r="E27" s="193" t="s">
        <v>190</v>
      </c>
      <c r="F27" s="193" t="s">
        <v>108</v>
      </c>
    </row>
    <row r="28" spans="1:6" ht="14">
      <c r="A28" s="12" t="str">
        <f t="shared" si="0"/>
        <v>portabilidadEMPRESAS 5SMARTPHONE</v>
      </c>
      <c r="B28" s="193" t="s">
        <v>32</v>
      </c>
      <c r="C28" s="13" t="s">
        <v>70</v>
      </c>
      <c r="D28" s="174" t="s">
        <v>313</v>
      </c>
      <c r="E28" s="193" t="s">
        <v>190</v>
      </c>
      <c r="F28" s="193" t="s">
        <v>109</v>
      </c>
    </row>
    <row r="29" spans="1:6" ht="14">
      <c r="A29" s="12" t="str">
        <f t="shared" si="0"/>
        <v>portabilidadEMPRESAS 20SMARTPHONE</v>
      </c>
      <c r="B29" s="193" t="s">
        <v>32</v>
      </c>
      <c r="C29" s="13" t="s">
        <v>70</v>
      </c>
      <c r="D29" s="174" t="s">
        <v>314</v>
      </c>
      <c r="E29" s="193" t="s">
        <v>190</v>
      </c>
      <c r="F29" s="193" t="s">
        <v>110</v>
      </c>
    </row>
    <row r="30" spans="1:6" ht="14">
      <c r="A30" s="12" t="str">
        <f t="shared" si="0"/>
        <v>portabilidadEMPRESAS ILIMITADASMARTPHONE</v>
      </c>
      <c r="B30" s="193" t="s">
        <v>32</v>
      </c>
      <c r="C30" s="13" t="s">
        <v>70</v>
      </c>
      <c r="D30" s="174" t="s">
        <v>315</v>
      </c>
      <c r="E30" s="193" t="s">
        <v>190</v>
      </c>
      <c r="F30" s="193" t="s">
        <v>111</v>
      </c>
    </row>
    <row r="31" spans="1:6" ht="14">
      <c r="A31" s="12" t="str">
        <f t="shared" si="0"/>
        <v>portabilidadEMPRESAS INTERNACIONALSMARTPHONE</v>
      </c>
      <c r="B31" s="193" t="s">
        <v>32</v>
      </c>
      <c r="C31" s="13" t="s">
        <v>70</v>
      </c>
      <c r="D31" s="174" t="s">
        <v>320</v>
      </c>
      <c r="E31" s="193" t="s">
        <v>190</v>
      </c>
      <c r="F31" s="193" t="s">
        <v>146</v>
      </c>
    </row>
    <row r="32" spans="1:6">
      <c r="A32" s="12" t="str">
        <f t="shared" si="0"/>
        <v>captaEMPRESAS VOZSMARTPHONE</v>
      </c>
      <c r="B32" s="193" t="s">
        <v>32</v>
      </c>
      <c r="C32" s="12" t="s">
        <v>71</v>
      </c>
      <c r="D32" s="100" t="s">
        <v>316</v>
      </c>
      <c r="E32" s="193" t="s">
        <v>190</v>
      </c>
      <c r="F32" s="193" t="s">
        <v>108</v>
      </c>
    </row>
    <row r="33" spans="1:6" ht="14">
      <c r="A33" s="12" t="str">
        <f t="shared" si="0"/>
        <v>captaEMPRESAS 1SMARTPHONE</v>
      </c>
      <c r="B33" s="193" t="s">
        <v>32</v>
      </c>
      <c r="C33" s="12" t="s">
        <v>71</v>
      </c>
      <c r="D33" s="174" t="s">
        <v>312</v>
      </c>
      <c r="E33" s="193" t="s">
        <v>190</v>
      </c>
      <c r="F33" s="193" t="s">
        <v>108</v>
      </c>
    </row>
    <row r="34" spans="1:6" ht="14">
      <c r="A34" s="12" t="str">
        <f t="shared" si="0"/>
        <v>captaEMPRESAS 5SMARTPHONE</v>
      </c>
      <c r="B34" s="193" t="s">
        <v>32</v>
      </c>
      <c r="C34" s="12" t="s">
        <v>71</v>
      </c>
      <c r="D34" s="174" t="s">
        <v>313</v>
      </c>
      <c r="E34" s="193" t="s">
        <v>190</v>
      </c>
      <c r="F34" s="193" t="s">
        <v>109</v>
      </c>
    </row>
    <row r="35" spans="1:6" ht="14">
      <c r="A35" s="12" t="str">
        <f t="shared" si="0"/>
        <v>captaEMPRESAS 20SMARTPHONE</v>
      </c>
      <c r="B35" s="193" t="s">
        <v>32</v>
      </c>
      <c r="C35" s="12" t="s">
        <v>71</v>
      </c>
      <c r="D35" s="174" t="s">
        <v>314</v>
      </c>
      <c r="E35" s="193" t="s">
        <v>190</v>
      </c>
      <c r="F35" s="193" t="s">
        <v>110</v>
      </c>
    </row>
    <row r="36" spans="1:6" ht="14">
      <c r="A36" s="12" t="str">
        <f t="shared" si="0"/>
        <v>captaEMPRESAS ILIMITADASMARTPHONE</v>
      </c>
      <c r="B36" s="193" t="s">
        <v>32</v>
      </c>
      <c r="C36" s="12" t="s">
        <v>71</v>
      </c>
      <c r="D36" s="174" t="s">
        <v>315</v>
      </c>
      <c r="E36" s="193" t="s">
        <v>190</v>
      </c>
      <c r="F36" s="193" t="s">
        <v>111</v>
      </c>
    </row>
    <row r="37" spans="1:6" ht="14">
      <c r="A37" s="12" t="str">
        <f t="shared" si="0"/>
        <v>captaEMPRESAS INTERNACIONALSMARTPHONE</v>
      </c>
      <c r="B37" s="193" t="s">
        <v>32</v>
      </c>
      <c r="C37" s="12" t="s">
        <v>71</v>
      </c>
      <c r="D37" s="174" t="s">
        <v>320</v>
      </c>
      <c r="E37" s="193" t="s">
        <v>190</v>
      </c>
      <c r="F37" s="193" t="s">
        <v>146</v>
      </c>
    </row>
    <row r="38" spans="1:6">
      <c r="A38" s="12" t="str">
        <f t="shared" si="0"/>
        <v>portabilidadEMPRESAS VOZTABLET</v>
      </c>
      <c r="B38" s="193" t="s">
        <v>32</v>
      </c>
      <c r="C38" s="13" t="s">
        <v>70</v>
      </c>
      <c r="D38" s="100" t="s">
        <v>316</v>
      </c>
      <c r="E38" s="193" t="s">
        <v>191</v>
      </c>
      <c r="F38" s="193" t="s">
        <v>108</v>
      </c>
    </row>
    <row r="39" spans="1:6" ht="14">
      <c r="A39" s="12" t="str">
        <f t="shared" si="0"/>
        <v>portabilidadEMPRESAS 1TABLET</v>
      </c>
      <c r="B39" s="193" t="s">
        <v>32</v>
      </c>
      <c r="C39" s="13" t="s">
        <v>70</v>
      </c>
      <c r="D39" s="174" t="s">
        <v>312</v>
      </c>
      <c r="E39" s="193" t="s">
        <v>191</v>
      </c>
      <c r="F39" s="193" t="s">
        <v>108</v>
      </c>
    </row>
    <row r="40" spans="1:6" ht="14">
      <c r="A40" s="12" t="str">
        <f t="shared" si="0"/>
        <v>portabilidadEMPRESAS 5TABLET</v>
      </c>
      <c r="B40" s="193" t="s">
        <v>32</v>
      </c>
      <c r="C40" s="13" t="s">
        <v>70</v>
      </c>
      <c r="D40" s="174" t="s">
        <v>313</v>
      </c>
      <c r="E40" s="193" t="s">
        <v>191</v>
      </c>
      <c r="F40" s="193" t="s">
        <v>109</v>
      </c>
    </row>
    <row r="41" spans="1:6" ht="14">
      <c r="A41" s="12" t="str">
        <f t="shared" si="0"/>
        <v>portabilidadEMPRESAS 20TABLET</v>
      </c>
      <c r="B41" s="193" t="s">
        <v>32</v>
      </c>
      <c r="C41" s="13" t="s">
        <v>70</v>
      </c>
      <c r="D41" s="174" t="s">
        <v>314</v>
      </c>
      <c r="E41" s="193" t="s">
        <v>191</v>
      </c>
      <c r="F41" s="193" t="s">
        <v>110</v>
      </c>
    </row>
    <row r="42" spans="1:6" ht="14">
      <c r="A42" s="12" t="str">
        <f t="shared" si="0"/>
        <v>portabilidadEMPRESAS ILIMITADATABLET</v>
      </c>
      <c r="B42" s="193" t="s">
        <v>32</v>
      </c>
      <c r="C42" s="13" t="s">
        <v>70</v>
      </c>
      <c r="D42" s="174" t="s">
        <v>315</v>
      </c>
      <c r="E42" s="193" t="s">
        <v>191</v>
      </c>
      <c r="F42" s="193" t="s">
        <v>111</v>
      </c>
    </row>
    <row r="43" spans="1:6" ht="14">
      <c r="A43" s="12" t="str">
        <f t="shared" si="0"/>
        <v>portabilidadEMPRESAS INTERNACIONALTABLET</v>
      </c>
      <c r="B43" s="193" t="s">
        <v>32</v>
      </c>
      <c r="C43" s="13" t="s">
        <v>70</v>
      </c>
      <c r="D43" s="174" t="s">
        <v>320</v>
      </c>
      <c r="E43" s="193" t="s">
        <v>191</v>
      </c>
      <c r="F43" s="193" t="s">
        <v>146</v>
      </c>
    </row>
    <row r="44" spans="1:6">
      <c r="A44" s="12" t="str">
        <f t="shared" si="0"/>
        <v>captaEMPRESAS VOZTABLET</v>
      </c>
      <c r="B44" s="193" t="s">
        <v>32</v>
      </c>
      <c r="C44" s="12" t="s">
        <v>71</v>
      </c>
      <c r="D44" s="100" t="s">
        <v>316</v>
      </c>
      <c r="E44" s="193" t="s">
        <v>191</v>
      </c>
      <c r="F44" s="193" t="s">
        <v>108</v>
      </c>
    </row>
    <row r="45" spans="1:6" ht="14">
      <c r="A45" s="12" t="str">
        <f t="shared" si="0"/>
        <v>captaEMPRESAS 1TABLET</v>
      </c>
      <c r="B45" s="193" t="s">
        <v>32</v>
      </c>
      <c r="C45" s="12" t="s">
        <v>71</v>
      </c>
      <c r="D45" s="174" t="s">
        <v>312</v>
      </c>
      <c r="E45" s="193" t="s">
        <v>191</v>
      </c>
      <c r="F45" s="193" t="s">
        <v>108</v>
      </c>
    </row>
    <row r="46" spans="1:6" ht="14">
      <c r="A46" s="12" t="str">
        <f t="shared" si="0"/>
        <v>captaEMPRESAS 5TABLET</v>
      </c>
      <c r="B46" s="193" t="s">
        <v>32</v>
      </c>
      <c r="C46" s="12" t="s">
        <v>71</v>
      </c>
      <c r="D46" s="174" t="s">
        <v>313</v>
      </c>
      <c r="E46" s="193" t="s">
        <v>191</v>
      </c>
      <c r="F46" s="193" t="s">
        <v>109</v>
      </c>
    </row>
    <row r="47" spans="1:6" ht="14">
      <c r="A47" s="12" t="str">
        <f t="shared" si="0"/>
        <v>captaEMPRESAS 20TABLET</v>
      </c>
      <c r="B47" s="193" t="s">
        <v>32</v>
      </c>
      <c r="C47" s="12" t="s">
        <v>71</v>
      </c>
      <c r="D47" s="174" t="s">
        <v>314</v>
      </c>
      <c r="E47" s="193" t="s">
        <v>191</v>
      </c>
      <c r="F47" s="193" t="s">
        <v>110</v>
      </c>
    </row>
    <row r="48" spans="1:6" ht="14">
      <c r="A48" s="12" t="str">
        <f t="shared" si="0"/>
        <v>captaEMPRESAS ILIMITADATABLET</v>
      </c>
      <c r="B48" s="193" t="s">
        <v>32</v>
      </c>
      <c r="C48" s="12" t="s">
        <v>71</v>
      </c>
      <c r="D48" s="174" t="s">
        <v>315</v>
      </c>
      <c r="E48" s="193" t="s">
        <v>191</v>
      </c>
      <c r="F48" s="193" t="s">
        <v>111</v>
      </c>
    </row>
    <row r="49" spans="1:6" ht="14">
      <c r="A49" s="12" t="str">
        <f t="shared" si="0"/>
        <v>captaEMPRESAS INTERNACIONALTABLET</v>
      </c>
      <c r="B49" s="193" t="s">
        <v>32</v>
      </c>
      <c r="C49" s="12" t="s">
        <v>71</v>
      </c>
      <c r="D49" s="174" t="s">
        <v>320</v>
      </c>
      <c r="E49" s="193" t="s">
        <v>191</v>
      </c>
      <c r="F49" s="193" t="s">
        <v>146</v>
      </c>
    </row>
    <row r="50" spans="1:6">
      <c r="A50" s="12" t="str">
        <f t="shared" ref="A50:A70" si="1">C50&amp;D50&amp;E50</f>
        <v>portabilidadEMPRESAS VOZSMARTWATCH</v>
      </c>
      <c r="B50" s="193" t="s">
        <v>32</v>
      </c>
      <c r="C50" s="100" t="s">
        <v>70</v>
      </c>
      <c r="D50" s="100" t="s">
        <v>316</v>
      </c>
      <c r="E50" s="241" t="s">
        <v>192</v>
      </c>
      <c r="F50" s="193" t="s">
        <v>108</v>
      </c>
    </row>
    <row r="51" spans="1:6" ht="14">
      <c r="A51" s="12" t="str">
        <f t="shared" si="1"/>
        <v>portabilidadEMPRESAS 1SMARTWATCH</v>
      </c>
      <c r="B51" s="193" t="s">
        <v>32</v>
      </c>
      <c r="C51" s="100" t="s">
        <v>70</v>
      </c>
      <c r="D51" s="174" t="s">
        <v>312</v>
      </c>
      <c r="E51" s="241" t="s">
        <v>192</v>
      </c>
      <c r="F51" s="193" t="s">
        <v>108</v>
      </c>
    </row>
    <row r="52" spans="1:6" ht="14">
      <c r="A52" s="12" t="str">
        <f t="shared" si="1"/>
        <v>portabilidadEMPRESAS 5SMARTWATCH</v>
      </c>
      <c r="B52" s="193" t="s">
        <v>32</v>
      </c>
      <c r="C52" s="100" t="s">
        <v>70</v>
      </c>
      <c r="D52" s="174" t="s">
        <v>313</v>
      </c>
      <c r="E52" s="241" t="s">
        <v>192</v>
      </c>
      <c r="F52" s="193" t="s">
        <v>109</v>
      </c>
    </row>
    <row r="53" spans="1:6" ht="14">
      <c r="A53" s="12" t="str">
        <f t="shared" si="1"/>
        <v>portabilidadEMPRESAS 20SMARTWATCH</v>
      </c>
      <c r="B53" s="193" t="s">
        <v>32</v>
      </c>
      <c r="C53" s="100" t="s">
        <v>70</v>
      </c>
      <c r="D53" s="174" t="s">
        <v>314</v>
      </c>
      <c r="E53" s="241" t="s">
        <v>192</v>
      </c>
      <c r="F53" s="193" t="s">
        <v>110</v>
      </c>
    </row>
    <row r="54" spans="1:6" ht="14">
      <c r="A54" s="12" t="str">
        <f t="shared" si="1"/>
        <v>portabilidadEMPRESAS ILIMITADASMARTWATCH</v>
      </c>
      <c r="B54" s="193" t="s">
        <v>32</v>
      </c>
      <c r="C54" s="100" t="s">
        <v>70</v>
      </c>
      <c r="D54" s="174" t="s">
        <v>315</v>
      </c>
      <c r="E54" s="241" t="s">
        <v>192</v>
      </c>
      <c r="F54" s="193" t="s">
        <v>111</v>
      </c>
    </row>
    <row r="55" spans="1:6" ht="14">
      <c r="A55" s="12" t="str">
        <f t="shared" si="1"/>
        <v>portabilidadEMPRESAS INTERNACIONALSMARTWATCH</v>
      </c>
      <c r="B55" s="193" t="s">
        <v>32</v>
      </c>
      <c r="C55" s="100" t="s">
        <v>70</v>
      </c>
      <c r="D55" s="174" t="s">
        <v>320</v>
      </c>
      <c r="E55" s="241" t="s">
        <v>192</v>
      </c>
      <c r="F55" s="193" t="s">
        <v>146</v>
      </c>
    </row>
    <row r="56" spans="1:6">
      <c r="A56" s="12" t="str">
        <f t="shared" si="1"/>
        <v>captaEMPRESAS VOZSMARTWATCH</v>
      </c>
      <c r="B56" s="193" t="s">
        <v>32</v>
      </c>
      <c r="C56" s="102" t="s">
        <v>71</v>
      </c>
      <c r="D56" s="100" t="s">
        <v>316</v>
      </c>
      <c r="E56" s="241" t="s">
        <v>192</v>
      </c>
      <c r="F56" s="193" t="s">
        <v>108</v>
      </c>
    </row>
    <row r="57" spans="1:6" ht="14">
      <c r="A57" s="12" t="str">
        <f t="shared" si="1"/>
        <v>captaEMPRESAS 1SMARTWATCH</v>
      </c>
      <c r="B57" s="193" t="s">
        <v>32</v>
      </c>
      <c r="C57" s="102" t="s">
        <v>71</v>
      </c>
      <c r="D57" s="174" t="s">
        <v>312</v>
      </c>
      <c r="E57" s="241" t="s">
        <v>192</v>
      </c>
      <c r="F57" s="193" t="s">
        <v>108</v>
      </c>
    </row>
    <row r="58" spans="1:6" ht="14">
      <c r="A58" s="12" t="str">
        <f t="shared" si="1"/>
        <v>captaEMPRESAS 5SMARTWATCH</v>
      </c>
      <c r="B58" s="193" t="s">
        <v>32</v>
      </c>
      <c r="C58" s="102" t="s">
        <v>71</v>
      </c>
      <c r="D58" s="174" t="s">
        <v>313</v>
      </c>
      <c r="E58" s="241" t="s">
        <v>192</v>
      </c>
      <c r="F58" s="193" t="s">
        <v>109</v>
      </c>
    </row>
    <row r="59" spans="1:6" ht="14">
      <c r="A59" s="12" t="str">
        <f t="shared" si="1"/>
        <v>captaEMPRESAS 20SMARTWATCH</v>
      </c>
      <c r="B59" s="193" t="s">
        <v>32</v>
      </c>
      <c r="C59" s="102" t="s">
        <v>71</v>
      </c>
      <c r="D59" s="174" t="s">
        <v>314</v>
      </c>
      <c r="E59" s="241" t="s">
        <v>192</v>
      </c>
      <c r="F59" s="193" t="s">
        <v>110</v>
      </c>
    </row>
    <row r="60" spans="1:6" ht="14">
      <c r="A60" s="12" t="str">
        <f t="shared" si="1"/>
        <v>captaEMPRESAS ILIMITADASMARTWATCH</v>
      </c>
      <c r="B60" s="193" t="s">
        <v>32</v>
      </c>
      <c r="C60" s="102" t="s">
        <v>71</v>
      </c>
      <c r="D60" s="174" t="s">
        <v>315</v>
      </c>
      <c r="E60" s="241" t="s">
        <v>192</v>
      </c>
      <c r="F60" s="193" t="s">
        <v>111</v>
      </c>
    </row>
    <row r="61" spans="1:6" ht="14">
      <c r="A61" s="12" t="str">
        <f t="shared" si="1"/>
        <v>captaEMPRESAS INTERNACIONALSMARTWATCH</v>
      </c>
      <c r="B61" s="193" t="s">
        <v>32</v>
      </c>
      <c r="C61" s="102" t="s">
        <v>71</v>
      </c>
      <c r="D61" s="174" t="s">
        <v>320</v>
      </c>
      <c r="E61" s="241" t="s">
        <v>192</v>
      </c>
      <c r="F61" s="193" t="s">
        <v>146</v>
      </c>
    </row>
    <row r="62" spans="1:6">
      <c r="A62" s="12" t="str">
        <f t="shared" si="1"/>
        <v>portabilidadEMPRESAS VOZPC</v>
      </c>
      <c r="B62" s="193" t="s">
        <v>32</v>
      </c>
      <c r="C62" s="100" t="s">
        <v>70</v>
      </c>
      <c r="D62" s="100" t="s">
        <v>316</v>
      </c>
      <c r="E62" s="241" t="s">
        <v>193</v>
      </c>
      <c r="F62" s="193" t="s">
        <v>108</v>
      </c>
    </row>
    <row r="63" spans="1:6" ht="14">
      <c r="A63" s="12" t="str">
        <f t="shared" si="1"/>
        <v>portabilidadEMPRESAS 1PC</v>
      </c>
      <c r="B63" s="193" t="s">
        <v>32</v>
      </c>
      <c r="C63" s="100" t="s">
        <v>70</v>
      </c>
      <c r="D63" s="174" t="s">
        <v>312</v>
      </c>
      <c r="E63" s="241" t="s">
        <v>193</v>
      </c>
      <c r="F63" s="193" t="s">
        <v>108</v>
      </c>
    </row>
    <row r="64" spans="1:6" ht="14">
      <c r="A64" s="12" t="str">
        <f t="shared" si="1"/>
        <v>portabilidadEMPRESAS 5PC</v>
      </c>
      <c r="B64" s="193" t="s">
        <v>32</v>
      </c>
      <c r="C64" s="100" t="s">
        <v>70</v>
      </c>
      <c r="D64" s="174" t="s">
        <v>313</v>
      </c>
      <c r="E64" s="241" t="s">
        <v>193</v>
      </c>
      <c r="F64" s="193" t="s">
        <v>109</v>
      </c>
    </row>
    <row r="65" spans="1:6" ht="14">
      <c r="A65" s="12" t="str">
        <f t="shared" si="1"/>
        <v>portabilidadEMPRESAS 20PC</v>
      </c>
      <c r="B65" s="193" t="s">
        <v>32</v>
      </c>
      <c r="C65" s="100" t="s">
        <v>70</v>
      </c>
      <c r="D65" s="174" t="s">
        <v>314</v>
      </c>
      <c r="E65" s="241" t="s">
        <v>193</v>
      </c>
      <c r="F65" s="193" t="s">
        <v>110</v>
      </c>
    </row>
    <row r="66" spans="1:6" ht="14">
      <c r="A66" s="12" t="str">
        <f t="shared" si="1"/>
        <v>portabilidadEMPRESAS ILIMITADAPC</v>
      </c>
      <c r="B66" s="193" t="s">
        <v>32</v>
      </c>
      <c r="C66" s="100" t="s">
        <v>70</v>
      </c>
      <c r="D66" s="174" t="s">
        <v>315</v>
      </c>
      <c r="E66" s="241" t="s">
        <v>193</v>
      </c>
      <c r="F66" s="193" t="s">
        <v>111</v>
      </c>
    </row>
    <row r="67" spans="1:6" ht="14">
      <c r="A67" s="12" t="str">
        <f t="shared" si="1"/>
        <v>portabilidadEMPRESAS INTERNACIONALPC</v>
      </c>
      <c r="B67" s="193" t="s">
        <v>32</v>
      </c>
      <c r="C67" s="100" t="s">
        <v>70</v>
      </c>
      <c r="D67" s="174" t="s">
        <v>320</v>
      </c>
      <c r="E67" s="241" t="s">
        <v>193</v>
      </c>
      <c r="F67" s="193" t="s">
        <v>146</v>
      </c>
    </row>
    <row r="68" spans="1:6">
      <c r="A68" s="12" t="str">
        <f t="shared" si="1"/>
        <v>captaEMPRESAS VOZPC</v>
      </c>
      <c r="B68" s="193" t="s">
        <v>32</v>
      </c>
      <c r="C68" s="102" t="s">
        <v>71</v>
      </c>
      <c r="D68" s="100" t="s">
        <v>316</v>
      </c>
      <c r="E68" s="241" t="s">
        <v>193</v>
      </c>
      <c r="F68" s="193" t="s">
        <v>108</v>
      </c>
    </row>
    <row r="69" spans="1:6" ht="14">
      <c r="A69" s="12" t="str">
        <f t="shared" si="1"/>
        <v>captaEMPRESAS 1PC</v>
      </c>
      <c r="B69" s="193" t="s">
        <v>32</v>
      </c>
      <c r="C69" s="102" t="s">
        <v>71</v>
      </c>
      <c r="D69" s="174" t="s">
        <v>312</v>
      </c>
      <c r="E69" s="241" t="s">
        <v>193</v>
      </c>
      <c r="F69" s="193" t="s">
        <v>108</v>
      </c>
    </row>
    <row r="70" spans="1:6" ht="14">
      <c r="A70" s="12" t="str">
        <f t="shared" si="1"/>
        <v>captaEMPRESAS 5PC</v>
      </c>
      <c r="B70" s="193" t="s">
        <v>32</v>
      </c>
      <c r="C70" s="102" t="s">
        <v>71</v>
      </c>
      <c r="D70" s="174" t="s">
        <v>313</v>
      </c>
      <c r="E70" s="241" t="s">
        <v>193</v>
      </c>
      <c r="F70" s="193" t="s">
        <v>109</v>
      </c>
    </row>
    <row r="71" spans="1:6" ht="14">
      <c r="A71" s="12" t="str">
        <f>C71&amp;D71&amp;E71</f>
        <v>captaEMPRESAS 20PC</v>
      </c>
      <c r="B71" s="193" t="s">
        <v>32</v>
      </c>
      <c r="C71" s="102" t="s">
        <v>71</v>
      </c>
      <c r="D71" s="174" t="s">
        <v>314</v>
      </c>
      <c r="E71" s="241" t="s">
        <v>193</v>
      </c>
      <c r="F71" s="193" t="s">
        <v>110</v>
      </c>
    </row>
    <row r="72" spans="1:6" ht="14">
      <c r="A72" s="12" t="str">
        <f>C72&amp;D72&amp;E72</f>
        <v>captaEMPRESAS ILIMITADAPC</v>
      </c>
      <c r="B72" s="193" t="s">
        <v>32</v>
      </c>
      <c r="C72" s="102" t="s">
        <v>71</v>
      </c>
      <c r="D72" s="174" t="s">
        <v>315</v>
      </c>
      <c r="E72" s="241" t="s">
        <v>193</v>
      </c>
      <c r="F72" s="193" t="s">
        <v>111</v>
      </c>
    </row>
    <row r="73" spans="1:6" ht="14">
      <c r="A73" s="12" t="str">
        <f>C73&amp;D73&amp;E73</f>
        <v>captaEMPRESAS INTERNACIONALPC</v>
      </c>
      <c r="B73" s="193" t="s">
        <v>32</v>
      </c>
      <c r="C73" s="102" t="s">
        <v>71</v>
      </c>
      <c r="D73" s="174" t="s">
        <v>320</v>
      </c>
      <c r="E73" s="241" t="s">
        <v>193</v>
      </c>
      <c r="F73" s="193" t="s">
        <v>146</v>
      </c>
    </row>
    <row r="74" spans="1:6">
      <c r="A74" s="12" t="str">
        <f t="shared" ref="A74:A82" si="2">C74&amp;D74&amp;E74</f>
        <v>portabilidadEMPRESAS VOZBUN PC + OC</v>
      </c>
      <c r="B74" s="193" t="s">
        <v>32</v>
      </c>
      <c r="C74" s="100" t="s">
        <v>70</v>
      </c>
      <c r="D74" s="100" t="s">
        <v>316</v>
      </c>
      <c r="E74" s="241" t="s">
        <v>194</v>
      </c>
      <c r="F74" s="193" t="s">
        <v>108</v>
      </c>
    </row>
    <row r="75" spans="1:6" ht="14">
      <c r="A75" s="12" t="str">
        <f t="shared" si="2"/>
        <v>portabilidadEMPRESAS 1BUN PC + OC</v>
      </c>
      <c r="B75" s="193" t="s">
        <v>32</v>
      </c>
      <c r="C75" s="100" t="s">
        <v>70</v>
      </c>
      <c r="D75" s="174" t="s">
        <v>312</v>
      </c>
      <c r="E75" s="241" t="s">
        <v>194</v>
      </c>
      <c r="F75" s="193" t="s">
        <v>108</v>
      </c>
    </row>
    <row r="76" spans="1:6" ht="14">
      <c r="A76" s="12" t="str">
        <f t="shared" si="2"/>
        <v>portabilidadEMPRESAS 5BUN PC + OC</v>
      </c>
      <c r="B76" s="193" t="s">
        <v>32</v>
      </c>
      <c r="C76" s="100" t="s">
        <v>70</v>
      </c>
      <c r="D76" s="174" t="s">
        <v>313</v>
      </c>
      <c r="E76" s="241" t="s">
        <v>194</v>
      </c>
      <c r="F76" s="193" t="s">
        <v>109</v>
      </c>
    </row>
    <row r="77" spans="1:6" ht="14">
      <c r="A77" s="12" t="str">
        <f t="shared" si="2"/>
        <v>portabilidadEMPRESAS 20BUN PC + OC</v>
      </c>
      <c r="B77" s="193" t="s">
        <v>32</v>
      </c>
      <c r="C77" s="100" t="s">
        <v>70</v>
      </c>
      <c r="D77" s="174" t="s">
        <v>314</v>
      </c>
      <c r="E77" s="241" t="s">
        <v>194</v>
      </c>
      <c r="F77" s="193" t="s">
        <v>110</v>
      </c>
    </row>
    <row r="78" spans="1:6" ht="14">
      <c r="A78" s="12" t="str">
        <f t="shared" si="2"/>
        <v>portabilidadEMPRESAS ILIMITADABUN PC + OC</v>
      </c>
      <c r="B78" s="193" t="s">
        <v>32</v>
      </c>
      <c r="C78" s="100" t="s">
        <v>70</v>
      </c>
      <c r="D78" s="174" t="s">
        <v>315</v>
      </c>
      <c r="E78" s="241" t="s">
        <v>194</v>
      </c>
      <c r="F78" s="193" t="s">
        <v>111</v>
      </c>
    </row>
    <row r="79" spans="1:6" ht="14">
      <c r="A79" s="12" t="str">
        <f t="shared" si="2"/>
        <v>portabilidadEMPRESAS INTERNACIONALBUN PC + OC</v>
      </c>
      <c r="B79" s="193" t="s">
        <v>32</v>
      </c>
      <c r="C79" s="100" t="s">
        <v>70</v>
      </c>
      <c r="D79" s="174" t="s">
        <v>320</v>
      </c>
      <c r="E79" s="241" t="s">
        <v>194</v>
      </c>
      <c r="F79" s="193" t="s">
        <v>146</v>
      </c>
    </row>
    <row r="80" spans="1:6">
      <c r="A80" s="12" t="str">
        <f t="shared" si="2"/>
        <v>captaEMPRESAS VOZBUN PC + OC</v>
      </c>
      <c r="B80" s="193" t="s">
        <v>32</v>
      </c>
      <c r="C80" s="102" t="s">
        <v>71</v>
      </c>
      <c r="D80" s="100" t="s">
        <v>316</v>
      </c>
      <c r="E80" s="241" t="s">
        <v>194</v>
      </c>
      <c r="F80" s="193" t="s">
        <v>108</v>
      </c>
    </row>
    <row r="81" spans="1:6" ht="14">
      <c r="A81" s="12" t="str">
        <f t="shared" si="2"/>
        <v>captaEMPRESAS 1BUN PC + OC</v>
      </c>
      <c r="B81" s="193" t="s">
        <v>32</v>
      </c>
      <c r="C81" s="102" t="s">
        <v>71</v>
      </c>
      <c r="D81" s="174" t="s">
        <v>312</v>
      </c>
      <c r="E81" s="241" t="s">
        <v>194</v>
      </c>
      <c r="F81" s="193" t="s">
        <v>108</v>
      </c>
    </row>
    <row r="82" spans="1:6" ht="14">
      <c r="A82" s="12" t="str">
        <f t="shared" si="2"/>
        <v>captaEMPRESAS 5BUN PC + OC</v>
      </c>
      <c r="B82" s="193" t="s">
        <v>32</v>
      </c>
      <c r="C82" s="102" t="s">
        <v>71</v>
      </c>
      <c r="D82" s="174" t="s">
        <v>313</v>
      </c>
      <c r="E82" s="241" t="s">
        <v>194</v>
      </c>
      <c r="F82" s="193" t="s">
        <v>109</v>
      </c>
    </row>
    <row r="83" spans="1:6" ht="14">
      <c r="A83" s="12" t="str">
        <f>C83&amp;D83&amp;E83</f>
        <v>captaEMPRESAS 20BUN PC + OC</v>
      </c>
      <c r="B83" s="193" t="s">
        <v>32</v>
      </c>
      <c r="C83" s="102" t="s">
        <v>71</v>
      </c>
      <c r="D83" s="174" t="s">
        <v>314</v>
      </c>
      <c r="E83" s="241" t="s">
        <v>194</v>
      </c>
      <c r="F83" s="193" t="s">
        <v>110</v>
      </c>
    </row>
    <row r="84" spans="1:6" ht="14">
      <c r="A84" s="12" t="str">
        <f>C84&amp;D84&amp;E84</f>
        <v>captaEMPRESAS ILIMITADABUN PC + OC</v>
      </c>
      <c r="B84" s="193" t="s">
        <v>32</v>
      </c>
      <c r="C84" s="102" t="s">
        <v>71</v>
      </c>
      <c r="D84" s="174" t="s">
        <v>315</v>
      </c>
      <c r="E84" s="241" t="s">
        <v>194</v>
      </c>
      <c r="F84" s="193" t="s">
        <v>111</v>
      </c>
    </row>
    <row r="85" spans="1:6" ht="14">
      <c r="A85" s="12" t="str">
        <f>C85&amp;D85&amp;E85</f>
        <v>captaEMPRESAS INTERNACIONALBUN PC + OC</v>
      </c>
      <c r="B85" s="193" t="s">
        <v>32</v>
      </c>
      <c r="C85" s="102" t="s">
        <v>71</v>
      </c>
      <c r="D85" s="174" t="s">
        <v>320</v>
      </c>
      <c r="E85" s="241" t="s">
        <v>194</v>
      </c>
      <c r="F85" s="193" t="s">
        <v>146</v>
      </c>
    </row>
    <row r="86" spans="1:6">
      <c r="A86" s="12" t="str">
        <f t="shared" ref="A86:A94" si="3">C86&amp;D86&amp;E86</f>
        <v>portabilidadEMPRESAS VOZSMART TV</v>
      </c>
      <c r="B86" s="193" t="s">
        <v>32</v>
      </c>
      <c r="C86" s="100" t="s">
        <v>70</v>
      </c>
      <c r="D86" s="100" t="s">
        <v>316</v>
      </c>
      <c r="E86" s="241" t="s">
        <v>195</v>
      </c>
      <c r="F86" s="193" t="s">
        <v>108</v>
      </c>
    </row>
    <row r="87" spans="1:6" ht="14">
      <c r="A87" s="12" t="str">
        <f t="shared" si="3"/>
        <v>portabilidadEMPRESAS 1SMART TV</v>
      </c>
      <c r="B87" s="193" t="s">
        <v>32</v>
      </c>
      <c r="C87" s="100" t="s">
        <v>70</v>
      </c>
      <c r="D87" s="174" t="s">
        <v>312</v>
      </c>
      <c r="E87" s="241" t="s">
        <v>195</v>
      </c>
      <c r="F87" s="193" t="s">
        <v>108</v>
      </c>
    </row>
    <row r="88" spans="1:6" ht="14">
      <c r="A88" s="12" t="str">
        <f t="shared" si="3"/>
        <v>portabilidadEMPRESAS 5SMART TV</v>
      </c>
      <c r="B88" s="193" t="s">
        <v>32</v>
      </c>
      <c r="C88" s="100" t="s">
        <v>70</v>
      </c>
      <c r="D88" s="174" t="s">
        <v>313</v>
      </c>
      <c r="E88" s="241" t="s">
        <v>195</v>
      </c>
      <c r="F88" s="193" t="s">
        <v>109</v>
      </c>
    </row>
    <row r="89" spans="1:6" ht="14">
      <c r="A89" s="12" t="str">
        <f t="shared" si="3"/>
        <v>portabilidadEMPRESAS 20SMART TV</v>
      </c>
      <c r="B89" s="193" t="s">
        <v>32</v>
      </c>
      <c r="C89" s="100" t="s">
        <v>70</v>
      </c>
      <c r="D89" s="174" t="s">
        <v>314</v>
      </c>
      <c r="E89" s="241" t="s">
        <v>195</v>
      </c>
      <c r="F89" s="193" t="s">
        <v>110</v>
      </c>
    </row>
    <row r="90" spans="1:6" ht="14">
      <c r="A90" s="12" t="str">
        <f t="shared" si="3"/>
        <v>portabilidadEMPRESAS ILIMITADASMART TV</v>
      </c>
      <c r="B90" s="193" t="s">
        <v>32</v>
      </c>
      <c r="C90" s="100" t="s">
        <v>70</v>
      </c>
      <c r="D90" s="174" t="s">
        <v>315</v>
      </c>
      <c r="E90" s="241" t="s">
        <v>195</v>
      </c>
      <c r="F90" s="193" t="s">
        <v>111</v>
      </c>
    </row>
    <row r="91" spans="1:6" ht="14">
      <c r="A91" s="12" t="str">
        <f t="shared" si="3"/>
        <v>portabilidadEMPRESAS INTERNACIONALSMART TV</v>
      </c>
      <c r="B91" s="193" t="s">
        <v>32</v>
      </c>
      <c r="C91" s="100" t="s">
        <v>70</v>
      </c>
      <c r="D91" s="174" t="s">
        <v>320</v>
      </c>
      <c r="E91" s="241" t="s">
        <v>195</v>
      </c>
      <c r="F91" s="193" t="s">
        <v>146</v>
      </c>
    </row>
    <row r="92" spans="1:6">
      <c r="A92" s="12" t="str">
        <f t="shared" si="3"/>
        <v>captaEMPRESAS VOZSMART TV</v>
      </c>
      <c r="B92" s="193" t="s">
        <v>32</v>
      </c>
      <c r="C92" s="102" t="s">
        <v>71</v>
      </c>
      <c r="D92" s="100" t="s">
        <v>316</v>
      </c>
      <c r="E92" s="241" t="s">
        <v>195</v>
      </c>
      <c r="F92" s="193" t="s">
        <v>108</v>
      </c>
    </row>
    <row r="93" spans="1:6" ht="14">
      <c r="A93" s="12" t="str">
        <f t="shared" si="3"/>
        <v>captaEMPRESAS 1SMART TV</v>
      </c>
      <c r="B93" s="193" t="s">
        <v>32</v>
      </c>
      <c r="C93" s="102" t="s">
        <v>71</v>
      </c>
      <c r="D93" s="174" t="s">
        <v>312</v>
      </c>
      <c r="E93" s="241" t="s">
        <v>195</v>
      </c>
      <c r="F93" s="193" t="s">
        <v>108</v>
      </c>
    </row>
    <row r="94" spans="1:6" ht="14">
      <c r="A94" s="12" t="str">
        <f t="shared" si="3"/>
        <v>captaEMPRESAS 5SMART TV</v>
      </c>
      <c r="B94" s="193" t="s">
        <v>32</v>
      </c>
      <c r="C94" s="102" t="s">
        <v>71</v>
      </c>
      <c r="D94" s="174" t="s">
        <v>313</v>
      </c>
      <c r="E94" s="241" t="s">
        <v>195</v>
      </c>
      <c r="F94" s="193" t="s">
        <v>109</v>
      </c>
    </row>
    <row r="95" spans="1:6" ht="14">
      <c r="A95" s="12" t="str">
        <f>C95&amp;D95&amp;E95</f>
        <v>captaEMPRESAS 20SMART TV</v>
      </c>
      <c r="B95" s="193" t="s">
        <v>32</v>
      </c>
      <c r="C95" s="102" t="s">
        <v>71</v>
      </c>
      <c r="D95" s="174" t="s">
        <v>314</v>
      </c>
      <c r="E95" s="241" t="s">
        <v>195</v>
      </c>
      <c r="F95" s="193" t="s">
        <v>110</v>
      </c>
    </row>
    <row r="96" spans="1:6" ht="14">
      <c r="A96" s="12" t="str">
        <f>C96&amp;D96&amp;E96</f>
        <v>captaEMPRESAS ILIMITADASMART TV</v>
      </c>
      <c r="B96" s="193" t="s">
        <v>32</v>
      </c>
      <c r="C96" s="102" t="s">
        <v>71</v>
      </c>
      <c r="D96" s="174" t="s">
        <v>315</v>
      </c>
      <c r="E96" s="241" t="s">
        <v>195</v>
      </c>
      <c r="F96" s="193" t="s">
        <v>111</v>
      </c>
    </row>
    <row r="97" spans="1:6" ht="14">
      <c r="A97" s="12" t="str">
        <f>C97&amp;D97&amp;E97</f>
        <v>captaEMPRESAS INTERNACIONALSMART TV</v>
      </c>
      <c r="B97" s="193" t="s">
        <v>32</v>
      </c>
      <c r="C97" s="102" t="s">
        <v>71</v>
      </c>
      <c r="D97" s="174" t="s">
        <v>320</v>
      </c>
      <c r="E97" s="241" t="s">
        <v>195</v>
      </c>
      <c r="F97" s="193" t="s">
        <v>146</v>
      </c>
    </row>
    <row r="98" spans="1:6">
      <c r="A98" s="12" t="str">
        <f t="shared" ref="A98:A106" si="4">C98&amp;D98&amp;E98</f>
        <v>portabilidadEMPRESAS VOZOC</v>
      </c>
      <c r="B98" s="193" t="s">
        <v>32</v>
      </c>
      <c r="C98" s="100" t="s">
        <v>70</v>
      </c>
      <c r="D98" s="100" t="s">
        <v>316</v>
      </c>
      <c r="E98" s="241" t="s">
        <v>124</v>
      </c>
      <c r="F98" s="193" t="s">
        <v>108</v>
      </c>
    </row>
    <row r="99" spans="1:6" ht="14">
      <c r="A99" s="12" t="str">
        <f t="shared" si="4"/>
        <v>portabilidadEMPRESAS 1OC</v>
      </c>
      <c r="B99" s="193" t="s">
        <v>32</v>
      </c>
      <c r="C99" s="100" t="s">
        <v>70</v>
      </c>
      <c r="D99" s="174" t="s">
        <v>312</v>
      </c>
      <c r="E99" s="241" t="s">
        <v>124</v>
      </c>
      <c r="F99" s="193" t="s">
        <v>108</v>
      </c>
    </row>
    <row r="100" spans="1:6" ht="14">
      <c r="A100" s="12" t="str">
        <f t="shared" si="4"/>
        <v>portabilidadEMPRESAS 5OC</v>
      </c>
      <c r="B100" s="193" t="s">
        <v>32</v>
      </c>
      <c r="C100" s="100" t="s">
        <v>70</v>
      </c>
      <c r="D100" s="174" t="s">
        <v>313</v>
      </c>
      <c r="E100" s="241" t="s">
        <v>124</v>
      </c>
      <c r="F100" s="193" t="s">
        <v>109</v>
      </c>
    </row>
    <row r="101" spans="1:6" ht="14">
      <c r="A101" s="12" t="str">
        <f t="shared" si="4"/>
        <v>portabilidadEMPRESAS 20OC</v>
      </c>
      <c r="B101" s="193" t="s">
        <v>32</v>
      </c>
      <c r="C101" s="100" t="s">
        <v>70</v>
      </c>
      <c r="D101" s="174" t="s">
        <v>314</v>
      </c>
      <c r="E101" s="241" t="s">
        <v>124</v>
      </c>
      <c r="F101" s="193" t="s">
        <v>110</v>
      </c>
    </row>
    <row r="102" spans="1:6" ht="14">
      <c r="A102" s="12" t="str">
        <f t="shared" si="4"/>
        <v>portabilidadEMPRESAS ILIMITADAOC</v>
      </c>
      <c r="B102" s="193" t="s">
        <v>32</v>
      </c>
      <c r="C102" s="100" t="s">
        <v>70</v>
      </c>
      <c r="D102" s="174" t="s">
        <v>315</v>
      </c>
      <c r="E102" s="241" t="s">
        <v>124</v>
      </c>
      <c r="F102" s="193" t="s">
        <v>111</v>
      </c>
    </row>
    <row r="103" spans="1:6" ht="14">
      <c r="A103" s="12" t="str">
        <f t="shared" si="4"/>
        <v>portabilidadEMPRESAS INTERNACIONALOC</v>
      </c>
      <c r="B103" s="193" t="s">
        <v>32</v>
      </c>
      <c r="C103" s="100" t="s">
        <v>70</v>
      </c>
      <c r="D103" s="174" t="s">
        <v>320</v>
      </c>
      <c r="E103" s="241" t="s">
        <v>124</v>
      </c>
      <c r="F103" s="193" t="s">
        <v>146</v>
      </c>
    </row>
    <row r="104" spans="1:6">
      <c r="A104" s="12" t="str">
        <f t="shared" si="4"/>
        <v>captaEMPRESAS VOZOC</v>
      </c>
      <c r="B104" s="193" t="s">
        <v>32</v>
      </c>
      <c r="C104" s="102" t="s">
        <v>71</v>
      </c>
      <c r="D104" s="100" t="s">
        <v>316</v>
      </c>
      <c r="E104" s="241" t="s">
        <v>124</v>
      </c>
      <c r="F104" s="193" t="s">
        <v>108</v>
      </c>
    </row>
    <row r="105" spans="1:6" ht="14">
      <c r="A105" s="12" t="str">
        <f t="shared" si="4"/>
        <v>captaEMPRESAS 1OC</v>
      </c>
      <c r="B105" s="193" t="s">
        <v>32</v>
      </c>
      <c r="C105" s="102" t="s">
        <v>71</v>
      </c>
      <c r="D105" s="174" t="s">
        <v>312</v>
      </c>
      <c r="E105" s="241" t="s">
        <v>124</v>
      </c>
      <c r="F105" s="193" t="s">
        <v>108</v>
      </c>
    </row>
    <row r="106" spans="1:6" ht="14">
      <c r="A106" s="12" t="str">
        <f t="shared" si="4"/>
        <v>captaEMPRESAS 5OC</v>
      </c>
      <c r="B106" s="193" t="s">
        <v>32</v>
      </c>
      <c r="C106" s="102" t="s">
        <v>71</v>
      </c>
      <c r="D106" s="174" t="s">
        <v>313</v>
      </c>
      <c r="E106" s="241" t="s">
        <v>124</v>
      </c>
      <c r="F106" s="193" t="s">
        <v>109</v>
      </c>
    </row>
    <row r="107" spans="1:6" ht="14">
      <c r="A107" s="12" t="str">
        <f>C107&amp;D107&amp;E107</f>
        <v>captaEMPRESAS 20OC</v>
      </c>
      <c r="B107" s="193" t="s">
        <v>32</v>
      </c>
      <c r="C107" s="102" t="s">
        <v>71</v>
      </c>
      <c r="D107" s="174" t="s">
        <v>314</v>
      </c>
      <c r="E107" s="241" t="s">
        <v>124</v>
      </c>
      <c r="F107" s="193" t="s">
        <v>110</v>
      </c>
    </row>
    <row r="108" spans="1:6" ht="14">
      <c r="A108" s="12" t="str">
        <f>C108&amp;D108&amp;E108</f>
        <v>captaEMPRESAS ILIMITADAOC</v>
      </c>
      <c r="B108" s="193" t="s">
        <v>32</v>
      </c>
      <c r="C108" s="102" t="s">
        <v>71</v>
      </c>
      <c r="D108" s="174" t="s">
        <v>315</v>
      </c>
      <c r="E108" s="241" t="s">
        <v>124</v>
      </c>
      <c r="F108" s="193" t="s">
        <v>111</v>
      </c>
    </row>
    <row r="109" spans="1:6" ht="14">
      <c r="A109" s="12" t="str">
        <f>C109&amp;D109&amp;E109</f>
        <v>captaEMPRESAS INTERNACIONALOC</v>
      </c>
      <c r="B109" s="193" t="s">
        <v>32</v>
      </c>
      <c r="C109" s="102" t="s">
        <v>71</v>
      </c>
      <c r="D109" s="174" t="s">
        <v>320</v>
      </c>
      <c r="E109" s="241" t="s">
        <v>124</v>
      </c>
      <c r="F109" s="193" t="s">
        <v>146</v>
      </c>
    </row>
    <row r="110" spans="1:6">
      <c r="A110" s="12" t="str">
        <f t="shared" ref="A110:A118" si="5">C110&amp;D110&amp;E110</f>
        <v>portabilidadEMPRESAS VOZIEW-4G</v>
      </c>
      <c r="B110" s="193" t="s">
        <v>32</v>
      </c>
      <c r="C110" s="100" t="s">
        <v>70</v>
      </c>
      <c r="D110" s="100" t="s">
        <v>316</v>
      </c>
      <c r="E110" s="241" t="s">
        <v>88</v>
      </c>
      <c r="F110" s="193" t="s">
        <v>108</v>
      </c>
    </row>
    <row r="111" spans="1:6" ht="14">
      <c r="A111" s="12" t="str">
        <f t="shared" si="5"/>
        <v>portabilidadEMPRESAS 1IEW-4G</v>
      </c>
      <c r="B111" s="193" t="s">
        <v>32</v>
      </c>
      <c r="C111" s="100" t="s">
        <v>70</v>
      </c>
      <c r="D111" s="174" t="s">
        <v>312</v>
      </c>
      <c r="E111" s="241" t="s">
        <v>88</v>
      </c>
      <c r="F111" s="193" t="s">
        <v>108</v>
      </c>
    </row>
    <row r="112" spans="1:6" ht="14">
      <c r="A112" s="12" t="str">
        <f t="shared" si="5"/>
        <v>portabilidadEMPRESAS 5IEW-4G</v>
      </c>
      <c r="B112" s="193" t="s">
        <v>32</v>
      </c>
      <c r="C112" s="100" t="s">
        <v>70</v>
      </c>
      <c r="D112" s="174" t="s">
        <v>313</v>
      </c>
      <c r="E112" s="241" t="s">
        <v>88</v>
      </c>
      <c r="F112" s="193" t="s">
        <v>109</v>
      </c>
    </row>
    <row r="113" spans="1:6" ht="14">
      <c r="A113" s="12" t="str">
        <f t="shared" si="5"/>
        <v>portabilidadEMPRESAS 20IEW-4G</v>
      </c>
      <c r="B113" s="193" t="s">
        <v>32</v>
      </c>
      <c r="C113" s="100" t="s">
        <v>70</v>
      </c>
      <c r="D113" s="174" t="s">
        <v>314</v>
      </c>
      <c r="E113" s="241" t="s">
        <v>88</v>
      </c>
      <c r="F113" s="193" t="s">
        <v>110</v>
      </c>
    </row>
    <row r="114" spans="1:6" ht="14">
      <c r="A114" s="12" t="str">
        <f t="shared" si="5"/>
        <v>portabilidadEMPRESAS ILIMITADAIEW-4G</v>
      </c>
      <c r="B114" s="193" t="s">
        <v>32</v>
      </c>
      <c r="C114" s="100" t="s">
        <v>70</v>
      </c>
      <c r="D114" s="174" t="s">
        <v>315</v>
      </c>
      <c r="E114" s="241" t="s">
        <v>88</v>
      </c>
      <c r="F114" s="193" t="s">
        <v>111</v>
      </c>
    </row>
    <row r="115" spans="1:6" ht="14">
      <c r="A115" s="12" t="str">
        <f t="shared" si="5"/>
        <v>portabilidadEMPRESAS INTERNACIONALIEW-4G</v>
      </c>
      <c r="B115" s="193" t="s">
        <v>32</v>
      </c>
      <c r="C115" s="100" t="s">
        <v>70</v>
      </c>
      <c r="D115" s="174" t="s">
        <v>320</v>
      </c>
      <c r="E115" s="241" t="s">
        <v>88</v>
      </c>
      <c r="F115" s="193" t="s">
        <v>146</v>
      </c>
    </row>
    <row r="116" spans="1:6">
      <c r="A116" s="12" t="str">
        <f t="shared" si="5"/>
        <v>captaEMPRESAS VOZIEW-4G</v>
      </c>
      <c r="B116" s="193" t="s">
        <v>32</v>
      </c>
      <c r="C116" s="102" t="s">
        <v>71</v>
      </c>
      <c r="D116" s="100" t="s">
        <v>316</v>
      </c>
      <c r="E116" s="241" t="s">
        <v>88</v>
      </c>
      <c r="F116" s="193" t="s">
        <v>108</v>
      </c>
    </row>
    <row r="117" spans="1:6" ht="14">
      <c r="A117" s="12" t="str">
        <f t="shared" si="5"/>
        <v>captaEMPRESAS 1IEW-4G</v>
      </c>
      <c r="B117" s="193" t="s">
        <v>32</v>
      </c>
      <c r="C117" s="102" t="s">
        <v>71</v>
      </c>
      <c r="D117" s="174" t="s">
        <v>312</v>
      </c>
      <c r="E117" s="241" t="s">
        <v>88</v>
      </c>
      <c r="F117" s="193" t="s">
        <v>108</v>
      </c>
    </row>
    <row r="118" spans="1:6" ht="14">
      <c r="A118" s="12" t="str">
        <f t="shared" si="5"/>
        <v>captaEMPRESAS 5IEW-4G</v>
      </c>
      <c r="B118" s="193" t="s">
        <v>32</v>
      </c>
      <c r="C118" s="102" t="s">
        <v>71</v>
      </c>
      <c r="D118" s="174" t="s">
        <v>313</v>
      </c>
      <c r="E118" s="241" t="s">
        <v>88</v>
      </c>
      <c r="F118" s="193" t="s">
        <v>109</v>
      </c>
    </row>
    <row r="119" spans="1:6" ht="14">
      <c r="A119" s="12" t="str">
        <f>C119&amp;D119&amp;E119</f>
        <v>captaEMPRESAS 20IEW-4G</v>
      </c>
      <c r="B119" s="193" t="s">
        <v>32</v>
      </c>
      <c r="C119" s="102" t="s">
        <v>71</v>
      </c>
      <c r="D119" s="174" t="s">
        <v>314</v>
      </c>
      <c r="E119" s="241" t="s">
        <v>88</v>
      </c>
      <c r="F119" s="193" t="s">
        <v>110</v>
      </c>
    </row>
    <row r="120" spans="1:6" ht="14">
      <c r="A120" s="12" t="str">
        <f>C120&amp;D120&amp;E120</f>
        <v>captaEMPRESAS ILIMITADAIEW-4G</v>
      </c>
      <c r="B120" s="193" t="s">
        <v>32</v>
      </c>
      <c r="C120" s="102" t="s">
        <v>71</v>
      </c>
      <c r="D120" s="174" t="s">
        <v>315</v>
      </c>
      <c r="E120" s="241" t="s">
        <v>88</v>
      </c>
      <c r="F120" s="193" t="s">
        <v>111</v>
      </c>
    </row>
    <row r="121" spans="1:6" ht="14">
      <c r="A121" s="12" t="str">
        <f>C121&amp;D121&amp;E121</f>
        <v>captaEMPRESAS INTERNACIONALIEW-4G</v>
      </c>
      <c r="B121" s="193" t="s">
        <v>32</v>
      </c>
      <c r="C121" s="102" t="s">
        <v>71</v>
      </c>
      <c r="D121" s="174" t="s">
        <v>320</v>
      </c>
      <c r="E121" s="241" t="s">
        <v>88</v>
      </c>
      <c r="F121" s="193" t="s">
        <v>146</v>
      </c>
    </row>
    <row r="122" spans="1:6">
      <c r="A122" s="12" t="str">
        <f t="shared" ref="A122:A130" si="6">C122&amp;D122&amp;E122</f>
        <v>portabilidadEMPRESAS VOZTAB-4G</v>
      </c>
      <c r="B122" s="193" t="s">
        <v>32</v>
      </c>
      <c r="C122" s="100" t="s">
        <v>70</v>
      </c>
      <c r="D122" s="100" t="s">
        <v>316</v>
      </c>
      <c r="E122" s="241" t="s">
        <v>102</v>
      </c>
      <c r="F122" s="193" t="s">
        <v>108</v>
      </c>
    </row>
    <row r="123" spans="1:6" ht="14">
      <c r="A123" s="12" t="str">
        <f t="shared" si="6"/>
        <v>portabilidadEMPRESAS 1TAB-4G</v>
      </c>
      <c r="B123" s="193" t="s">
        <v>32</v>
      </c>
      <c r="C123" s="100" t="s">
        <v>70</v>
      </c>
      <c r="D123" s="174" t="s">
        <v>312</v>
      </c>
      <c r="E123" s="241" t="s">
        <v>102</v>
      </c>
      <c r="F123" s="193" t="s">
        <v>108</v>
      </c>
    </row>
    <row r="124" spans="1:6" ht="14">
      <c r="A124" s="12" t="str">
        <f t="shared" si="6"/>
        <v>portabilidadEMPRESAS 5TAB-4G</v>
      </c>
      <c r="B124" s="193" t="s">
        <v>32</v>
      </c>
      <c r="C124" s="100" t="s">
        <v>70</v>
      </c>
      <c r="D124" s="174" t="s">
        <v>313</v>
      </c>
      <c r="E124" s="241" t="s">
        <v>102</v>
      </c>
      <c r="F124" s="193" t="s">
        <v>109</v>
      </c>
    </row>
    <row r="125" spans="1:6" ht="14">
      <c r="A125" s="12" t="str">
        <f t="shared" si="6"/>
        <v>portabilidadEMPRESAS 20TAB-4G</v>
      </c>
      <c r="B125" s="193" t="s">
        <v>32</v>
      </c>
      <c r="C125" s="100" t="s">
        <v>70</v>
      </c>
      <c r="D125" s="174" t="s">
        <v>314</v>
      </c>
      <c r="E125" s="241" t="s">
        <v>102</v>
      </c>
      <c r="F125" s="193" t="s">
        <v>110</v>
      </c>
    </row>
    <row r="126" spans="1:6" ht="14">
      <c r="A126" s="12" t="str">
        <f t="shared" si="6"/>
        <v>portabilidadEMPRESAS ILIMITADATAB-4G</v>
      </c>
      <c r="B126" s="193" t="s">
        <v>32</v>
      </c>
      <c r="C126" s="100" t="s">
        <v>70</v>
      </c>
      <c r="D126" s="174" t="s">
        <v>315</v>
      </c>
      <c r="E126" s="241" t="s">
        <v>102</v>
      </c>
      <c r="F126" s="193" t="s">
        <v>111</v>
      </c>
    </row>
    <row r="127" spans="1:6" ht="14">
      <c r="A127" s="12" t="str">
        <f t="shared" si="6"/>
        <v>portabilidadEMPRESAS INTERNACIONALTAB-4G</v>
      </c>
      <c r="B127" s="193" t="s">
        <v>32</v>
      </c>
      <c r="C127" s="100" t="s">
        <v>70</v>
      </c>
      <c r="D127" s="174" t="s">
        <v>320</v>
      </c>
      <c r="E127" s="241" t="s">
        <v>102</v>
      </c>
      <c r="F127" s="193" t="s">
        <v>146</v>
      </c>
    </row>
    <row r="128" spans="1:6">
      <c r="A128" s="12" t="str">
        <f t="shared" si="6"/>
        <v>captaEMPRESAS VOZTAB-4G</v>
      </c>
      <c r="B128" s="193" t="s">
        <v>32</v>
      </c>
      <c r="C128" s="102" t="s">
        <v>71</v>
      </c>
      <c r="D128" s="100" t="s">
        <v>316</v>
      </c>
      <c r="E128" s="241" t="s">
        <v>102</v>
      </c>
      <c r="F128" s="193" t="s">
        <v>108</v>
      </c>
    </row>
    <row r="129" spans="1:6" ht="14">
      <c r="A129" s="12" t="str">
        <f t="shared" si="6"/>
        <v>captaEMPRESAS 1TAB-4G</v>
      </c>
      <c r="B129" s="193" t="s">
        <v>32</v>
      </c>
      <c r="C129" s="102" t="s">
        <v>71</v>
      </c>
      <c r="D129" s="174" t="s">
        <v>312</v>
      </c>
      <c r="E129" s="241" t="s">
        <v>102</v>
      </c>
      <c r="F129" s="193" t="s">
        <v>108</v>
      </c>
    </row>
    <row r="130" spans="1:6" ht="14">
      <c r="A130" s="12" t="str">
        <f t="shared" si="6"/>
        <v>captaEMPRESAS 5TAB-4G</v>
      </c>
      <c r="B130" s="193" t="s">
        <v>32</v>
      </c>
      <c r="C130" s="102" t="s">
        <v>71</v>
      </c>
      <c r="D130" s="174" t="s">
        <v>313</v>
      </c>
      <c r="E130" s="241" t="s">
        <v>102</v>
      </c>
      <c r="F130" s="193" t="s">
        <v>109</v>
      </c>
    </row>
    <row r="131" spans="1:6" ht="14">
      <c r="A131" s="12" t="str">
        <f>C131&amp;D131&amp;E131</f>
        <v>captaEMPRESAS 20TAB-4G</v>
      </c>
      <c r="B131" s="193" t="s">
        <v>32</v>
      </c>
      <c r="C131" s="102" t="s">
        <v>71</v>
      </c>
      <c r="D131" s="174" t="s">
        <v>314</v>
      </c>
      <c r="E131" s="241" t="s">
        <v>102</v>
      </c>
      <c r="F131" s="193" t="s">
        <v>110</v>
      </c>
    </row>
    <row r="132" spans="1:6" ht="14">
      <c r="A132" s="12" t="str">
        <f>C132&amp;D132&amp;E132</f>
        <v>captaEMPRESAS ILIMITADATAB-4G</v>
      </c>
      <c r="B132" s="193" t="s">
        <v>32</v>
      </c>
      <c r="C132" s="102" t="s">
        <v>71</v>
      </c>
      <c r="D132" s="174" t="s">
        <v>315</v>
      </c>
      <c r="E132" s="241" t="s">
        <v>102</v>
      </c>
      <c r="F132" s="193" t="s">
        <v>111</v>
      </c>
    </row>
    <row r="133" spans="1:6" ht="14">
      <c r="A133" s="12" t="str">
        <f>C133&amp;D133&amp;E133</f>
        <v>captaEMPRESAS INTERNACIONALTAB-4G</v>
      </c>
      <c r="B133" s="193" t="s">
        <v>32</v>
      </c>
      <c r="C133" s="102" t="s">
        <v>71</v>
      </c>
      <c r="D133" s="174" t="s">
        <v>320</v>
      </c>
      <c r="E133" s="241" t="s">
        <v>102</v>
      </c>
      <c r="F133" s="193" t="s">
        <v>146</v>
      </c>
    </row>
    <row r="134" spans="1:6">
      <c r="A134" s="12" t="str">
        <f t="shared" ref="A134:A142" si="7">C134&amp;D134&amp;E134</f>
        <v>portabilidadEMPRESAS VOZSPH-4G</v>
      </c>
      <c r="B134" s="193" t="s">
        <v>32</v>
      </c>
      <c r="C134" s="100" t="s">
        <v>70</v>
      </c>
      <c r="D134" s="100" t="s">
        <v>316</v>
      </c>
      <c r="E134" s="241" t="s">
        <v>18</v>
      </c>
      <c r="F134" s="193" t="s">
        <v>108</v>
      </c>
    </row>
    <row r="135" spans="1:6" ht="14">
      <c r="A135" s="12" t="str">
        <f t="shared" si="7"/>
        <v>portabilidadEMPRESAS 1SPH-4G</v>
      </c>
      <c r="B135" s="193" t="s">
        <v>32</v>
      </c>
      <c r="C135" s="100" t="s">
        <v>70</v>
      </c>
      <c r="D135" s="174" t="s">
        <v>312</v>
      </c>
      <c r="E135" s="241" t="s">
        <v>18</v>
      </c>
      <c r="F135" s="193" t="s">
        <v>108</v>
      </c>
    </row>
    <row r="136" spans="1:6" ht="14">
      <c r="A136" s="12" t="str">
        <f t="shared" si="7"/>
        <v>portabilidadEMPRESAS 5SPH-4G</v>
      </c>
      <c r="B136" s="193" t="s">
        <v>32</v>
      </c>
      <c r="C136" s="100" t="s">
        <v>70</v>
      </c>
      <c r="D136" s="174" t="s">
        <v>313</v>
      </c>
      <c r="E136" s="241" t="s">
        <v>18</v>
      </c>
      <c r="F136" s="193" t="s">
        <v>109</v>
      </c>
    </row>
    <row r="137" spans="1:6" ht="14">
      <c r="A137" s="12" t="str">
        <f t="shared" si="7"/>
        <v>portabilidadEMPRESAS 20SPH-4G</v>
      </c>
      <c r="B137" s="193" t="s">
        <v>32</v>
      </c>
      <c r="C137" s="100" t="s">
        <v>70</v>
      </c>
      <c r="D137" s="174" t="s">
        <v>314</v>
      </c>
      <c r="E137" s="241" t="s">
        <v>18</v>
      </c>
      <c r="F137" s="193" t="s">
        <v>110</v>
      </c>
    </row>
    <row r="138" spans="1:6" ht="14">
      <c r="A138" s="12" t="str">
        <f t="shared" si="7"/>
        <v>portabilidadEMPRESAS ILIMITADASPH-4G</v>
      </c>
      <c r="B138" s="193" t="s">
        <v>32</v>
      </c>
      <c r="C138" s="100" t="s">
        <v>70</v>
      </c>
      <c r="D138" s="174" t="s">
        <v>315</v>
      </c>
      <c r="E138" s="241" t="s">
        <v>18</v>
      </c>
      <c r="F138" s="193" t="s">
        <v>111</v>
      </c>
    </row>
    <row r="139" spans="1:6" ht="14">
      <c r="A139" s="12" t="str">
        <f t="shared" si="7"/>
        <v>portabilidadEMPRESAS INTERNACIONALSPH-4G</v>
      </c>
      <c r="B139" s="193" t="s">
        <v>32</v>
      </c>
      <c r="C139" s="100" t="s">
        <v>70</v>
      </c>
      <c r="D139" s="174" t="s">
        <v>320</v>
      </c>
      <c r="E139" s="241" t="s">
        <v>18</v>
      </c>
      <c r="F139" s="193" t="s">
        <v>146</v>
      </c>
    </row>
    <row r="140" spans="1:6">
      <c r="A140" s="12" t="str">
        <f t="shared" si="7"/>
        <v>captaEMPRESAS VOZSPH-4G</v>
      </c>
      <c r="B140" s="193" t="s">
        <v>32</v>
      </c>
      <c r="C140" s="102" t="s">
        <v>71</v>
      </c>
      <c r="D140" s="100" t="s">
        <v>316</v>
      </c>
      <c r="E140" s="241" t="s">
        <v>18</v>
      </c>
      <c r="F140" s="193" t="s">
        <v>108</v>
      </c>
    </row>
    <row r="141" spans="1:6" ht="14">
      <c r="A141" s="12" t="str">
        <f t="shared" si="7"/>
        <v>captaEMPRESAS 1SPH-4G</v>
      </c>
      <c r="B141" s="193" t="s">
        <v>32</v>
      </c>
      <c r="C141" s="102" t="s">
        <v>71</v>
      </c>
      <c r="D141" s="174" t="s">
        <v>312</v>
      </c>
      <c r="E141" s="241" t="s">
        <v>18</v>
      </c>
      <c r="F141" s="193" t="s">
        <v>108</v>
      </c>
    </row>
    <row r="142" spans="1:6" ht="14">
      <c r="A142" s="12" t="str">
        <f t="shared" si="7"/>
        <v>captaEMPRESAS 5SPH-4G</v>
      </c>
      <c r="B142" s="193" t="s">
        <v>32</v>
      </c>
      <c r="C142" s="102" t="s">
        <v>71</v>
      </c>
      <c r="D142" s="174" t="s">
        <v>313</v>
      </c>
      <c r="E142" s="241" t="s">
        <v>18</v>
      </c>
      <c r="F142" s="193" t="s">
        <v>109</v>
      </c>
    </row>
    <row r="143" spans="1:6" ht="14">
      <c r="A143" s="12" t="str">
        <f>C143&amp;D143&amp;E143</f>
        <v>captaEMPRESAS 20SPH-4G</v>
      </c>
      <c r="B143" s="193" t="s">
        <v>32</v>
      </c>
      <c r="C143" s="102" t="s">
        <v>71</v>
      </c>
      <c r="D143" s="174" t="s">
        <v>314</v>
      </c>
      <c r="E143" s="241" t="s">
        <v>18</v>
      </c>
      <c r="F143" s="193" t="s">
        <v>110</v>
      </c>
    </row>
    <row r="144" spans="1:6" ht="14">
      <c r="A144" s="12" t="str">
        <f>C144&amp;D144&amp;E144</f>
        <v>captaEMPRESAS ILIMITADASPH-4G</v>
      </c>
      <c r="B144" s="193" t="s">
        <v>32</v>
      </c>
      <c r="C144" s="102" t="s">
        <v>71</v>
      </c>
      <c r="D144" s="174" t="s">
        <v>315</v>
      </c>
      <c r="E144" s="241" t="s">
        <v>18</v>
      </c>
      <c r="F144" s="193" t="s">
        <v>111</v>
      </c>
    </row>
    <row r="145" spans="1:6" ht="14">
      <c r="A145" s="12" t="str">
        <f>C145&amp;D145&amp;E145</f>
        <v>captaEMPRESAS INTERNACIONALSPH-4G</v>
      </c>
      <c r="B145" s="193" t="s">
        <v>32</v>
      </c>
      <c r="C145" s="102" t="s">
        <v>71</v>
      </c>
      <c r="D145" s="174" t="s">
        <v>320</v>
      </c>
      <c r="E145" s="241" t="s">
        <v>18</v>
      </c>
      <c r="F145" s="193" t="s">
        <v>146</v>
      </c>
    </row>
    <row r="146" spans="1:6">
      <c r="A146" s="12" t="str">
        <f t="shared" ref="A146:A154" si="8">C146&amp;D146&amp;E146</f>
        <v>portabilidadEMPRESAS VOZWIFI</v>
      </c>
      <c r="B146" s="193" t="s">
        <v>32</v>
      </c>
      <c r="C146" s="100" t="s">
        <v>70</v>
      </c>
      <c r="D146" s="100" t="s">
        <v>316</v>
      </c>
      <c r="E146" s="241" t="s">
        <v>101</v>
      </c>
      <c r="F146" s="193" t="s">
        <v>108</v>
      </c>
    </row>
    <row r="147" spans="1:6" ht="14">
      <c r="A147" s="12" t="str">
        <f t="shared" si="8"/>
        <v>portabilidadEMPRESAS 1WIFI</v>
      </c>
      <c r="B147" s="193" t="s">
        <v>32</v>
      </c>
      <c r="C147" s="100" t="s">
        <v>70</v>
      </c>
      <c r="D147" s="174" t="s">
        <v>312</v>
      </c>
      <c r="E147" s="241" t="s">
        <v>101</v>
      </c>
      <c r="F147" s="193" t="s">
        <v>108</v>
      </c>
    </row>
    <row r="148" spans="1:6" ht="14">
      <c r="A148" s="12" t="str">
        <f t="shared" si="8"/>
        <v>portabilidadEMPRESAS 5WIFI</v>
      </c>
      <c r="B148" s="193" t="s">
        <v>32</v>
      </c>
      <c r="C148" s="100" t="s">
        <v>70</v>
      </c>
      <c r="D148" s="174" t="s">
        <v>313</v>
      </c>
      <c r="E148" s="241" t="s">
        <v>101</v>
      </c>
      <c r="F148" s="193" t="s">
        <v>109</v>
      </c>
    </row>
    <row r="149" spans="1:6" ht="14">
      <c r="A149" s="12" t="str">
        <f t="shared" si="8"/>
        <v>portabilidadEMPRESAS 20WIFI</v>
      </c>
      <c r="B149" s="193" t="s">
        <v>32</v>
      </c>
      <c r="C149" s="100" t="s">
        <v>70</v>
      </c>
      <c r="D149" s="174" t="s">
        <v>314</v>
      </c>
      <c r="E149" s="241" t="s">
        <v>101</v>
      </c>
      <c r="F149" s="193" t="s">
        <v>110</v>
      </c>
    </row>
    <row r="150" spans="1:6" ht="14">
      <c r="A150" s="12" t="str">
        <f t="shared" si="8"/>
        <v>portabilidadEMPRESAS ILIMITADAWIFI</v>
      </c>
      <c r="B150" s="193" t="s">
        <v>32</v>
      </c>
      <c r="C150" s="100" t="s">
        <v>70</v>
      </c>
      <c r="D150" s="174" t="s">
        <v>315</v>
      </c>
      <c r="E150" s="241" t="s">
        <v>101</v>
      </c>
      <c r="F150" s="193" t="s">
        <v>111</v>
      </c>
    </row>
    <row r="151" spans="1:6" ht="14">
      <c r="A151" s="12" t="str">
        <f t="shared" si="8"/>
        <v>portabilidadEMPRESAS INTERNACIONALWIFI</v>
      </c>
      <c r="B151" s="193" t="s">
        <v>32</v>
      </c>
      <c r="C151" s="100" t="s">
        <v>70</v>
      </c>
      <c r="D151" s="174" t="s">
        <v>320</v>
      </c>
      <c r="E151" s="241" t="s">
        <v>101</v>
      </c>
      <c r="F151" s="193" t="s">
        <v>146</v>
      </c>
    </row>
    <row r="152" spans="1:6">
      <c r="A152" s="12" t="str">
        <f t="shared" si="8"/>
        <v>captaEMPRESAS VOZWIFI</v>
      </c>
      <c r="B152" s="193" t="s">
        <v>32</v>
      </c>
      <c r="C152" s="102" t="s">
        <v>71</v>
      </c>
      <c r="D152" s="100" t="s">
        <v>316</v>
      </c>
      <c r="E152" s="241" t="s">
        <v>101</v>
      </c>
      <c r="F152" s="193" t="s">
        <v>108</v>
      </c>
    </row>
    <row r="153" spans="1:6" ht="14">
      <c r="A153" s="12" t="str">
        <f t="shared" si="8"/>
        <v>captaEMPRESAS 1WIFI</v>
      </c>
      <c r="B153" s="193" t="s">
        <v>32</v>
      </c>
      <c r="C153" s="102" t="s">
        <v>71</v>
      </c>
      <c r="D153" s="174" t="s">
        <v>312</v>
      </c>
      <c r="E153" s="241" t="s">
        <v>101</v>
      </c>
      <c r="F153" s="193" t="s">
        <v>108</v>
      </c>
    </row>
    <row r="154" spans="1:6" ht="14">
      <c r="A154" s="12" t="str">
        <f t="shared" si="8"/>
        <v>captaEMPRESAS 5WIFI</v>
      </c>
      <c r="B154" s="193" t="s">
        <v>32</v>
      </c>
      <c r="C154" s="102" t="s">
        <v>71</v>
      </c>
      <c r="D154" s="174" t="s">
        <v>313</v>
      </c>
      <c r="E154" s="241" t="s">
        <v>101</v>
      </c>
      <c r="F154" s="193" t="s">
        <v>109</v>
      </c>
    </row>
    <row r="155" spans="1:6" ht="14">
      <c r="A155" s="12" t="str">
        <f>C155&amp;D155&amp;E155</f>
        <v>captaEMPRESAS 20WIFI</v>
      </c>
      <c r="B155" s="193" t="s">
        <v>32</v>
      </c>
      <c r="C155" s="102" t="s">
        <v>71</v>
      </c>
      <c r="D155" s="174" t="s">
        <v>314</v>
      </c>
      <c r="E155" s="241" t="s">
        <v>101</v>
      </c>
      <c r="F155" s="193" t="s">
        <v>110</v>
      </c>
    </row>
    <row r="156" spans="1:6" ht="14">
      <c r="A156" s="12" t="str">
        <f>C156&amp;D156&amp;E156</f>
        <v>captaEMPRESAS ILIMITADAWIFI</v>
      </c>
      <c r="B156" s="193" t="s">
        <v>32</v>
      </c>
      <c r="C156" s="102" t="s">
        <v>71</v>
      </c>
      <c r="D156" s="174" t="s">
        <v>315</v>
      </c>
      <c r="E156" s="241" t="s">
        <v>101</v>
      </c>
      <c r="F156" s="193" t="s">
        <v>111</v>
      </c>
    </row>
    <row r="157" spans="1:6" ht="14">
      <c r="A157" s="12" t="str">
        <f>C157&amp;D157&amp;E157</f>
        <v>captaEMPRESAS INTERNACIONALWIFI</v>
      </c>
      <c r="B157" s="193" t="s">
        <v>32</v>
      </c>
      <c r="C157" s="102" t="s">
        <v>71</v>
      </c>
      <c r="D157" s="174" t="s">
        <v>320</v>
      </c>
      <c r="E157" s="241" t="s">
        <v>101</v>
      </c>
      <c r="F157" s="193" t="s">
        <v>146</v>
      </c>
    </row>
    <row r="158" spans="1:6">
      <c r="A158" s="12" t="str">
        <f t="shared" ref="A158:A209" si="9">C158&amp;D158&amp;E158</f>
        <v>portabilidadEMPRESAS VOZTABLETS</v>
      </c>
      <c r="B158" s="193" t="s">
        <v>32</v>
      </c>
      <c r="C158" s="13" t="s">
        <v>70</v>
      </c>
      <c r="D158" s="100" t="s">
        <v>316</v>
      </c>
      <c r="E158" s="193" t="s">
        <v>210</v>
      </c>
      <c r="F158" s="193" t="s">
        <v>108</v>
      </c>
    </row>
    <row r="159" spans="1:6" ht="14">
      <c r="A159" s="12" t="str">
        <f t="shared" si="9"/>
        <v>portabilidadEMPRESAS 1TABLETS</v>
      </c>
      <c r="B159" s="193" t="s">
        <v>32</v>
      </c>
      <c r="C159" s="13" t="s">
        <v>70</v>
      </c>
      <c r="D159" s="174" t="s">
        <v>312</v>
      </c>
      <c r="E159" s="193" t="s">
        <v>210</v>
      </c>
      <c r="F159" s="193" t="s">
        <v>108</v>
      </c>
    </row>
    <row r="160" spans="1:6" ht="14">
      <c r="A160" s="12" t="str">
        <f t="shared" si="9"/>
        <v>portabilidadEMPRESAS 5TABLETS</v>
      </c>
      <c r="B160" s="193" t="s">
        <v>32</v>
      </c>
      <c r="C160" s="13" t="s">
        <v>70</v>
      </c>
      <c r="D160" s="174" t="s">
        <v>313</v>
      </c>
      <c r="E160" s="193" t="s">
        <v>210</v>
      </c>
      <c r="F160" s="193" t="s">
        <v>109</v>
      </c>
    </row>
    <row r="161" spans="1:6" ht="14">
      <c r="A161" s="12" t="str">
        <f t="shared" si="9"/>
        <v>portabilidadEMPRESAS 20TABLETS</v>
      </c>
      <c r="B161" s="193" t="s">
        <v>32</v>
      </c>
      <c r="C161" s="13" t="s">
        <v>70</v>
      </c>
      <c r="D161" s="174" t="s">
        <v>314</v>
      </c>
      <c r="E161" s="193" t="s">
        <v>210</v>
      </c>
      <c r="F161" s="193" t="s">
        <v>110</v>
      </c>
    </row>
    <row r="162" spans="1:6" ht="14">
      <c r="A162" s="12" t="str">
        <f t="shared" si="9"/>
        <v>portabilidadEMPRESAS ILIMITADATABLETS</v>
      </c>
      <c r="B162" s="193" t="s">
        <v>32</v>
      </c>
      <c r="C162" s="13" t="s">
        <v>70</v>
      </c>
      <c r="D162" s="174" t="s">
        <v>315</v>
      </c>
      <c r="E162" s="193" t="s">
        <v>210</v>
      </c>
      <c r="F162" s="193" t="s">
        <v>111</v>
      </c>
    </row>
    <row r="163" spans="1:6" ht="14">
      <c r="A163" s="12" t="str">
        <f t="shared" si="9"/>
        <v>portabilidadEMPRESAS INTERNACIONALTABLETS</v>
      </c>
      <c r="B163" s="193" t="s">
        <v>32</v>
      </c>
      <c r="C163" s="13" t="s">
        <v>70</v>
      </c>
      <c r="D163" s="174" t="s">
        <v>320</v>
      </c>
      <c r="E163" s="193" t="s">
        <v>210</v>
      </c>
      <c r="F163" s="193" t="s">
        <v>146</v>
      </c>
    </row>
    <row r="164" spans="1:6">
      <c r="A164" s="12" t="str">
        <f t="shared" si="9"/>
        <v>captaEMPRESAS VOZTABLETS</v>
      </c>
      <c r="B164" s="193" t="s">
        <v>32</v>
      </c>
      <c r="C164" s="12" t="s">
        <v>71</v>
      </c>
      <c r="D164" s="100" t="s">
        <v>316</v>
      </c>
      <c r="E164" s="193" t="s">
        <v>210</v>
      </c>
      <c r="F164" s="193" t="s">
        <v>108</v>
      </c>
    </row>
    <row r="165" spans="1:6" ht="14">
      <c r="A165" s="12" t="str">
        <f t="shared" si="9"/>
        <v>captaEMPRESAS 1TABLETS</v>
      </c>
      <c r="B165" s="193" t="s">
        <v>32</v>
      </c>
      <c r="C165" s="12" t="s">
        <v>71</v>
      </c>
      <c r="D165" s="174" t="s">
        <v>312</v>
      </c>
      <c r="E165" s="193" t="s">
        <v>210</v>
      </c>
      <c r="F165" s="193" t="s">
        <v>108</v>
      </c>
    </row>
    <row r="166" spans="1:6" ht="14">
      <c r="A166" s="12" t="str">
        <f t="shared" si="9"/>
        <v>captaEMPRESAS 5TABLETS</v>
      </c>
      <c r="B166" s="193" t="s">
        <v>32</v>
      </c>
      <c r="C166" s="12" t="s">
        <v>71</v>
      </c>
      <c r="D166" s="174" t="s">
        <v>313</v>
      </c>
      <c r="E166" s="193" t="s">
        <v>210</v>
      </c>
      <c r="F166" s="193" t="s">
        <v>109</v>
      </c>
    </row>
    <row r="167" spans="1:6" ht="14">
      <c r="A167" s="12" t="str">
        <f t="shared" si="9"/>
        <v>captaEMPRESAS 20TABLETS</v>
      </c>
      <c r="B167" s="193" t="s">
        <v>32</v>
      </c>
      <c r="C167" s="12" t="s">
        <v>71</v>
      </c>
      <c r="D167" s="174" t="s">
        <v>314</v>
      </c>
      <c r="E167" s="193" t="s">
        <v>210</v>
      </c>
      <c r="F167" s="193" t="s">
        <v>110</v>
      </c>
    </row>
    <row r="168" spans="1:6" ht="14">
      <c r="A168" s="12" t="str">
        <f t="shared" si="9"/>
        <v>captaEMPRESAS ILIMITADATABLETS</v>
      </c>
      <c r="B168" s="193" t="s">
        <v>32</v>
      </c>
      <c r="C168" s="12" t="s">
        <v>71</v>
      </c>
      <c r="D168" s="174" t="s">
        <v>315</v>
      </c>
      <c r="E168" s="193" t="s">
        <v>210</v>
      </c>
      <c r="F168" s="193" t="s">
        <v>111</v>
      </c>
    </row>
    <row r="169" spans="1:6" ht="14">
      <c r="A169" s="12" t="str">
        <f t="shared" si="9"/>
        <v>captaEMPRESAS INTERNACIONALTABLETS</v>
      </c>
      <c r="B169" s="193" t="s">
        <v>32</v>
      </c>
      <c r="C169" s="12" t="s">
        <v>71</v>
      </c>
      <c r="D169" s="174" t="s">
        <v>320</v>
      </c>
      <c r="E169" s="193" t="s">
        <v>210</v>
      </c>
      <c r="F169" s="193" t="s">
        <v>146</v>
      </c>
    </row>
    <row r="170" spans="1:6">
      <c r="A170" s="12" t="str">
        <f t="shared" si="9"/>
        <v>portabilidadEMPRESAS VOZBUN SPH + OC</v>
      </c>
      <c r="B170" s="193" t="s">
        <v>32</v>
      </c>
      <c r="C170" s="13" t="s">
        <v>70</v>
      </c>
      <c r="D170" s="100" t="s">
        <v>316</v>
      </c>
      <c r="E170" s="193" t="s">
        <v>207</v>
      </c>
      <c r="F170" s="193" t="s">
        <v>108</v>
      </c>
    </row>
    <row r="171" spans="1:6" ht="14">
      <c r="A171" s="12" t="str">
        <f t="shared" si="9"/>
        <v>portabilidadEMPRESAS 1BUN SPH + OC</v>
      </c>
      <c r="B171" s="193" t="s">
        <v>32</v>
      </c>
      <c r="C171" s="13" t="s">
        <v>70</v>
      </c>
      <c r="D171" s="174" t="s">
        <v>312</v>
      </c>
      <c r="E171" s="193" t="s">
        <v>207</v>
      </c>
      <c r="F171" s="193" t="s">
        <v>108</v>
      </c>
    </row>
    <row r="172" spans="1:6" ht="14">
      <c r="A172" s="12" t="str">
        <f t="shared" si="9"/>
        <v>portabilidadEMPRESAS 5BUN SPH + OC</v>
      </c>
      <c r="B172" s="193" t="s">
        <v>32</v>
      </c>
      <c r="C172" s="13" t="s">
        <v>70</v>
      </c>
      <c r="D172" s="174" t="s">
        <v>313</v>
      </c>
      <c r="E172" s="193" t="s">
        <v>207</v>
      </c>
      <c r="F172" s="193" t="s">
        <v>109</v>
      </c>
    </row>
    <row r="173" spans="1:6" ht="14">
      <c r="A173" s="12" t="str">
        <f t="shared" si="9"/>
        <v>portabilidadEMPRESAS 20BUN SPH + OC</v>
      </c>
      <c r="B173" s="193" t="s">
        <v>32</v>
      </c>
      <c r="C173" s="13" t="s">
        <v>70</v>
      </c>
      <c r="D173" s="174" t="s">
        <v>314</v>
      </c>
      <c r="E173" s="193" t="s">
        <v>207</v>
      </c>
      <c r="F173" s="193" t="s">
        <v>110</v>
      </c>
    </row>
    <row r="174" spans="1:6" ht="14">
      <c r="A174" s="12" t="str">
        <f t="shared" si="9"/>
        <v>portabilidadEMPRESAS ILIMITADABUN SPH + OC</v>
      </c>
      <c r="B174" s="193" t="s">
        <v>32</v>
      </c>
      <c r="C174" s="13" t="s">
        <v>70</v>
      </c>
      <c r="D174" s="174" t="s">
        <v>315</v>
      </c>
      <c r="E174" s="193" t="s">
        <v>207</v>
      </c>
      <c r="F174" s="193" t="s">
        <v>111</v>
      </c>
    </row>
    <row r="175" spans="1:6" ht="14">
      <c r="A175" s="12" t="str">
        <f t="shared" si="9"/>
        <v>portabilidadEMPRESAS INTERNACIONALBUN SPH + OC</v>
      </c>
      <c r="B175" s="193" t="s">
        <v>32</v>
      </c>
      <c r="C175" s="13" t="s">
        <v>70</v>
      </c>
      <c r="D175" s="174" t="s">
        <v>320</v>
      </c>
      <c r="E175" s="193" t="s">
        <v>207</v>
      </c>
      <c r="F175" s="193" t="s">
        <v>146</v>
      </c>
    </row>
    <row r="176" spans="1:6">
      <c r="A176" s="12" t="str">
        <f t="shared" si="9"/>
        <v>captaEMPRESAS VOZBUN SPH + OC</v>
      </c>
      <c r="B176" s="193" t="s">
        <v>32</v>
      </c>
      <c r="C176" s="12" t="s">
        <v>71</v>
      </c>
      <c r="D176" s="100" t="s">
        <v>316</v>
      </c>
      <c r="E176" s="193" t="s">
        <v>207</v>
      </c>
      <c r="F176" s="193" t="s">
        <v>108</v>
      </c>
    </row>
    <row r="177" spans="1:6" ht="14">
      <c r="A177" s="12" t="str">
        <f t="shared" si="9"/>
        <v>captaEMPRESAS 1BUN SPH + OC</v>
      </c>
      <c r="B177" s="193" t="s">
        <v>32</v>
      </c>
      <c r="C177" s="12" t="s">
        <v>71</v>
      </c>
      <c r="D177" s="174" t="s">
        <v>312</v>
      </c>
      <c r="E177" s="193" t="s">
        <v>207</v>
      </c>
      <c r="F177" s="193" t="s">
        <v>108</v>
      </c>
    </row>
    <row r="178" spans="1:6" ht="14">
      <c r="A178" s="12" t="str">
        <f t="shared" si="9"/>
        <v>captaEMPRESAS 5BUN SPH + OC</v>
      </c>
      <c r="B178" s="193" t="s">
        <v>32</v>
      </c>
      <c r="C178" s="12" t="s">
        <v>71</v>
      </c>
      <c r="D178" s="174" t="s">
        <v>313</v>
      </c>
      <c r="E178" s="193" t="s">
        <v>207</v>
      </c>
      <c r="F178" s="193" t="s">
        <v>109</v>
      </c>
    </row>
    <row r="179" spans="1:6" ht="14">
      <c r="A179" s="12" t="str">
        <f t="shared" si="9"/>
        <v>captaEMPRESAS 20BUN SPH + OC</v>
      </c>
      <c r="B179" s="193" t="s">
        <v>32</v>
      </c>
      <c r="C179" s="12" t="s">
        <v>71</v>
      </c>
      <c r="D179" s="174" t="s">
        <v>314</v>
      </c>
      <c r="E179" s="193" t="s">
        <v>207</v>
      </c>
      <c r="F179" s="193" t="s">
        <v>110</v>
      </c>
    </row>
    <row r="180" spans="1:6" ht="14">
      <c r="A180" s="12" t="str">
        <f t="shared" si="9"/>
        <v>captaEMPRESAS ILIMITADABUN SPH + OC</v>
      </c>
      <c r="B180" s="193" t="s">
        <v>32</v>
      </c>
      <c r="C180" s="12" t="s">
        <v>71</v>
      </c>
      <c r="D180" s="174" t="s">
        <v>315</v>
      </c>
      <c r="E180" s="193" t="s">
        <v>207</v>
      </c>
      <c r="F180" s="193" t="s">
        <v>111</v>
      </c>
    </row>
    <row r="181" spans="1:6" ht="14">
      <c r="A181" s="12" t="str">
        <f t="shared" si="9"/>
        <v>captaEMPRESAS INTERNACIONALBUN SPH + OC</v>
      </c>
      <c r="B181" s="193" t="s">
        <v>32</v>
      </c>
      <c r="C181" s="12" t="s">
        <v>71</v>
      </c>
      <c r="D181" s="174" t="s">
        <v>320</v>
      </c>
      <c r="E181" s="193" t="s">
        <v>207</v>
      </c>
      <c r="F181" s="193" t="s">
        <v>146</v>
      </c>
    </row>
    <row r="182" spans="1:6">
      <c r="A182" s="12" t="str">
        <f t="shared" si="9"/>
        <v>portabilidadEMPRESAS VOZ-</v>
      </c>
      <c r="B182" s="193" t="s">
        <v>32</v>
      </c>
      <c r="C182" s="13" t="s">
        <v>70</v>
      </c>
      <c r="D182" s="100" t="s">
        <v>316</v>
      </c>
      <c r="E182" s="193" t="s">
        <v>15</v>
      </c>
      <c r="F182" s="193" t="s">
        <v>108</v>
      </c>
    </row>
    <row r="183" spans="1:6" ht="14">
      <c r="A183" s="12" t="str">
        <f t="shared" si="9"/>
        <v>portabilidadEMPRESAS 1-</v>
      </c>
      <c r="B183" s="193" t="s">
        <v>32</v>
      </c>
      <c r="C183" s="13" t="s">
        <v>70</v>
      </c>
      <c r="D183" s="174" t="s">
        <v>312</v>
      </c>
      <c r="E183" s="193" t="s">
        <v>15</v>
      </c>
      <c r="F183" s="193" t="s">
        <v>108</v>
      </c>
    </row>
    <row r="184" spans="1:6" ht="14">
      <c r="A184" s="12" t="str">
        <f t="shared" si="9"/>
        <v>portabilidadEMPRESAS 5-</v>
      </c>
      <c r="B184" s="193" t="s">
        <v>32</v>
      </c>
      <c r="C184" s="13" t="s">
        <v>70</v>
      </c>
      <c r="D184" s="174" t="s">
        <v>313</v>
      </c>
      <c r="E184" s="193" t="s">
        <v>15</v>
      </c>
      <c r="F184" s="193" t="s">
        <v>109</v>
      </c>
    </row>
    <row r="185" spans="1:6" ht="14">
      <c r="A185" s="12" t="str">
        <f t="shared" si="9"/>
        <v>portabilidadEMPRESAS 20-</v>
      </c>
      <c r="B185" s="193" t="s">
        <v>32</v>
      </c>
      <c r="C185" s="13" t="s">
        <v>70</v>
      </c>
      <c r="D185" s="174" t="s">
        <v>314</v>
      </c>
      <c r="E185" s="193" t="s">
        <v>15</v>
      </c>
      <c r="F185" s="193" t="s">
        <v>110</v>
      </c>
    </row>
    <row r="186" spans="1:6" ht="14">
      <c r="A186" s="12" t="str">
        <f t="shared" si="9"/>
        <v>portabilidadEMPRESAS ILIMITADA-</v>
      </c>
      <c r="B186" s="193" t="s">
        <v>32</v>
      </c>
      <c r="C186" s="13" t="s">
        <v>70</v>
      </c>
      <c r="D186" s="174" t="s">
        <v>315</v>
      </c>
      <c r="E186" s="193" t="s">
        <v>15</v>
      </c>
      <c r="F186" s="193" t="s">
        <v>111</v>
      </c>
    </row>
    <row r="187" spans="1:6" ht="14">
      <c r="A187" s="12" t="str">
        <f t="shared" si="9"/>
        <v>portabilidadEMPRESAS INTERNACIONAL-</v>
      </c>
      <c r="B187" s="193" t="s">
        <v>32</v>
      </c>
      <c r="C187" s="13" t="s">
        <v>70</v>
      </c>
      <c r="D187" s="174" t="s">
        <v>320</v>
      </c>
      <c r="E187" s="193" t="s">
        <v>15</v>
      </c>
      <c r="F187" s="193" t="s">
        <v>146</v>
      </c>
    </row>
    <row r="188" spans="1:6">
      <c r="A188" s="12" t="str">
        <f t="shared" si="9"/>
        <v>captaEMPRESAS VOZ-</v>
      </c>
      <c r="B188" s="193" t="s">
        <v>32</v>
      </c>
      <c r="C188" s="12" t="s">
        <v>71</v>
      </c>
      <c r="D188" s="100" t="s">
        <v>316</v>
      </c>
      <c r="E188" s="193" t="s">
        <v>15</v>
      </c>
      <c r="F188" s="193" t="s">
        <v>108</v>
      </c>
    </row>
    <row r="189" spans="1:6" ht="14">
      <c r="A189" s="12" t="str">
        <f t="shared" si="9"/>
        <v>captaEMPRESAS 1-</v>
      </c>
      <c r="B189" s="193" t="s">
        <v>32</v>
      </c>
      <c r="C189" s="12" t="s">
        <v>71</v>
      </c>
      <c r="D189" s="174" t="s">
        <v>312</v>
      </c>
      <c r="E189" s="193" t="s">
        <v>15</v>
      </c>
      <c r="F189" s="193" t="s">
        <v>108</v>
      </c>
    </row>
    <row r="190" spans="1:6" ht="14">
      <c r="A190" s="12" t="str">
        <f t="shared" si="9"/>
        <v>captaEMPRESAS 5-</v>
      </c>
      <c r="B190" s="193" t="s">
        <v>32</v>
      </c>
      <c r="C190" s="12" t="s">
        <v>71</v>
      </c>
      <c r="D190" s="174" t="s">
        <v>313</v>
      </c>
      <c r="E190" s="193" t="s">
        <v>15</v>
      </c>
      <c r="F190" s="193" t="s">
        <v>109</v>
      </c>
    </row>
    <row r="191" spans="1:6" ht="14">
      <c r="A191" s="12" t="str">
        <f t="shared" si="9"/>
        <v>captaEMPRESAS 20-</v>
      </c>
      <c r="B191" s="193" t="s">
        <v>32</v>
      </c>
      <c r="C191" s="12" t="s">
        <v>71</v>
      </c>
      <c r="D191" s="174" t="s">
        <v>314</v>
      </c>
      <c r="E191" s="193" t="s">
        <v>15</v>
      </c>
      <c r="F191" s="193" t="s">
        <v>110</v>
      </c>
    </row>
    <row r="192" spans="1:6" ht="14">
      <c r="A192" s="12" t="str">
        <f t="shared" si="9"/>
        <v>captaEMPRESAS ILIMITADA-</v>
      </c>
      <c r="B192" s="193" t="s">
        <v>32</v>
      </c>
      <c r="C192" s="12" t="s">
        <v>71</v>
      </c>
      <c r="D192" s="174" t="s">
        <v>315</v>
      </c>
      <c r="E192" s="193" t="s">
        <v>15</v>
      </c>
      <c r="F192" s="193" t="s">
        <v>111</v>
      </c>
    </row>
    <row r="193" spans="1:6" ht="14">
      <c r="A193" s="12" t="str">
        <f t="shared" si="9"/>
        <v>captaEMPRESAS INTERNACIONAL-</v>
      </c>
      <c r="B193" s="193" t="s">
        <v>32</v>
      </c>
      <c r="C193" s="12" t="s">
        <v>71</v>
      </c>
      <c r="D193" s="174" t="s">
        <v>320</v>
      </c>
      <c r="E193" s="193" t="s">
        <v>15</v>
      </c>
      <c r="F193" s="193" t="s">
        <v>146</v>
      </c>
    </row>
    <row r="194" spans="1:6">
      <c r="A194" s="12" t="str">
        <f t="shared" si="9"/>
        <v>captailimitada 30GB-</v>
      </c>
      <c r="B194" s="193" t="s">
        <v>32</v>
      </c>
      <c r="C194" s="12" t="s">
        <v>71</v>
      </c>
      <c r="D194" s="12" t="s">
        <v>152</v>
      </c>
      <c r="E194" s="193" t="s">
        <v>15</v>
      </c>
      <c r="F194" s="193" t="s">
        <v>146</v>
      </c>
    </row>
    <row r="195" spans="1:6">
      <c r="A195" s="12" t="str">
        <f t="shared" si="9"/>
        <v>captatarifa infinita-</v>
      </c>
      <c r="B195" s="193" t="s">
        <v>32</v>
      </c>
      <c r="C195" s="12" t="s">
        <v>71</v>
      </c>
      <c r="D195" s="12" t="s">
        <v>186</v>
      </c>
      <c r="E195" s="193" t="s">
        <v>15</v>
      </c>
      <c r="F195" s="193" t="s">
        <v>146</v>
      </c>
    </row>
    <row r="196" spans="1:6">
      <c r="A196" s="12" t="str">
        <f t="shared" si="9"/>
        <v>portabilidadEMPRESAS VOZFIXED STYLE</v>
      </c>
      <c r="B196" s="193" t="s">
        <v>32</v>
      </c>
      <c r="C196" s="13" t="s">
        <v>70</v>
      </c>
      <c r="D196" s="100" t="s">
        <v>316</v>
      </c>
      <c r="E196" s="193" t="s">
        <v>284</v>
      </c>
      <c r="F196" s="193" t="s">
        <v>108</v>
      </c>
    </row>
    <row r="197" spans="1:6" ht="14">
      <c r="A197" s="12" t="str">
        <f t="shared" si="9"/>
        <v>portabilidadEMPRESAS 1FIXED STYLE</v>
      </c>
      <c r="B197" s="193" t="s">
        <v>32</v>
      </c>
      <c r="C197" s="13" t="s">
        <v>70</v>
      </c>
      <c r="D197" s="174" t="s">
        <v>312</v>
      </c>
      <c r="E197" s="193" t="s">
        <v>284</v>
      </c>
      <c r="F197" s="193" t="s">
        <v>108</v>
      </c>
    </row>
    <row r="198" spans="1:6" ht="14">
      <c r="A198" s="12" t="str">
        <f t="shared" si="9"/>
        <v>portabilidadEMPRESAS 5FIXED STYLE</v>
      </c>
      <c r="B198" s="193" t="s">
        <v>32</v>
      </c>
      <c r="C198" s="13" t="s">
        <v>70</v>
      </c>
      <c r="D198" s="174" t="s">
        <v>313</v>
      </c>
      <c r="E198" s="193" t="s">
        <v>284</v>
      </c>
      <c r="F198" s="193" t="s">
        <v>109</v>
      </c>
    </row>
    <row r="199" spans="1:6" ht="14">
      <c r="A199" s="12" t="str">
        <f t="shared" si="9"/>
        <v>portabilidadEMPRESAS 20FIXED STYLE</v>
      </c>
      <c r="B199" s="193" t="s">
        <v>32</v>
      </c>
      <c r="C199" s="13" t="s">
        <v>70</v>
      </c>
      <c r="D199" s="174" t="s">
        <v>314</v>
      </c>
      <c r="E199" s="193" t="s">
        <v>284</v>
      </c>
      <c r="F199" s="193" t="s">
        <v>110</v>
      </c>
    </row>
    <row r="200" spans="1:6" ht="14">
      <c r="A200" s="12" t="str">
        <f t="shared" si="9"/>
        <v>portabilidadEMPRESAS ILIMITADAFIXED STYLE</v>
      </c>
      <c r="B200" s="193" t="s">
        <v>32</v>
      </c>
      <c r="C200" s="13" t="s">
        <v>70</v>
      </c>
      <c r="D200" s="174" t="s">
        <v>315</v>
      </c>
      <c r="E200" s="193" t="s">
        <v>284</v>
      </c>
      <c r="F200" s="193" t="s">
        <v>111</v>
      </c>
    </row>
    <row r="201" spans="1:6" ht="14">
      <c r="A201" s="12" t="str">
        <f t="shared" si="9"/>
        <v>portabilidadEMPRESAS INTERNACIONALFIXED STYLE</v>
      </c>
      <c r="B201" s="193" t="s">
        <v>32</v>
      </c>
      <c r="C201" s="13" t="s">
        <v>70</v>
      </c>
      <c r="D201" s="174" t="s">
        <v>320</v>
      </c>
      <c r="E201" s="193" t="s">
        <v>284</v>
      </c>
      <c r="F201" s="193" t="s">
        <v>146</v>
      </c>
    </row>
    <row r="202" spans="1:6">
      <c r="A202" s="12" t="str">
        <f t="shared" si="9"/>
        <v>captaEMPRESAS VOZFIXED STYLE</v>
      </c>
      <c r="B202" s="193" t="s">
        <v>32</v>
      </c>
      <c r="C202" s="12" t="s">
        <v>71</v>
      </c>
      <c r="D202" s="100" t="s">
        <v>316</v>
      </c>
      <c r="E202" s="193" t="s">
        <v>284</v>
      </c>
      <c r="F202" s="238" t="s">
        <v>145</v>
      </c>
    </row>
    <row r="203" spans="1:6">
      <c r="A203" s="12" t="str">
        <f t="shared" si="9"/>
        <v>capta150 min / 1GBFIXED STYLE</v>
      </c>
      <c r="B203" s="193" t="s">
        <v>32</v>
      </c>
      <c r="C203" s="12" t="s">
        <v>71</v>
      </c>
      <c r="D203" s="12" t="s">
        <v>148</v>
      </c>
      <c r="E203" s="193" t="s">
        <v>284</v>
      </c>
      <c r="F203" s="193" t="s">
        <v>108</v>
      </c>
    </row>
    <row r="204" spans="1:6">
      <c r="A204" s="12" t="str">
        <f t="shared" si="9"/>
        <v>captailimitada 1GBFIXED STYLE</v>
      </c>
      <c r="B204" s="193" t="s">
        <v>32</v>
      </c>
      <c r="C204" s="12" t="s">
        <v>71</v>
      </c>
      <c r="D204" s="12" t="s">
        <v>185</v>
      </c>
      <c r="E204" s="193" t="s">
        <v>284</v>
      </c>
      <c r="F204" s="193" t="s">
        <v>145</v>
      </c>
    </row>
    <row r="205" spans="1:6">
      <c r="A205" s="12" t="str">
        <f t="shared" si="9"/>
        <v>captailimitada 2GBFIXED STYLE</v>
      </c>
      <c r="B205" s="193" t="s">
        <v>32</v>
      </c>
      <c r="C205" s="12" t="s">
        <v>71</v>
      </c>
      <c r="D205" s="12" t="s">
        <v>149</v>
      </c>
      <c r="E205" s="193" t="s">
        <v>284</v>
      </c>
      <c r="F205" s="193" t="s">
        <v>109</v>
      </c>
    </row>
    <row r="206" spans="1:6">
      <c r="A206" s="12" t="str">
        <f t="shared" si="9"/>
        <v>captailimitada 5GBFIXED STYLE</v>
      </c>
      <c r="B206" s="193" t="s">
        <v>32</v>
      </c>
      <c r="C206" s="12" t="s">
        <v>71</v>
      </c>
      <c r="D206" s="12" t="s">
        <v>150</v>
      </c>
      <c r="E206" s="193" t="s">
        <v>284</v>
      </c>
      <c r="F206" s="193" t="s">
        <v>110</v>
      </c>
    </row>
    <row r="207" spans="1:6">
      <c r="A207" s="12" t="str">
        <f t="shared" si="9"/>
        <v>captailimitada 12GBFIXED STYLE</v>
      </c>
      <c r="B207" s="193" t="s">
        <v>32</v>
      </c>
      <c r="C207" s="12" t="s">
        <v>71</v>
      </c>
      <c r="D207" s="12" t="s">
        <v>151</v>
      </c>
      <c r="E207" s="193" t="s">
        <v>284</v>
      </c>
      <c r="F207" s="193" t="s">
        <v>111</v>
      </c>
    </row>
    <row r="208" spans="1:6">
      <c r="A208" s="12" t="str">
        <f t="shared" si="9"/>
        <v>captailimitada 30GBFIXED STYLE</v>
      </c>
      <c r="B208" s="193" t="s">
        <v>32</v>
      </c>
      <c r="C208" s="12" t="s">
        <v>71</v>
      </c>
      <c r="D208" s="12" t="s">
        <v>152</v>
      </c>
      <c r="E208" s="193" t="s">
        <v>284</v>
      </c>
      <c r="F208" s="193" t="s">
        <v>146</v>
      </c>
    </row>
    <row r="209" spans="1:6" ht="12" customHeight="1">
      <c r="A209" s="12" t="str">
        <f t="shared" si="9"/>
        <v>captatarifa infinitaFIXED STYLE</v>
      </c>
      <c r="B209" s="193" t="s">
        <v>32</v>
      </c>
      <c r="C209" s="12" t="s">
        <v>71</v>
      </c>
      <c r="D209" s="12" t="s">
        <v>186</v>
      </c>
      <c r="E209" s="193" t="s">
        <v>284</v>
      </c>
      <c r="F209" s="193" t="s">
        <v>146</v>
      </c>
    </row>
    <row r="210" spans="1:6">
      <c r="A210" s="12" t="str">
        <f>C210&amp;D210&amp;E210</f>
        <v>portabilidadilimitada 20GBSMARTWATCH</v>
      </c>
      <c r="B210" s="193" t="s">
        <v>32</v>
      </c>
      <c r="C210" s="100" t="s">
        <v>70</v>
      </c>
      <c r="D210" s="88" t="s">
        <v>295</v>
      </c>
      <c r="E210" s="241" t="s">
        <v>192</v>
      </c>
      <c r="F210" s="193" t="s">
        <v>110</v>
      </c>
    </row>
    <row r="211" spans="1:6">
      <c r="A211" s="12" t="str">
        <f>C211&amp;D211&amp;E211</f>
        <v>portabilidadIlimitada infinita GB sin internacionalSMARTWATCH</v>
      </c>
      <c r="B211" s="193" t="s">
        <v>32</v>
      </c>
      <c r="C211" s="100" t="s">
        <v>70</v>
      </c>
      <c r="D211" s="88" t="s">
        <v>296</v>
      </c>
      <c r="E211" s="241" t="s">
        <v>192</v>
      </c>
      <c r="F211" s="193" t="s">
        <v>111</v>
      </c>
    </row>
    <row r="212" spans="1:6">
      <c r="A212" s="12" t="str">
        <f>C212&amp;D212&amp;E212</f>
        <v>portabilidadIlimitada infinita GB con internacionalSMARTWATCH</v>
      </c>
      <c r="B212" s="193" t="s">
        <v>32</v>
      </c>
      <c r="C212" s="100" t="s">
        <v>70</v>
      </c>
      <c r="D212" s="88" t="s">
        <v>297</v>
      </c>
      <c r="E212" s="241" t="s">
        <v>192</v>
      </c>
      <c r="F212" s="193" t="s">
        <v>146</v>
      </c>
    </row>
    <row r="213" spans="1:6">
      <c r="A213" s="12" t="str">
        <f>C213&amp;D213&amp;E213</f>
        <v>captaEMPRESAS VOZ -SMARTWATCH</v>
      </c>
      <c r="B213" s="193" t="s">
        <v>32</v>
      </c>
      <c r="C213" s="102" t="s">
        <v>71</v>
      </c>
      <c r="D213" s="88" t="s">
        <v>317</v>
      </c>
      <c r="E213" s="241" t="s">
        <v>192</v>
      </c>
      <c r="F213" s="238" t="s">
        <v>145</v>
      </c>
    </row>
    <row r="214" spans="1:6">
      <c r="A214" s="12" t="str">
        <f t="shared" ref="A214:A229" si="10">C214&amp;D214&amp;E214</f>
        <v>capta150 minSMARTWATCH</v>
      </c>
      <c r="B214" s="193" t="s">
        <v>32</v>
      </c>
      <c r="C214" s="102" t="s">
        <v>71</v>
      </c>
      <c r="D214" s="88" t="s">
        <v>292</v>
      </c>
      <c r="E214" s="241" t="s">
        <v>192</v>
      </c>
      <c r="F214" s="193" t="s">
        <v>108</v>
      </c>
    </row>
    <row r="215" spans="1:6">
      <c r="A215" s="12" t="str">
        <f t="shared" si="10"/>
        <v>captailimitada / 1GBSMARTWATCH</v>
      </c>
      <c r="B215" s="193" t="s">
        <v>32</v>
      </c>
      <c r="C215" s="102" t="s">
        <v>71</v>
      </c>
      <c r="D215" s="88" t="s">
        <v>293</v>
      </c>
      <c r="E215" s="241" t="s">
        <v>192</v>
      </c>
      <c r="F215" s="238" t="s">
        <v>145</v>
      </c>
    </row>
    <row r="216" spans="1:6">
      <c r="A216" s="12" t="str">
        <f t="shared" si="10"/>
        <v>captailimitada / 5GBSMARTWATCH</v>
      </c>
      <c r="B216" s="193" t="s">
        <v>32</v>
      </c>
      <c r="C216" s="102" t="s">
        <v>71</v>
      </c>
      <c r="D216" s="88" t="s">
        <v>294</v>
      </c>
      <c r="E216" s="241" t="s">
        <v>192</v>
      </c>
      <c r="F216" s="193" t="s">
        <v>109</v>
      </c>
    </row>
    <row r="217" spans="1:6">
      <c r="A217" s="12" t="str">
        <f t="shared" si="10"/>
        <v>captailimitada 20GBSMARTWATCH</v>
      </c>
      <c r="B217" s="193" t="s">
        <v>32</v>
      </c>
      <c r="C217" s="102" t="s">
        <v>71</v>
      </c>
      <c r="D217" s="88" t="s">
        <v>295</v>
      </c>
      <c r="E217" s="241" t="s">
        <v>192</v>
      </c>
      <c r="F217" s="193" t="s">
        <v>110</v>
      </c>
    </row>
    <row r="218" spans="1:6">
      <c r="A218" s="12" t="str">
        <f t="shared" si="10"/>
        <v>captaIlimitada infinita GB sin internacionalSMARTWATCH</v>
      </c>
      <c r="B218" s="193" t="s">
        <v>32</v>
      </c>
      <c r="C218" s="102" t="s">
        <v>71</v>
      </c>
      <c r="D218" s="88" t="s">
        <v>296</v>
      </c>
      <c r="E218" s="241" t="s">
        <v>192</v>
      </c>
      <c r="F218" s="193" t="s">
        <v>111</v>
      </c>
    </row>
    <row r="219" spans="1:6">
      <c r="A219" s="12" t="str">
        <f t="shared" si="10"/>
        <v>captaIlimitada infinita GB con internacionalSMARTWATCH</v>
      </c>
      <c r="B219" s="193" t="s">
        <v>32</v>
      </c>
      <c r="C219" s="102" t="s">
        <v>71</v>
      </c>
      <c r="D219" s="88" t="s">
        <v>297</v>
      </c>
      <c r="E219" s="241" t="s">
        <v>192</v>
      </c>
      <c r="F219" s="193" t="s">
        <v>146</v>
      </c>
    </row>
    <row r="220" spans="1:6">
      <c r="A220" s="12" t="str">
        <f t="shared" si="10"/>
        <v>portabilidadEMPRESAS VOZ -PC</v>
      </c>
      <c r="B220" s="193" t="s">
        <v>32</v>
      </c>
      <c r="C220" s="100" t="s">
        <v>70</v>
      </c>
      <c r="D220" s="88" t="s">
        <v>317</v>
      </c>
      <c r="E220" s="241" t="s">
        <v>193</v>
      </c>
      <c r="F220" s="238" t="s">
        <v>145</v>
      </c>
    </row>
    <row r="221" spans="1:6">
      <c r="A221" s="12" t="str">
        <f t="shared" si="10"/>
        <v>portabilidad150 minPC</v>
      </c>
      <c r="B221" s="193" t="s">
        <v>32</v>
      </c>
      <c r="C221" s="100" t="s">
        <v>70</v>
      </c>
      <c r="D221" s="88" t="s">
        <v>292</v>
      </c>
      <c r="E221" s="241" t="s">
        <v>193</v>
      </c>
      <c r="F221" s="193" t="s">
        <v>108</v>
      </c>
    </row>
    <row r="222" spans="1:6">
      <c r="A222" s="12" t="str">
        <f t="shared" si="10"/>
        <v>portabilidadilimitada / 1GBPC</v>
      </c>
      <c r="B222" s="193" t="s">
        <v>32</v>
      </c>
      <c r="C222" s="100" t="s">
        <v>70</v>
      </c>
      <c r="D222" s="88" t="s">
        <v>293</v>
      </c>
      <c r="E222" s="241" t="s">
        <v>193</v>
      </c>
      <c r="F222" s="238" t="s">
        <v>145</v>
      </c>
    </row>
    <row r="223" spans="1:6">
      <c r="A223" s="12" t="str">
        <f t="shared" si="10"/>
        <v>portabilidadilimitada / 5GBPC</v>
      </c>
      <c r="B223" s="193" t="s">
        <v>32</v>
      </c>
      <c r="C223" s="100" t="s">
        <v>70</v>
      </c>
      <c r="D223" s="88" t="s">
        <v>294</v>
      </c>
      <c r="E223" s="241" t="s">
        <v>193</v>
      </c>
      <c r="F223" s="193" t="s">
        <v>109</v>
      </c>
    </row>
    <row r="224" spans="1:6">
      <c r="A224" s="12" t="str">
        <f t="shared" si="10"/>
        <v>portabilidadilimitada 20GBPC</v>
      </c>
      <c r="B224" s="193" t="s">
        <v>32</v>
      </c>
      <c r="C224" s="100" t="s">
        <v>70</v>
      </c>
      <c r="D224" s="88" t="s">
        <v>295</v>
      </c>
      <c r="E224" s="241" t="s">
        <v>193</v>
      </c>
      <c r="F224" s="193" t="s">
        <v>110</v>
      </c>
    </row>
    <row r="225" spans="1:6">
      <c r="A225" s="12" t="str">
        <f t="shared" si="10"/>
        <v>portabilidadIlimitada infinita GB sin internacionalPC</v>
      </c>
      <c r="B225" s="193" t="s">
        <v>32</v>
      </c>
      <c r="C225" s="100" t="s">
        <v>70</v>
      </c>
      <c r="D225" s="88" t="s">
        <v>296</v>
      </c>
      <c r="E225" s="241" t="s">
        <v>193</v>
      </c>
      <c r="F225" s="193" t="s">
        <v>111</v>
      </c>
    </row>
    <row r="226" spans="1:6">
      <c r="A226" s="12" t="str">
        <f t="shared" si="10"/>
        <v>portabilidadIlimitada infinita GB con internacionalPC</v>
      </c>
      <c r="B226" s="193" t="s">
        <v>32</v>
      </c>
      <c r="C226" s="100" t="s">
        <v>70</v>
      </c>
      <c r="D226" s="88" t="s">
        <v>297</v>
      </c>
      <c r="E226" s="241" t="s">
        <v>193</v>
      </c>
      <c r="F226" s="193" t="s">
        <v>146</v>
      </c>
    </row>
    <row r="227" spans="1:6">
      <c r="A227" s="12" t="str">
        <f t="shared" si="10"/>
        <v>captaEMPRESAS VOZ -PC</v>
      </c>
      <c r="B227" s="193" t="s">
        <v>32</v>
      </c>
      <c r="C227" s="102" t="s">
        <v>71</v>
      </c>
      <c r="D227" s="88" t="s">
        <v>317</v>
      </c>
      <c r="E227" s="241" t="s">
        <v>193</v>
      </c>
      <c r="F227" s="238" t="s">
        <v>145</v>
      </c>
    </row>
    <row r="228" spans="1:6">
      <c r="A228" s="12" t="str">
        <f t="shared" si="10"/>
        <v>capta150 minPC</v>
      </c>
      <c r="B228" s="193" t="s">
        <v>32</v>
      </c>
      <c r="C228" s="102" t="s">
        <v>71</v>
      </c>
      <c r="D228" s="88" t="s">
        <v>292</v>
      </c>
      <c r="E228" s="241" t="s">
        <v>193</v>
      </c>
      <c r="F228" s="193" t="s">
        <v>108</v>
      </c>
    </row>
    <row r="229" spans="1:6">
      <c r="A229" s="12" t="str">
        <f t="shared" si="10"/>
        <v>captailimitada / 1GBPC</v>
      </c>
      <c r="B229" s="193" t="s">
        <v>32</v>
      </c>
      <c r="C229" s="102" t="s">
        <v>71</v>
      </c>
      <c r="D229" s="88" t="s">
        <v>293</v>
      </c>
      <c r="E229" s="241" t="s">
        <v>193</v>
      </c>
      <c r="F229" s="238" t="s">
        <v>145</v>
      </c>
    </row>
    <row r="230" spans="1:6">
      <c r="A230" s="12" t="str">
        <f>C230&amp;D230&amp;E230</f>
        <v>captailimitada / 5GBPC</v>
      </c>
      <c r="B230" s="193" t="s">
        <v>32</v>
      </c>
      <c r="C230" s="102" t="s">
        <v>71</v>
      </c>
      <c r="D230" s="88" t="s">
        <v>294</v>
      </c>
      <c r="E230" s="241" t="s">
        <v>193</v>
      </c>
      <c r="F230" s="193" t="s">
        <v>109</v>
      </c>
    </row>
    <row r="231" spans="1:6">
      <c r="A231" s="12" t="str">
        <f>C231&amp;D231&amp;E231</f>
        <v>captailimitada 20GBPC</v>
      </c>
      <c r="B231" s="193" t="s">
        <v>32</v>
      </c>
      <c r="C231" s="102" t="s">
        <v>71</v>
      </c>
      <c r="D231" s="88" t="s">
        <v>295</v>
      </c>
      <c r="E231" s="241" t="s">
        <v>193</v>
      </c>
      <c r="F231" s="193" t="s">
        <v>110</v>
      </c>
    </row>
    <row r="232" spans="1:6">
      <c r="A232" s="12" t="str">
        <f>C232&amp;D232&amp;E232</f>
        <v>captaIlimitada infinita GB sin internacionalPC</v>
      </c>
      <c r="B232" s="193" t="s">
        <v>32</v>
      </c>
      <c r="C232" s="102" t="s">
        <v>71</v>
      </c>
      <c r="D232" s="88" t="s">
        <v>296</v>
      </c>
      <c r="E232" s="241" t="s">
        <v>193</v>
      </c>
      <c r="F232" s="193" t="s">
        <v>111</v>
      </c>
    </row>
    <row r="233" spans="1:6">
      <c r="A233" s="12" t="str">
        <f>C233&amp;D233&amp;E233</f>
        <v>captaIlimitada infinita GB con internacionalPC</v>
      </c>
      <c r="B233" s="193" t="s">
        <v>32</v>
      </c>
      <c r="C233" s="102" t="s">
        <v>71</v>
      </c>
      <c r="D233" s="88" t="s">
        <v>297</v>
      </c>
      <c r="E233" s="241" t="s">
        <v>193</v>
      </c>
      <c r="F233" s="193" t="s">
        <v>146</v>
      </c>
    </row>
    <row r="234" spans="1:6">
      <c r="A234" s="12" t="str">
        <f t="shared" ref="A234:A243" si="11">C234&amp;D234&amp;E234</f>
        <v>portabilidadEMPRESAS VOZ -BUN PC + OC</v>
      </c>
      <c r="B234" s="193" t="s">
        <v>32</v>
      </c>
      <c r="C234" s="100" t="s">
        <v>70</v>
      </c>
      <c r="D234" s="88" t="s">
        <v>317</v>
      </c>
      <c r="E234" s="241" t="s">
        <v>194</v>
      </c>
      <c r="F234" s="238" t="s">
        <v>145</v>
      </c>
    </row>
    <row r="235" spans="1:6">
      <c r="A235" s="12" t="str">
        <f t="shared" si="11"/>
        <v>portabilidad150 minBUN PC + OC</v>
      </c>
      <c r="B235" s="193" t="s">
        <v>32</v>
      </c>
      <c r="C235" s="100" t="s">
        <v>70</v>
      </c>
      <c r="D235" s="88" t="s">
        <v>292</v>
      </c>
      <c r="E235" s="241" t="s">
        <v>194</v>
      </c>
      <c r="F235" s="193" t="s">
        <v>108</v>
      </c>
    </row>
    <row r="236" spans="1:6">
      <c r="A236" s="12" t="str">
        <f t="shared" si="11"/>
        <v>portabilidadilimitada / 1GBBUN PC + OC</v>
      </c>
      <c r="B236" s="193" t="s">
        <v>32</v>
      </c>
      <c r="C236" s="100" t="s">
        <v>70</v>
      </c>
      <c r="D236" s="88" t="s">
        <v>293</v>
      </c>
      <c r="E236" s="241" t="s">
        <v>194</v>
      </c>
      <c r="F236" s="238" t="s">
        <v>145</v>
      </c>
    </row>
    <row r="237" spans="1:6">
      <c r="A237" s="12" t="str">
        <f t="shared" si="11"/>
        <v>portabilidadilimitada / 5GBBUN PC + OC</v>
      </c>
      <c r="B237" s="193" t="s">
        <v>32</v>
      </c>
      <c r="C237" s="100" t="s">
        <v>70</v>
      </c>
      <c r="D237" s="88" t="s">
        <v>294</v>
      </c>
      <c r="E237" s="241" t="s">
        <v>194</v>
      </c>
      <c r="F237" s="193" t="s">
        <v>109</v>
      </c>
    </row>
    <row r="238" spans="1:6">
      <c r="A238" s="12" t="str">
        <f t="shared" si="11"/>
        <v>portabilidadilimitada 20GBBUN PC + OC</v>
      </c>
      <c r="B238" s="193" t="s">
        <v>32</v>
      </c>
      <c r="C238" s="100" t="s">
        <v>70</v>
      </c>
      <c r="D238" s="88" t="s">
        <v>295</v>
      </c>
      <c r="E238" s="241" t="s">
        <v>194</v>
      </c>
      <c r="F238" s="193" t="s">
        <v>110</v>
      </c>
    </row>
    <row r="239" spans="1:6">
      <c r="A239" s="12" t="str">
        <f t="shared" si="11"/>
        <v>portabilidadIlimitada infinita GB sin internacionalBUN PC + OC</v>
      </c>
      <c r="B239" s="193" t="s">
        <v>32</v>
      </c>
      <c r="C239" s="100" t="s">
        <v>70</v>
      </c>
      <c r="D239" s="88" t="s">
        <v>296</v>
      </c>
      <c r="E239" s="241" t="s">
        <v>194</v>
      </c>
      <c r="F239" s="193" t="s">
        <v>111</v>
      </c>
    </row>
    <row r="240" spans="1:6">
      <c r="A240" s="12" t="str">
        <f t="shared" si="11"/>
        <v>portabilidadIlimitada infinita GB con internacionalBUN PC + OC</v>
      </c>
      <c r="B240" s="193" t="s">
        <v>32</v>
      </c>
      <c r="C240" s="100" t="s">
        <v>70</v>
      </c>
      <c r="D240" s="88" t="s">
        <v>297</v>
      </c>
      <c r="E240" s="241" t="s">
        <v>194</v>
      </c>
      <c r="F240" s="193" t="s">
        <v>146</v>
      </c>
    </row>
    <row r="241" spans="1:6">
      <c r="A241" s="12" t="str">
        <f t="shared" si="11"/>
        <v>captaEMPRESAS VOZ -BUN PC + OC</v>
      </c>
      <c r="B241" s="193" t="s">
        <v>32</v>
      </c>
      <c r="C241" s="102" t="s">
        <v>71</v>
      </c>
      <c r="D241" s="88" t="s">
        <v>317</v>
      </c>
      <c r="E241" s="241" t="s">
        <v>194</v>
      </c>
      <c r="F241" s="238" t="s">
        <v>145</v>
      </c>
    </row>
    <row r="242" spans="1:6">
      <c r="A242" s="12" t="str">
        <f t="shared" si="11"/>
        <v>capta150 minBUN PC + OC</v>
      </c>
      <c r="B242" s="193" t="s">
        <v>32</v>
      </c>
      <c r="C242" s="102" t="s">
        <v>71</v>
      </c>
      <c r="D242" s="88" t="s">
        <v>292</v>
      </c>
      <c r="E242" s="241" t="s">
        <v>194</v>
      </c>
      <c r="F242" s="193" t="s">
        <v>108</v>
      </c>
    </row>
    <row r="243" spans="1:6">
      <c r="A243" s="12" t="str">
        <f t="shared" si="11"/>
        <v>captailimitada / 1GBBUN PC + OC</v>
      </c>
      <c r="B243" s="193" t="s">
        <v>32</v>
      </c>
      <c r="C243" s="102" t="s">
        <v>71</v>
      </c>
      <c r="D243" s="88" t="s">
        <v>293</v>
      </c>
      <c r="E243" s="241" t="s">
        <v>194</v>
      </c>
      <c r="F243" s="238" t="s">
        <v>145</v>
      </c>
    </row>
    <row r="244" spans="1:6">
      <c r="A244" s="12" t="str">
        <f>C244&amp;D244&amp;E244</f>
        <v>captailimitada / 5GBBUN PC + OC</v>
      </c>
      <c r="B244" s="193" t="s">
        <v>32</v>
      </c>
      <c r="C244" s="102" t="s">
        <v>71</v>
      </c>
      <c r="D244" s="88" t="s">
        <v>294</v>
      </c>
      <c r="E244" s="241" t="s">
        <v>194</v>
      </c>
      <c r="F244" s="193" t="s">
        <v>109</v>
      </c>
    </row>
    <row r="245" spans="1:6">
      <c r="A245" s="12" t="str">
        <f>C245&amp;D245&amp;E245</f>
        <v>captailimitada 20GBBUN PC + OC</v>
      </c>
      <c r="B245" s="193" t="s">
        <v>32</v>
      </c>
      <c r="C245" s="102" t="s">
        <v>71</v>
      </c>
      <c r="D245" s="88" t="s">
        <v>295</v>
      </c>
      <c r="E245" s="241" t="s">
        <v>194</v>
      </c>
      <c r="F245" s="193" t="s">
        <v>110</v>
      </c>
    </row>
    <row r="246" spans="1:6">
      <c r="A246" s="12" t="str">
        <f>C246&amp;D246&amp;E246</f>
        <v>captaIlimitada infinita GB sin internacionalBUN PC + OC</v>
      </c>
      <c r="B246" s="193" t="s">
        <v>32</v>
      </c>
      <c r="C246" s="102" t="s">
        <v>71</v>
      </c>
      <c r="D246" s="88" t="s">
        <v>296</v>
      </c>
      <c r="E246" s="241" t="s">
        <v>194</v>
      </c>
      <c r="F246" s="193" t="s">
        <v>111</v>
      </c>
    </row>
    <row r="247" spans="1:6">
      <c r="A247" s="12" t="str">
        <f>C247&amp;D247&amp;E247</f>
        <v>captaIlimitada infinita GB con internacionalBUN PC + OC</v>
      </c>
      <c r="B247" s="193" t="s">
        <v>32</v>
      </c>
      <c r="C247" s="102" t="s">
        <v>71</v>
      </c>
      <c r="D247" s="88" t="s">
        <v>297</v>
      </c>
      <c r="E247" s="241" t="s">
        <v>194</v>
      </c>
      <c r="F247" s="193" t="s">
        <v>146</v>
      </c>
    </row>
    <row r="248" spans="1:6">
      <c r="A248" s="12" t="str">
        <f t="shared" ref="A248:A257" si="12">C248&amp;D248&amp;E248</f>
        <v>portabilidadEMPRESAS VOZ -SMART TV</v>
      </c>
      <c r="B248" s="193" t="s">
        <v>32</v>
      </c>
      <c r="C248" s="100" t="s">
        <v>70</v>
      </c>
      <c r="D248" s="88" t="s">
        <v>317</v>
      </c>
      <c r="E248" s="241" t="s">
        <v>195</v>
      </c>
      <c r="F248" s="238" t="s">
        <v>145</v>
      </c>
    </row>
    <row r="249" spans="1:6">
      <c r="A249" s="12" t="str">
        <f t="shared" si="12"/>
        <v>portabilidad150 minSMART TV</v>
      </c>
      <c r="B249" s="193" t="s">
        <v>32</v>
      </c>
      <c r="C249" s="100" t="s">
        <v>70</v>
      </c>
      <c r="D249" s="88" t="s">
        <v>292</v>
      </c>
      <c r="E249" s="241" t="s">
        <v>195</v>
      </c>
      <c r="F249" s="193" t="s">
        <v>108</v>
      </c>
    </row>
    <row r="250" spans="1:6">
      <c r="A250" s="12" t="str">
        <f t="shared" si="12"/>
        <v>portabilidadilimitada / 1GBSMART TV</v>
      </c>
      <c r="B250" s="193" t="s">
        <v>32</v>
      </c>
      <c r="C250" s="100" t="s">
        <v>70</v>
      </c>
      <c r="D250" s="88" t="s">
        <v>293</v>
      </c>
      <c r="E250" s="241" t="s">
        <v>195</v>
      </c>
      <c r="F250" s="238" t="s">
        <v>145</v>
      </c>
    </row>
    <row r="251" spans="1:6">
      <c r="A251" s="12" t="str">
        <f t="shared" si="12"/>
        <v>portabilidadilimitada / 5GBSMART TV</v>
      </c>
      <c r="B251" s="193" t="s">
        <v>32</v>
      </c>
      <c r="C251" s="100" t="s">
        <v>70</v>
      </c>
      <c r="D251" s="88" t="s">
        <v>294</v>
      </c>
      <c r="E251" s="241" t="s">
        <v>195</v>
      </c>
      <c r="F251" s="193" t="s">
        <v>109</v>
      </c>
    </row>
    <row r="252" spans="1:6">
      <c r="A252" s="12" t="str">
        <f t="shared" si="12"/>
        <v>portabilidadilimitada 20GBSMART TV</v>
      </c>
      <c r="B252" s="193" t="s">
        <v>32</v>
      </c>
      <c r="C252" s="100" t="s">
        <v>70</v>
      </c>
      <c r="D252" s="88" t="s">
        <v>295</v>
      </c>
      <c r="E252" s="241" t="s">
        <v>195</v>
      </c>
      <c r="F252" s="193" t="s">
        <v>110</v>
      </c>
    </row>
    <row r="253" spans="1:6">
      <c r="A253" s="12" t="str">
        <f t="shared" si="12"/>
        <v>portabilidadIlimitada infinita GB sin internacionalSMART TV</v>
      </c>
      <c r="B253" s="193" t="s">
        <v>32</v>
      </c>
      <c r="C253" s="100" t="s">
        <v>70</v>
      </c>
      <c r="D253" s="88" t="s">
        <v>296</v>
      </c>
      <c r="E253" s="241" t="s">
        <v>195</v>
      </c>
      <c r="F253" s="193" t="s">
        <v>111</v>
      </c>
    </row>
    <row r="254" spans="1:6">
      <c r="A254" s="12" t="str">
        <f t="shared" si="12"/>
        <v>portabilidadIlimitada infinita GB con internacionalSMART TV</v>
      </c>
      <c r="B254" s="193" t="s">
        <v>32</v>
      </c>
      <c r="C254" s="100" t="s">
        <v>70</v>
      </c>
      <c r="D254" s="88" t="s">
        <v>297</v>
      </c>
      <c r="E254" s="241" t="s">
        <v>195</v>
      </c>
      <c r="F254" s="193" t="s">
        <v>146</v>
      </c>
    </row>
    <row r="255" spans="1:6">
      <c r="A255" s="12" t="str">
        <f t="shared" si="12"/>
        <v>captaEMPRESAS VOZ -SMART TV</v>
      </c>
      <c r="B255" s="193" t="s">
        <v>32</v>
      </c>
      <c r="C255" s="102" t="s">
        <v>71</v>
      </c>
      <c r="D255" s="88" t="s">
        <v>317</v>
      </c>
      <c r="E255" s="241" t="s">
        <v>195</v>
      </c>
      <c r="F255" s="238" t="s">
        <v>145</v>
      </c>
    </row>
    <row r="256" spans="1:6">
      <c r="A256" s="12" t="str">
        <f t="shared" si="12"/>
        <v>capta150 minSMART TV</v>
      </c>
      <c r="B256" s="193" t="s">
        <v>32</v>
      </c>
      <c r="C256" s="102" t="s">
        <v>71</v>
      </c>
      <c r="D256" s="88" t="s">
        <v>292</v>
      </c>
      <c r="E256" s="241" t="s">
        <v>195</v>
      </c>
      <c r="F256" s="193" t="s">
        <v>108</v>
      </c>
    </row>
    <row r="257" spans="1:6">
      <c r="A257" s="12" t="str">
        <f t="shared" si="12"/>
        <v>captailimitada / 1GBSMART TV</v>
      </c>
      <c r="B257" s="193" t="s">
        <v>32</v>
      </c>
      <c r="C257" s="102" t="s">
        <v>71</v>
      </c>
      <c r="D257" s="88" t="s">
        <v>293</v>
      </c>
      <c r="E257" s="241" t="s">
        <v>195</v>
      </c>
      <c r="F257" s="238" t="s">
        <v>145</v>
      </c>
    </row>
    <row r="258" spans="1:6">
      <c r="A258" s="12" t="str">
        <f>C258&amp;D258&amp;E258</f>
        <v>captailimitada / 5GBSMART TV</v>
      </c>
      <c r="B258" s="193" t="s">
        <v>32</v>
      </c>
      <c r="C258" s="102" t="s">
        <v>71</v>
      </c>
      <c r="D258" s="88" t="s">
        <v>294</v>
      </c>
      <c r="E258" s="241" t="s">
        <v>195</v>
      </c>
      <c r="F258" s="193" t="s">
        <v>109</v>
      </c>
    </row>
    <row r="259" spans="1:6">
      <c r="A259" s="12" t="str">
        <f>C259&amp;D259&amp;E259</f>
        <v>captailimitada 20GBSMART TV</v>
      </c>
      <c r="B259" s="193" t="s">
        <v>32</v>
      </c>
      <c r="C259" s="102" t="s">
        <v>71</v>
      </c>
      <c r="D259" s="88" t="s">
        <v>295</v>
      </c>
      <c r="E259" s="241" t="s">
        <v>195</v>
      </c>
      <c r="F259" s="193" t="s">
        <v>110</v>
      </c>
    </row>
    <row r="260" spans="1:6">
      <c r="A260" s="12" t="str">
        <f>C260&amp;D260&amp;E260</f>
        <v>captaIlimitada infinita GB sin internacionalSMART TV</v>
      </c>
      <c r="B260" s="193" t="s">
        <v>32</v>
      </c>
      <c r="C260" s="102" t="s">
        <v>71</v>
      </c>
      <c r="D260" s="88" t="s">
        <v>296</v>
      </c>
      <c r="E260" s="241" t="s">
        <v>195</v>
      </c>
      <c r="F260" s="193" t="s">
        <v>111</v>
      </c>
    </row>
    <row r="261" spans="1:6">
      <c r="A261" s="12" t="str">
        <f>C261&amp;D261&amp;E261</f>
        <v>captaIlimitada infinita GB con internacionalSMART TV</v>
      </c>
      <c r="B261" s="193" t="s">
        <v>32</v>
      </c>
      <c r="C261" s="102" t="s">
        <v>71</v>
      </c>
      <c r="D261" s="88" t="s">
        <v>297</v>
      </c>
      <c r="E261" s="241" t="s">
        <v>195</v>
      </c>
      <c r="F261" s="193" t="s">
        <v>146</v>
      </c>
    </row>
    <row r="262" spans="1:6">
      <c r="A262" s="12" t="str">
        <f t="shared" ref="A262:A271" si="13">C262&amp;D262&amp;E262</f>
        <v>portabilidadEMPRESAS VOZ -OC</v>
      </c>
      <c r="B262" s="193" t="s">
        <v>32</v>
      </c>
      <c r="C262" s="100" t="s">
        <v>70</v>
      </c>
      <c r="D262" s="88" t="s">
        <v>317</v>
      </c>
      <c r="E262" s="241" t="s">
        <v>124</v>
      </c>
      <c r="F262" s="238" t="s">
        <v>145</v>
      </c>
    </row>
    <row r="263" spans="1:6">
      <c r="A263" s="12" t="str">
        <f t="shared" si="13"/>
        <v>portabilidad150 minOC</v>
      </c>
      <c r="B263" s="193" t="s">
        <v>32</v>
      </c>
      <c r="C263" s="100" t="s">
        <v>70</v>
      </c>
      <c r="D263" s="88" t="s">
        <v>292</v>
      </c>
      <c r="E263" s="241" t="s">
        <v>124</v>
      </c>
      <c r="F263" s="193" t="s">
        <v>108</v>
      </c>
    </row>
    <row r="264" spans="1:6">
      <c r="A264" s="12" t="str">
        <f t="shared" si="13"/>
        <v>portabilidadilimitada / 1GBOC</v>
      </c>
      <c r="B264" s="193" t="s">
        <v>32</v>
      </c>
      <c r="C264" s="100" t="s">
        <v>70</v>
      </c>
      <c r="D264" s="88" t="s">
        <v>293</v>
      </c>
      <c r="E264" s="241" t="s">
        <v>124</v>
      </c>
      <c r="F264" s="238" t="s">
        <v>145</v>
      </c>
    </row>
    <row r="265" spans="1:6">
      <c r="A265" s="12" t="str">
        <f t="shared" si="13"/>
        <v>portabilidadilimitada / 5GBOC</v>
      </c>
      <c r="B265" s="193" t="s">
        <v>32</v>
      </c>
      <c r="C265" s="100" t="s">
        <v>70</v>
      </c>
      <c r="D265" s="88" t="s">
        <v>294</v>
      </c>
      <c r="E265" s="241" t="s">
        <v>124</v>
      </c>
      <c r="F265" s="193" t="s">
        <v>109</v>
      </c>
    </row>
    <row r="266" spans="1:6">
      <c r="A266" s="12" t="str">
        <f t="shared" si="13"/>
        <v>portabilidadilimitada 20GBOC</v>
      </c>
      <c r="B266" s="193" t="s">
        <v>32</v>
      </c>
      <c r="C266" s="100" t="s">
        <v>70</v>
      </c>
      <c r="D266" s="88" t="s">
        <v>295</v>
      </c>
      <c r="E266" s="241" t="s">
        <v>124</v>
      </c>
      <c r="F266" s="193" t="s">
        <v>110</v>
      </c>
    </row>
    <row r="267" spans="1:6">
      <c r="A267" s="12" t="str">
        <f t="shared" si="13"/>
        <v>portabilidadIlimitada infinita GB sin internacionalOC</v>
      </c>
      <c r="B267" s="193" t="s">
        <v>32</v>
      </c>
      <c r="C267" s="100" t="s">
        <v>70</v>
      </c>
      <c r="D267" s="88" t="s">
        <v>296</v>
      </c>
      <c r="E267" s="241" t="s">
        <v>124</v>
      </c>
      <c r="F267" s="193" t="s">
        <v>111</v>
      </c>
    </row>
    <row r="268" spans="1:6">
      <c r="A268" s="12" t="str">
        <f t="shared" si="13"/>
        <v>portabilidadIlimitada infinita GB con internacionalOC</v>
      </c>
      <c r="B268" s="193" t="s">
        <v>32</v>
      </c>
      <c r="C268" s="100" t="s">
        <v>70</v>
      </c>
      <c r="D268" s="88" t="s">
        <v>297</v>
      </c>
      <c r="E268" s="241" t="s">
        <v>124</v>
      </c>
      <c r="F268" s="193" t="s">
        <v>146</v>
      </c>
    </row>
    <row r="269" spans="1:6">
      <c r="A269" s="12" t="str">
        <f t="shared" si="13"/>
        <v>captaEMPRESAS VOZ -OC</v>
      </c>
      <c r="B269" s="193" t="s">
        <v>32</v>
      </c>
      <c r="C269" s="102" t="s">
        <v>71</v>
      </c>
      <c r="D269" s="88" t="s">
        <v>317</v>
      </c>
      <c r="E269" s="241" t="s">
        <v>124</v>
      </c>
      <c r="F269" s="238" t="s">
        <v>145</v>
      </c>
    </row>
    <row r="270" spans="1:6">
      <c r="A270" s="12" t="str">
        <f t="shared" si="13"/>
        <v>capta150 minOC</v>
      </c>
      <c r="B270" s="193" t="s">
        <v>32</v>
      </c>
      <c r="C270" s="102" t="s">
        <v>71</v>
      </c>
      <c r="D270" s="88" t="s">
        <v>292</v>
      </c>
      <c r="E270" s="241" t="s">
        <v>124</v>
      </c>
      <c r="F270" s="193" t="s">
        <v>108</v>
      </c>
    </row>
    <row r="271" spans="1:6">
      <c r="A271" s="12" t="str">
        <f t="shared" si="13"/>
        <v>captailimitada / 1GBOC</v>
      </c>
      <c r="B271" s="193" t="s">
        <v>32</v>
      </c>
      <c r="C271" s="102" t="s">
        <v>71</v>
      </c>
      <c r="D271" s="88" t="s">
        <v>293</v>
      </c>
      <c r="E271" s="241" t="s">
        <v>124</v>
      </c>
      <c r="F271" s="238" t="s">
        <v>145</v>
      </c>
    </row>
    <row r="272" spans="1:6">
      <c r="A272" s="12" t="str">
        <f>C272&amp;D272&amp;E272</f>
        <v>captailimitada / 5GBOC</v>
      </c>
      <c r="B272" s="193" t="s">
        <v>32</v>
      </c>
      <c r="C272" s="102" t="s">
        <v>71</v>
      </c>
      <c r="D272" s="88" t="s">
        <v>294</v>
      </c>
      <c r="E272" s="241" t="s">
        <v>124</v>
      </c>
      <c r="F272" s="193" t="s">
        <v>109</v>
      </c>
    </row>
    <row r="273" spans="1:6">
      <c r="A273" s="12" t="str">
        <f>C273&amp;D273&amp;E273</f>
        <v>captailimitada 20GBOC</v>
      </c>
      <c r="B273" s="193" t="s">
        <v>32</v>
      </c>
      <c r="C273" s="102" t="s">
        <v>71</v>
      </c>
      <c r="D273" s="88" t="s">
        <v>295</v>
      </c>
      <c r="E273" s="241" t="s">
        <v>124</v>
      </c>
      <c r="F273" s="193" t="s">
        <v>110</v>
      </c>
    </row>
    <row r="274" spans="1:6">
      <c r="A274" s="12" t="str">
        <f>C274&amp;D274&amp;E274</f>
        <v>captaIlimitada infinita GB sin internacionalOC</v>
      </c>
      <c r="B274" s="193" t="s">
        <v>32</v>
      </c>
      <c r="C274" s="102" t="s">
        <v>71</v>
      </c>
      <c r="D274" s="88" t="s">
        <v>296</v>
      </c>
      <c r="E274" s="241" t="s">
        <v>124</v>
      </c>
      <c r="F274" s="193" t="s">
        <v>111</v>
      </c>
    </row>
    <row r="275" spans="1:6">
      <c r="A275" s="12" t="str">
        <f>C275&amp;D275&amp;E275</f>
        <v>captaIlimitada infinita GB con internacionalOC</v>
      </c>
      <c r="B275" s="193" t="s">
        <v>32</v>
      </c>
      <c r="C275" s="102" t="s">
        <v>71</v>
      </c>
      <c r="D275" s="88" t="s">
        <v>297</v>
      </c>
      <c r="E275" s="241" t="s">
        <v>124</v>
      </c>
      <c r="F275" s="193" t="s">
        <v>146</v>
      </c>
    </row>
    <row r="276" spans="1:6">
      <c r="A276" s="12" t="str">
        <f t="shared" ref="A276:A285" si="14">C276&amp;D276&amp;E276</f>
        <v>portabilidadEMPRESAS VOZ -IEW-4G</v>
      </c>
      <c r="B276" s="193" t="s">
        <v>32</v>
      </c>
      <c r="C276" s="100" t="s">
        <v>70</v>
      </c>
      <c r="D276" s="88" t="s">
        <v>317</v>
      </c>
      <c r="E276" s="241" t="s">
        <v>88</v>
      </c>
      <c r="F276" s="238" t="s">
        <v>145</v>
      </c>
    </row>
    <row r="277" spans="1:6">
      <c r="A277" s="12" t="str">
        <f t="shared" si="14"/>
        <v>portabilidad150 minIEW-4G</v>
      </c>
      <c r="B277" s="193" t="s">
        <v>32</v>
      </c>
      <c r="C277" s="100" t="s">
        <v>70</v>
      </c>
      <c r="D277" s="88" t="s">
        <v>292</v>
      </c>
      <c r="E277" s="241" t="s">
        <v>88</v>
      </c>
      <c r="F277" s="193" t="s">
        <v>108</v>
      </c>
    </row>
    <row r="278" spans="1:6">
      <c r="A278" s="12" t="str">
        <f t="shared" si="14"/>
        <v>portabilidadilimitada / 1GBIEW-4G</v>
      </c>
      <c r="B278" s="193" t="s">
        <v>32</v>
      </c>
      <c r="C278" s="100" t="s">
        <v>70</v>
      </c>
      <c r="D278" s="88" t="s">
        <v>293</v>
      </c>
      <c r="E278" s="241" t="s">
        <v>88</v>
      </c>
      <c r="F278" s="238" t="s">
        <v>145</v>
      </c>
    </row>
    <row r="279" spans="1:6">
      <c r="A279" s="12" t="str">
        <f t="shared" si="14"/>
        <v>portabilidadilimitada / 5GBIEW-4G</v>
      </c>
      <c r="B279" s="193" t="s">
        <v>32</v>
      </c>
      <c r="C279" s="100" t="s">
        <v>70</v>
      </c>
      <c r="D279" s="88" t="s">
        <v>294</v>
      </c>
      <c r="E279" s="241" t="s">
        <v>88</v>
      </c>
      <c r="F279" s="193" t="s">
        <v>109</v>
      </c>
    </row>
    <row r="280" spans="1:6">
      <c r="A280" s="12" t="str">
        <f t="shared" si="14"/>
        <v>portabilidadilimitada 20GBIEW-4G</v>
      </c>
      <c r="B280" s="193" t="s">
        <v>32</v>
      </c>
      <c r="C280" s="100" t="s">
        <v>70</v>
      </c>
      <c r="D280" s="88" t="s">
        <v>295</v>
      </c>
      <c r="E280" s="241" t="s">
        <v>88</v>
      </c>
      <c r="F280" s="193" t="s">
        <v>110</v>
      </c>
    </row>
    <row r="281" spans="1:6">
      <c r="A281" s="12" t="str">
        <f t="shared" si="14"/>
        <v>portabilidadIlimitada infinita GB sin internacionalIEW-4G</v>
      </c>
      <c r="B281" s="193" t="s">
        <v>32</v>
      </c>
      <c r="C281" s="100" t="s">
        <v>70</v>
      </c>
      <c r="D281" s="88" t="s">
        <v>296</v>
      </c>
      <c r="E281" s="241" t="s">
        <v>88</v>
      </c>
      <c r="F281" s="193" t="s">
        <v>111</v>
      </c>
    </row>
    <row r="282" spans="1:6">
      <c r="A282" s="12" t="str">
        <f t="shared" si="14"/>
        <v>portabilidadIlimitada infinita GB con internacionalIEW-4G</v>
      </c>
      <c r="B282" s="193" t="s">
        <v>32</v>
      </c>
      <c r="C282" s="100" t="s">
        <v>70</v>
      </c>
      <c r="D282" s="88" t="s">
        <v>297</v>
      </c>
      <c r="E282" s="241" t="s">
        <v>88</v>
      </c>
      <c r="F282" s="193" t="s">
        <v>146</v>
      </c>
    </row>
    <row r="283" spans="1:6">
      <c r="A283" s="12" t="str">
        <f t="shared" si="14"/>
        <v>captaEMPRESAS VOZ -IEW-4G</v>
      </c>
      <c r="B283" s="193" t="s">
        <v>32</v>
      </c>
      <c r="C283" s="102" t="s">
        <v>71</v>
      </c>
      <c r="D283" s="88" t="s">
        <v>317</v>
      </c>
      <c r="E283" s="241" t="s">
        <v>88</v>
      </c>
      <c r="F283" s="238" t="s">
        <v>145</v>
      </c>
    </row>
    <row r="284" spans="1:6">
      <c r="A284" s="12" t="str">
        <f t="shared" si="14"/>
        <v>capta150 minIEW-4G</v>
      </c>
      <c r="B284" s="193" t="s">
        <v>32</v>
      </c>
      <c r="C284" s="102" t="s">
        <v>71</v>
      </c>
      <c r="D284" s="88" t="s">
        <v>292</v>
      </c>
      <c r="E284" s="241" t="s">
        <v>88</v>
      </c>
      <c r="F284" s="193" t="s">
        <v>108</v>
      </c>
    </row>
    <row r="285" spans="1:6">
      <c r="A285" s="12" t="str">
        <f t="shared" si="14"/>
        <v>captailimitada / 1GBIEW-4G</v>
      </c>
      <c r="B285" s="193" t="s">
        <v>32</v>
      </c>
      <c r="C285" s="102" t="s">
        <v>71</v>
      </c>
      <c r="D285" s="88" t="s">
        <v>293</v>
      </c>
      <c r="E285" s="241" t="s">
        <v>88</v>
      </c>
      <c r="F285" s="238" t="s">
        <v>145</v>
      </c>
    </row>
    <row r="286" spans="1:6">
      <c r="A286" s="12" t="str">
        <f>C286&amp;D286&amp;E286</f>
        <v>captailimitada / 5GBIEW-4G</v>
      </c>
      <c r="B286" s="193" t="s">
        <v>32</v>
      </c>
      <c r="C286" s="102" t="s">
        <v>71</v>
      </c>
      <c r="D286" s="88" t="s">
        <v>294</v>
      </c>
      <c r="E286" s="241" t="s">
        <v>88</v>
      </c>
      <c r="F286" s="193" t="s">
        <v>109</v>
      </c>
    </row>
    <row r="287" spans="1:6">
      <c r="A287" s="12" t="str">
        <f>C287&amp;D287&amp;E287</f>
        <v>captailimitada 20GBIEW-4G</v>
      </c>
      <c r="B287" s="193" t="s">
        <v>32</v>
      </c>
      <c r="C287" s="102" t="s">
        <v>71</v>
      </c>
      <c r="D287" s="88" t="s">
        <v>295</v>
      </c>
      <c r="E287" s="241" t="s">
        <v>88</v>
      </c>
      <c r="F287" s="193" t="s">
        <v>110</v>
      </c>
    </row>
    <row r="288" spans="1:6">
      <c r="A288" s="12" t="str">
        <f>C288&amp;D288&amp;E288</f>
        <v>captaIlimitada infinita GB sin internacionalIEW-4G</v>
      </c>
      <c r="B288" s="193" t="s">
        <v>32</v>
      </c>
      <c r="C288" s="102" t="s">
        <v>71</v>
      </c>
      <c r="D288" s="88" t="s">
        <v>296</v>
      </c>
      <c r="E288" s="241" t="s">
        <v>88</v>
      </c>
      <c r="F288" s="193" t="s">
        <v>111</v>
      </c>
    </row>
    <row r="289" spans="1:6">
      <c r="A289" s="12" t="str">
        <f>C289&amp;D289&amp;E289</f>
        <v>captaIlimitada infinita GB con internacionalIEW-4G</v>
      </c>
      <c r="B289" s="193" t="s">
        <v>32</v>
      </c>
      <c r="C289" s="102" t="s">
        <v>71</v>
      </c>
      <c r="D289" s="88" t="s">
        <v>297</v>
      </c>
      <c r="E289" s="241" t="s">
        <v>88</v>
      </c>
      <c r="F289" s="193" t="s">
        <v>146</v>
      </c>
    </row>
    <row r="290" spans="1:6">
      <c r="A290" s="12" t="str">
        <f t="shared" ref="A290:A299" si="15">C290&amp;D290&amp;E290</f>
        <v>portabilidadEMPRESAS VOZ -TAB-4G</v>
      </c>
      <c r="B290" s="193" t="s">
        <v>32</v>
      </c>
      <c r="C290" s="100" t="s">
        <v>70</v>
      </c>
      <c r="D290" s="88" t="s">
        <v>317</v>
      </c>
      <c r="E290" s="241" t="s">
        <v>102</v>
      </c>
      <c r="F290" s="238" t="s">
        <v>145</v>
      </c>
    </row>
    <row r="291" spans="1:6">
      <c r="A291" s="12" t="str">
        <f t="shared" si="15"/>
        <v>portabilidad150 minTAB-4G</v>
      </c>
      <c r="B291" s="193" t="s">
        <v>32</v>
      </c>
      <c r="C291" s="100" t="s">
        <v>70</v>
      </c>
      <c r="D291" s="88" t="s">
        <v>292</v>
      </c>
      <c r="E291" s="241" t="s">
        <v>102</v>
      </c>
      <c r="F291" s="193" t="s">
        <v>108</v>
      </c>
    </row>
    <row r="292" spans="1:6">
      <c r="A292" s="12" t="str">
        <f t="shared" si="15"/>
        <v>portabilidadilimitada / 1GBTAB-4G</v>
      </c>
      <c r="B292" s="193" t="s">
        <v>32</v>
      </c>
      <c r="C292" s="100" t="s">
        <v>70</v>
      </c>
      <c r="D292" s="88" t="s">
        <v>293</v>
      </c>
      <c r="E292" s="241" t="s">
        <v>102</v>
      </c>
      <c r="F292" s="238" t="s">
        <v>145</v>
      </c>
    </row>
    <row r="293" spans="1:6">
      <c r="A293" s="12" t="str">
        <f t="shared" si="15"/>
        <v>portabilidadilimitada / 5GBTAB-4G</v>
      </c>
      <c r="B293" s="193" t="s">
        <v>32</v>
      </c>
      <c r="C293" s="100" t="s">
        <v>70</v>
      </c>
      <c r="D293" s="88" t="s">
        <v>294</v>
      </c>
      <c r="E293" s="241" t="s">
        <v>102</v>
      </c>
      <c r="F293" s="193" t="s">
        <v>109</v>
      </c>
    </row>
    <row r="294" spans="1:6">
      <c r="A294" s="12" t="str">
        <f t="shared" si="15"/>
        <v>portabilidadilimitada 20GBTAB-4G</v>
      </c>
      <c r="B294" s="193" t="s">
        <v>32</v>
      </c>
      <c r="C294" s="100" t="s">
        <v>70</v>
      </c>
      <c r="D294" s="88" t="s">
        <v>295</v>
      </c>
      <c r="E294" s="241" t="s">
        <v>102</v>
      </c>
      <c r="F294" s="193" t="s">
        <v>110</v>
      </c>
    </row>
    <row r="295" spans="1:6">
      <c r="A295" s="12" t="str">
        <f t="shared" si="15"/>
        <v>portabilidadIlimitada infinita GB sin internacionalTAB-4G</v>
      </c>
      <c r="B295" s="193" t="s">
        <v>32</v>
      </c>
      <c r="C295" s="100" t="s">
        <v>70</v>
      </c>
      <c r="D295" s="88" t="s">
        <v>296</v>
      </c>
      <c r="E295" s="241" t="s">
        <v>102</v>
      </c>
      <c r="F295" s="193" t="s">
        <v>111</v>
      </c>
    </row>
    <row r="296" spans="1:6">
      <c r="A296" s="12" t="str">
        <f t="shared" si="15"/>
        <v>portabilidadIlimitada infinita GB con internacionalTAB-4G</v>
      </c>
      <c r="B296" s="193" t="s">
        <v>32</v>
      </c>
      <c r="C296" s="100" t="s">
        <v>70</v>
      </c>
      <c r="D296" s="88" t="s">
        <v>297</v>
      </c>
      <c r="E296" s="241" t="s">
        <v>102</v>
      </c>
      <c r="F296" s="193" t="s">
        <v>146</v>
      </c>
    </row>
    <row r="297" spans="1:6">
      <c r="A297" s="12" t="str">
        <f t="shared" si="15"/>
        <v>captaEMPRESAS VOZ -TAB-4G</v>
      </c>
      <c r="B297" s="193" t="s">
        <v>32</v>
      </c>
      <c r="C297" s="102" t="s">
        <v>71</v>
      </c>
      <c r="D297" s="88" t="s">
        <v>317</v>
      </c>
      <c r="E297" s="241" t="s">
        <v>102</v>
      </c>
      <c r="F297" s="238" t="s">
        <v>145</v>
      </c>
    </row>
    <row r="298" spans="1:6">
      <c r="A298" s="12" t="str">
        <f t="shared" si="15"/>
        <v>capta150 minTAB-4G</v>
      </c>
      <c r="B298" s="193" t="s">
        <v>32</v>
      </c>
      <c r="C298" s="102" t="s">
        <v>71</v>
      </c>
      <c r="D298" s="88" t="s">
        <v>292</v>
      </c>
      <c r="E298" s="241" t="s">
        <v>102</v>
      </c>
      <c r="F298" s="193" t="s">
        <v>108</v>
      </c>
    </row>
    <row r="299" spans="1:6">
      <c r="A299" s="12" t="str">
        <f t="shared" si="15"/>
        <v>captailimitada / 1GBTAB-4G</v>
      </c>
      <c r="B299" s="193" t="s">
        <v>32</v>
      </c>
      <c r="C299" s="102" t="s">
        <v>71</v>
      </c>
      <c r="D299" s="88" t="s">
        <v>293</v>
      </c>
      <c r="E299" s="241" t="s">
        <v>102</v>
      </c>
      <c r="F299" s="238" t="s">
        <v>145</v>
      </c>
    </row>
    <row r="300" spans="1:6">
      <c r="A300" s="12" t="str">
        <f>C300&amp;D300&amp;E300</f>
        <v>captailimitada / 5GBTAB-4G</v>
      </c>
      <c r="B300" s="193" t="s">
        <v>32</v>
      </c>
      <c r="C300" s="102" t="s">
        <v>71</v>
      </c>
      <c r="D300" s="88" t="s">
        <v>294</v>
      </c>
      <c r="E300" s="241" t="s">
        <v>102</v>
      </c>
      <c r="F300" s="193" t="s">
        <v>109</v>
      </c>
    </row>
    <row r="301" spans="1:6">
      <c r="A301" s="12" t="str">
        <f>C301&amp;D301&amp;E301</f>
        <v>captailimitada 20GBTAB-4G</v>
      </c>
      <c r="B301" s="193" t="s">
        <v>32</v>
      </c>
      <c r="C301" s="102" t="s">
        <v>71</v>
      </c>
      <c r="D301" s="88" t="s">
        <v>295</v>
      </c>
      <c r="E301" s="241" t="s">
        <v>102</v>
      </c>
      <c r="F301" s="193" t="s">
        <v>110</v>
      </c>
    </row>
    <row r="302" spans="1:6">
      <c r="A302" s="12" t="str">
        <f>C302&amp;D302&amp;E302</f>
        <v>captaIlimitada infinita GB sin internacionalTAB-4G</v>
      </c>
      <c r="B302" s="193" t="s">
        <v>32</v>
      </c>
      <c r="C302" s="102" t="s">
        <v>71</v>
      </c>
      <c r="D302" s="88" t="s">
        <v>296</v>
      </c>
      <c r="E302" s="241" t="s">
        <v>102</v>
      </c>
      <c r="F302" s="193" t="s">
        <v>111</v>
      </c>
    </row>
    <row r="303" spans="1:6">
      <c r="A303" s="12" t="str">
        <f>C303&amp;D303&amp;E303</f>
        <v>captaIlimitada infinita GB con internacionalTAB-4G</v>
      </c>
      <c r="B303" s="193" t="s">
        <v>32</v>
      </c>
      <c r="C303" s="102" t="s">
        <v>71</v>
      </c>
      <c r="D303" s="88" t="s">
        <v>297</v>
      </c>
      <c r="E303" s="241" t="s">
        <v>102</v>
      </c>
      <c r="F303" s="193" t="s">
        <v>146</v>
      </c>
    </row>
    <row r="304" spans="1:6">
      <c r="A304" s="12" t="str">
        <f t="shared" ref="A304:A313" si="16">C304&amp;D304&amp;E304</f>
        <v>portabilidadEMPRESAS VOZ -SPH-4G</v>
      </c>
      <c r="B304" s="193" t="s">
        <v>32</v>
      </c>
      <c r="C304" s="100" t="s">
        <v>70</v>
      </c>
      <c r="D304" s="88" t="s">
        <v>317</v>
      </c>
      <c r="E304" s="241" t="s">
        <v>18</v>
      </c>
      <c r="F304" s="238" t="s">
        <v>145</v>
      </c>
    </row>
    <row r="305" spans="1:6">
      <c r="A305" s="12" t="str">
        <f t="shared" si="16"/>
        <v>portabilidad150 minSPH-4G</v>
      </c>
      <c r="B305" s="193" t="s">
        <v>32</v>
      </c>
      <c r="C305" s="100" t="s">
        <v>70</v>
      </c>
      <c r="D305" s="88" t="s">
        <v>292</v>
      </c>
      <c r="E305" s="241" t="s">
        <v>18</v>
      </c>
      <c r="F305" s="193" t="s">
        <v>108</v>
      </c>
    </row>
    <row r="306" spans="1:6">
      <c r="A306" s="12" t="str">
        <f t="shared" si="16"/>
        <v>portabilidadilimitada / 1GBSPH-4G</v>
      </c>
      <c r="B306" s="193" t="s">
        <v>32</v>
      </c>
      <c r="C306" s="100" t="s">
        <v>70</v>
      </c>
      <c r="D306" s="88" t="s">
        <v>293</v>
      </c>
      <c r="E306" s="241" t="s">
        <v>18</v>
      </c>
      <c r="F306" s="238" t="s">
        <v>145</v>
      </c>
    </row>
    <row r="307" spans="1:6">
      <c r="A307" s="12" t="str">
        <f t="shared" si="16"/>
        <v>portabilidadilimitada / 5GBSPH-4G</v>
      </c>
      <c r="B307" s="193" t="s">
        <v>32</v>
      </c>
      <c r="C307" s="100" t="s">
        <v>70</v>
      </c>
      <c r="D307" s="88" t="s">
        <v>294</v>
      </c>
      <c r="E307" s="241" t="s">
        <v>18</v>
      </c>
      <c r="F307" s="193" t="s">
        <v>109</v>
      </c>
    </row>
    <row r="308" spans="1:6">
      <c r="A308" s="12" t="str">
        <f t="shared" si="16"/>
        <v>portabilidadilimitada 20GBSPH-4G</v>
      </c>
      <c r="B308" s="193" t="s">
        <v>32</v>
      </c>
      <c r="C308" s="100" t="s">
        <v>70</v>
      </c>
      <c r="D308" s="88" t="s">
        <v>295</v>
      </c>
      <c r="E308" s="241" t="s">
        <v>18</v>
      </c>
      <c r="F308" s="193" t="s">
        <v>110</v>
      </c>
    </row>
    <row r="309" spans="1:6">
      <c r="A309" s="12" t="str">
        <f t="shared" si="16"/>
        <v>portabilidadIlimitada infinita GB sin internacionalSPH-4G</v>
      </c>
      <c r="B309" s="193" t="s">
        <v>32</v>
      </c>
      <c r="C309" s="100" t="s">
        <v>70</v>
      </c>
      <c r="D309" s="88" t="s">
        <v>296</v>
      </c>
      <c r="E309" s="241" t="s">
        <v>18</v>
      </c>
      <c r="F309" s="193" t="s">
        <v>111</v>
      </c>
    </row>
    <row r="310" spans="1:6">
      <c r="A310" s="12" t="str">
        <f t="shared" si="16"/>
        <v>portabilidadIlimitada infinita GB con internacionalSPH-4G</v>
      </c>
      <c r="B310" s="193" t="s">
        <v>32</v>
      </c>
      <c r="C310" s="100" t="s">
        <v>70</v>
      </c>
      <c r="D310" s="88" t="s">
        <v>297</v>
      </c>
      <c r="E310" s="241" t="s">
        <v>18</v>
      </c>
      <c r="F310" s="193" t="s">
        <v>146</v>
      </c>
    </row>
    <row r="311" spans="1:6">
      <c r="A311" s="12" t="str">
        <f t="shared" si="16"/>
        <v>captaEMPRESAS VOZ -SPH-4G</v>
      </c>
      <c r="B311" s="193" t="s">
        <v>32</v>
      </c>
      <c r="C311" s="102" t="s">
        <v>71</v>
      </c>
      <c r="D311" s="88" t="s">
        <v>317</v>
      </c>
      <c r="E311" s="241" t="s">
        <v>18</v>
      </c>
      <c r="F311" s="238" t="s">
        <v>145</v>
      </c>
    </row>
    <row r="312" spans="1:6">
      <c r="A312" s="12" t="str">
        <f t="shared" si="16"/>
        <v>capta150 minSPH-4G</v>
      </c>
      <c r="B312" s="193" t="s">
        <v>32</v>
      </c>
      <c r="C312" s="102" t="s">
        <v>71</v>
      </c>
      <c r="D312" s="88" t="s">
        <v>292</v>
      </c>
      <c r="E312" s="241" t="s">
        <v>18</v>
      </c>
      <c r="F312" s="193" t="s">
        <v>108</v>
      </c>
    </row>
    <row r="313" spans="1:6">
      <c r="A313" s="12" t="str">
        <f t="shared" si="16"/>
        <v>captailimitada / 1GBSPH-4G</v>
      </c>
      <c r="B313" s="193" t="s">
        <v>32</v>
      </c>
      <c r="C313" s="102" t="s">
        <v>71</v>
      </c>
      <c r="D313" s="88" t="s">
        <v>293</v>
      </c>
      <c r="E313" s="241" t="s">
        <v>18</v>
      </c>
      <c r="F313" s="193" t="s">
        <v>145</v>
      </c>
    </row>
    <row r="314" spans="1:6">
      <c r="A314" s="12" t="str">
        <f>C314&amp;D314&amp;E314</f>
        <v>captailimitada / 5GBSPH-4G</v>
      </c>
      <c r="B314" s="193" t="s">
        <v>32</v>
      </c>
      <c r="C314" s="102" t="s">
        <v>71</v>
      </c>
      <c r="D314" s="88" t="s">
        <v>294</v>
      </c>
      <c r="E314" s="241" t="s">
        <v>18</v>
      </c>
      <c r="F314" s="193" t="s">
        <v>109</v>
      </c>
    </row>
    <row r="315" spans="1:6">
      <c r="A315" s="12" t="str">
        <f>C315&amp;D315&amp;E315</f>
        <v>captailimitada 20GBSPH-4G</v>
      </c>
      <c r="B315" s="193" t="s">
        <v>32</v>
      </c>
      <c r="C315" s="102" t="s">
        <v>71</v>
      </c>
      <c r="D315" s="88" t="s">
        <v>295</v>
      </c>
      <c r="E315" s="241" t="s">
        <v>18</v>
      </c>
      <c r="F315" s="193" t="s">
        <v>110</v>
      </c>
    </row>
    <row r="316" spans="1:6">
      <c r="A316" s="12" t="str">
        <f>C316&amp;D316&amp;E316</f>
        <v>captaIlimitada infinita GB sin internacionalSPH-4G</v>
      </c>
      <c r="B316" s="193" t="s">
        <v>32</v>
      </c>
      <c r="C316" s="102" t="s">
        <v>71</v>
      </c>
      <c r="D316" s="88" t="s">
        <v>296</v>
      </c>
      <c r="E316" s="241" t="s">
        <v>18</v>
      </c>
      <c r="F316" s="193" t="s">
        <v>111</v>
      </c>
    </row>
    <row r="317" spans="1:6">
      <c r="A317" s="12" t="str">
        <f>C317&amp;D317&amp;E317</f>
        <v>captaIlimitada infinita GB con internacionalSPH-4G</v>
      </c>
      <c r="B317" s="193" t="s">
        <v>32</v>
      </c>
      <c r="C317" s="102" t="s">
        <v>71</v>
      </c>
      <c r="D317" s="88" t="s">
        <v>297</v>
      </c>
      <c r="E317" s="241" t="s">
        <v>18</v>
      </c>
      <c r="F317" s="193" t="s">
        <v>146</v>
      </c>
    </row>
    <row r="318" spans="1:6">
      <c r="A318" s="12" t="str">
        <f t="shared" ref="A318:A327" si="17">C318&amp;D318&amp;E318</f>
        <v>portabilidadEMPRESAS VOZ -WIFI</v>
      </c>
      <c r="B318" s="193" t="s">
        <v>32</v>
      </c>
      <c r="C318" s="100" t="s">
        <v>70</v>
      </c>
      <c r="D318" s="88" t="s">
        <v>317</v>
      </c>
      <c r="E318" s="241" t="s">
        <v>101</v>
      </c>
      <c r="F318" s="238" t="s">
        <v>145</v>
      </c>
    </row>
    <row r="319" spans="1:6">
      <c r="A319" s="12" t="str">
        <f t="shared" si="17"/>
        <v>portabilidad150 minWIFI</v>
      </c>
      <c r="B319" s="193" t="s">
        <v>32</v>
      </c>
      <c r="C319" s="100" t="s">
        <v>70</v>
      </c>
      <c r="D319" s="88" t="s">
        <v>292</v>
      </c>
      <c r="E319" s="241" t="s">
        <v>101</v>
      </c>
      <c r="F319" s="193" t="s">
        <v>108</v>
      </c>
    </row>
    <row r="320" spans="1:6">
      <c r="A320" s="12" t="str">
        <f t="shared" si="17"/>
        <v>portabilidadilimitada / 1GBWIFI</v>
      </c>
      <c r="B320" s="193" t="s">
        <v>32</v>
      </c>
      <c r="C320" s="100" t="s">
        <v>70</v>
      </c>
      <c r="D320" s="88" t="s">
        <v>293</v>
      </c>
      <c r="E320" s="241" t="s">
        <v>101</v>
      </c>
      <c r="F320" s="193" t="s">
        <v>145</v>
      </c>
    </row>
    <row r="321" spans="1:6">
      <c r="A321" s="12" t="str">
        <f t="shared" si="17"/>
        <v>portabilidadilimitada / 5GBWIFI</v>
      </c>
      <c r="B321" s="193" t="s">
        <v>32</v>
      </c>
      <c r="C321" s="100" t="s">
        <v>70</v>
      </c>
      <c r="D321" s="88" t="s">
        <v>294</v>
      </c>
      <c r="E321" s="241" t="s">
        <v>101</v>
      </c>
      <c r="F321" s="193" t="s">
        <v>109</v>
      </c>
    </row>
    <row r="322" spans="1:6">
      <c r="A322" s="12" t="str">
        <f t="shared" si="17"/>
        <v>portabilidadilimitada 20GBWIFI</v>
      </c>
      <c r="B322" s="193" t="s">
        <v>32</v>
      </c>
      <c r="C322" s="100" t="s">
        <v>70</v>
      </c>
      <c r="D322" s="88" t="s">
        <v>295</v>
      </c>
      <c r="E322" s="241" t="s">
        <v>101</v>
      </c>
      <c r="F322" s="193" t="s">
        <v>110</v>
      </c>
    </row>
    <row r="323" spans="1:6">
      <c r="A323" s="12" t="str">
        <f t="shared" si="17"/>
        <v>portabilidadIlimitada infinita GB sin internacionalWIFI</v>
      </c>
      <c r="B323" s="193" t="s">
        <v>32</v>
      </c>
      <c r="C323" s="100" t="s">
        <v>70</v>
      </c>
      <c r="D323" s="88" t="s">
        <v>296</v>
      </c>
      <c r="E323" s="241" t="s">
        <v>101</v>
      </c>
      <c r="F323" s="193" t="s">
        <v>111</v>
      </c>
    </row>
    <row r="324" spans="1:6">
      <c r="A324" s="12" t="str">
        <f t="shared" si="17"/>
        <v>portabilidadIlimitada infinita GB con internacionalWIFI</v>
      </c>
      <c r="B324" s="193" t="s">
        <v>32</v>
      </c>
      <c r="C324" s="100" t="s">
        <v>70</v>
      </c>
      <c r="D324" s="88" t="s">
        <v>297</v>
      </c>
      <c r="E324" s="241" t="s">
        <v>101</v>
      </c>
      <c r="F324" s="193" t="s">
        <v>146</v>
      </c>
    </row>
    <row r="325" spans="1:6">
      <c r="A325" s="12" t="str">
        <f t="shared" si="17"/>
        <v>captaEMPRESAS VOZ -WIFI</v>
      </c>
      <c r="B325" s="193" t="s">
        <v>32</v>
      </c>
      <c r="C325" s="102" t="s">
        <v>71</v>
      </c>
      <c r="D325" s="88" t="s">
        <v>317</v>
      </c>
      <c r="E325" s="241" t="s">
        <v>101</v>
      </c>
      <c r="F325" s="238" t="s">
        <v>145</v>
      </c>
    </row>
    <row r="326" spans="1:6">
      <c r="A326" s="12" t="str">
        <f t="shared" si="17"/>
        <v>capta150 minWIFI</v>
      </c>
      <c r="B326" s="193" t="s">
        <v>32</v>
      </c>
      <c r="C326" s="102" t="s">
        <v>71</v>
      </c>
      <c r="D326" s="88" t="s">
        <v>292</v>
      </c>
      <c r="E326" s="241" t="s">
        <v>101</v>
      </c>
      <c r="F326" s="193" t="s">
        <v>108</v>
      </c>
    </row>
    <row r="327" spans="1:6">
      <c r="A327" s="12" t="str">
        <f t="shared" si="17"/>
        <v>captailimitada / 1GBWIFI</v>
      </c>
      <c r="B327" s="193" t="s">
        <v>32</v>
      </c>
      <c r="C327" s="102" t="s">
        <v>71</v>
      </c>
      <c r="D327" s="88" t="s">
        <v>293</v>
      </c>
      <c r="E327" s="241" t="s">
        <v>101</v>
      </c>
      <c r="F327" s="193" t="s">
        <v>145</v>
      </c>
    </row>
    <row r="328" spans="1:6">
      <c r="A328" s="12" t="str">
        <f>C328&amp;D328&amp;E328</f>
        <v>captailimitada / 5GBWIFI</v>
      </c>
      <c r="B328" s="193" t="s">
        <v>32</v>
      </c>
      <c r="C328" s="102" t="s">
        <v>71</v>
      </c>
      <c r="D328" s="88" t="s">
        <v>294</v>
      </c>
      <c r="E328" s="241" t="s">
        <v>101</v>
      </c>
      <c r="F328" s="193" t="s">
        <v>109</v>
      </c>
    </row>
    <row r="329" spans="1:6">
      <c r="A329" s="12" t="str">
        <f>C329&amp;D329&amp;E329</f>
        <v>captailimitada 20GBWIFI</v>
      </c>
      <c r="B329" s="193" t="s">
        <v>32</v>
      </c>
      <c r="C329" s="102" t="s">
        <v>71</v>
      </c>
      <c r="D329" s="88" t="s">
        <v>295</v>
      </c>
      <c r="E329" s="241" t="s">
        <v>101</v>
      </c>
      <c r="F329" s="193" t="s">
        <v>110</v>
      </c>
    </row>
    <row r="330" spans="1:6">
      <c r="A330" s="12" t="str">
        <f>C330&amp;D330&amp;E330</f>
        <v>captaIlimitada infinita GB sin internacionalWIFI</v>
      </c>
      <c r="B330" s="193" t="s">
        <v>32</v>
      </c>
      <c r="C330" s="102" t="s">
        <v>71</v>
      </c>
      <c r="D330" s="88" t="s">
        <v>296</v>
      </c>
      <c r="E330" s="241" t="s">
        <v>101</v>
      </c>
      <c r="F330" s="193" t="s">
        <v>111</v>
      </c>
    </row>
    <row r="331" spans="1:6">
      <c r="A331" s="12" t="str">
        <f>C331&amp;D331&amp;E331</f>
        <v>captaIlimitada infinita GB con internacionalWIFI</v>
      </c>
      <c r="B331" s="193" t="s">
        <v>32</v>
      </c>
      <c r="C331" s="102" t="s">
        <v>71</v>
      </c>
      <c r="D331" s="88" t="s">
        <v>297</v>
      </c>
      <c r="E331" s="241" t="s">
        <v>101</v>
      </c>
      <c r="F331" s="193" t="s">
        <v>146</v>
      </c>
    </row>
    <row r="332" spans="1:6">
      <c r="A332" s="12" t="str">
        <f t="shared" ref="A332:A387" si="18">C332&amp;D332&amp;E332</f>
        <v>portabilidadEMPRESAS VOZ -TABLETS</v>
      </c>
      <c r="B332" s="193" t="s">
        <v>32</v>
      </c>
      <c r="C332" s="13" t="s">
        <v>70</v>
      </c>
      <c r="D332" s="88" t="s">
        <v>317</v>
      </c>
      <c r="E332" s="193" t="s">
        <v>210</v>
      </c>
      <c r="F332" s="238" t="s">
        <v>145</v>
      </c>
    </row>
    <row r="333" spans="1:6">
      <c r="A333" s="12" t="str">
        <f t="shared" si="18"/>
        <v>portabilidad150 minTABLETS</v>
      </c>
      <c r="B333" s="193" t="s">
        <v>32</v>
      </c>
      <c r="C333" s="13" t="s">
        <v>70</v>
      </c>
      <c r="D333" s="88" t="s">
        <v>292</v>
      </c>
      <c r="E333" s="193" t="s">
        <v>210</v>
      </c>
      <c r="F333" s="193" t="s">
        <v>108</v>
      </c>
    </row>
    <row r="334" spans="1:6">
      <c r="A334" s="12" t="str">
        <f t="shared" si="18"/>
        <v>portabilidadilimitada / 1GBTABLETS</v>
      </c>
      <c r="B334" s="193" t="s">
        <v>32</v>
      </c>
      <c r="C334" s="13" t="s">
        <v>70</v>
      </c>
      <c r="D334" s="88" t="s">
        <v>293</v>
      </c>
      <c r="E334" s="193" t="s">
        <v>210</v>
      </c>
      <c r="F334" s="193" t="s">
        <v>145</v>
      </c>
    </row>
    <row r="335" spans="1:6">
      <c r="A335" s="12" t="str">
        <f t="shared" si="18"/>
        <v>portabilidadilimitada / 5GBTABLETS</v>
      </c>
      <c r="B335" s="193" t="s">
        <v>32</v>
      </c>
      <c r="C335" s="13" t="s">
        <v>70</v>
      </c>
      <c r="D335" s="88" t="s">
        <v>294</v>
      </c>
      <c r="E335" s="193" t="s">
        <v>210</v>
      </c>
      <c r="F335" s="193" t="s">
        <v>109</v>
      </c>
    </row>
    <row r="336" spans="1:6">
      <c r="A336" s="12" t="str">
        <f t="shared" si="18"/>
        <v>portabilidadilimitada 20GBTABLETS</v>
      </c>
      <c r="B336" s="193" t="s">
        <v>32</v>
      </c>
      <c r="C336" s="13" t="s">
        <v>70</v>
      </c>
      <c r="D336" s="88" t="s">
        <v>295</v>
      </c>
      <c r="E336" s="193" t="s">
        <v>210</v>
      </c>
      <c r="F336" s="193" t="s">
        <v>110</v>
      </c>
    </row>
    <row r="337" spans="1:6">
      <c r="A337" s="12" t="str">
        <f t="shared" si="18"/>
        <v>portabilidadIlimitada infinita GB sin internacionalTABLETS</v>
      </c>
      <c r="B337" s="193" t="s">
        <v>32</v>
      </c>
      <c r="C337" s="13" t="s">
        <v>70</v>
      </c>
      <c r="D337" s="88" t="s">
        <v>296</v>
      </c>
      <c r="E337" s="193" t="s">
        <v>210</v>
      </c>
      <c r="F337" s="193" t="s">
        <v>111</v>
      </c>
    </row>
    <row r="338" spans="1:6">
      <c r="A338" s="12" t="str">
        <f t="shared" si="18"/>
        <v>portabilidadIlimitada infinita GB con internacionalTABLETS</v>
      </c>
      <c r="B338" s="193" t="s">
        <v>32</v>
      </c>
      <c r="C338" s="13" t="s">
        <v>70</v>
      </c>
      <c r="D338" s="88" t="s">
        <v>297</v>
      </c>
      <c r="E338" s="193" t="s">
        <v>210</v>
      </c>
      <c r="F338" s="193" t="s">
        <v>146</v>
      </c>
    </row>
    <row r="339" spans="1:6">
      <c r="A339" s="12" t="str">
        <f t="shared" si="18"/>
        <v>captaEMPRESAS VOZ -TABLETS</v>
      </c>
      <c r="B339" s="193" t="s">
        <v>32</v>
      </c>
      <c r="C339" s="12" t="s">
        <v>71</v>
      </c>
      <c r="D339" s="88" t="s">
        <v>317</v>
      </c>
      <c r="E339" s="193" t="s">
        <v>210</v>
      </c>
      <c r="F339" s="238" t="s">
        <v>145</v>
      </c>
    </row>
    <row r="340" spans="1:6">
      <c r="A340" s="12" t="str">
        <f t="shared" si="18"/>
        <v>capta150 minTABLETS</v>
      </c>
      <c r="B340" s="193" t="s">
        <v>32</v>
      </c>
      <c r="C340" s="12" t="s">
        <v>71</v>
      </c>
      <c r="D340" s="88" t="s">
        <v>292</v>
      </c>
      <c r="E340" s="193" t="s">
        <v>210</v>
      </c>
      <c r="F340" s="193" t="s">
        <v>108</v>
      </c>
    </row>
    <row r="341" spans="1:6">
      <c r="A341" s="12" t="str">
        <f t="shared" si="18"/>
        <v>captailimitada / 1GBTABLETS</v>
      </c>
      <c r="B341" s="193" t="s">
        <v>32</v>
      </c>
      <c r="C341" s="12" t="s">
        <v>71</v>
      </c>
      <c r="D341" s="88" t="s">
        <v>293</v>
      </c>
      <c r="E341" s="193" t="s">
        <v>210</v>
      </c>
      <c r="F341" s="193" t="s">
        <v>145</v>
      </c>
    </row>
    <row r="342" spans="1:6">
      <c r="A342" s="12" t="str">
        <f t="shared" si="18"/>
        <v>captailimitada / 5GBTABLETS</v>
      </c>
      <c r="B342" s="193" t="s">
        <v>32</v>
      </c>
      <c r="C342" s="12" t="s">
        <v>71</v>
      </c>
      <c r="D342" s="88" t="s">
        <v>294</v>
      </c>
      <c r="E342" s="193" t="s">
        <v>210</v>
      </c>
      <c r="F342" s="193" t="s">
        <v>109</v>
      </c>
    </row>
    <row r="343" spans="1:6">
      <c r="A343" s="12" t="str">
        <f t="shared" si="18"/>
        <v>captailimitada 20GBTABLETS</v>
      </c>
      <c r="B343" s="193" t="s">
        <v>32</v>
      </c>
      <c r="C343" s="12" t="s">
        <v>71</v>
      </c>
      <c r="D343" s="88" t="s">
        <v>295</v>
      </c>
      <c r="E343" s="193" t="s">
        <v>210</v>
      </c>
      <c r="F343" s="193" t="s">
        <v>110</v>
      </c>
    </row>
    <row r="344" spans="1:6">
      <c r="A344" s="12" t="str">
        <f t="shared" si="18"/>
        <v>captaIlimitada infinita GB sin internacionalTABLETS</v>
      </c>
      <c r="B344" s="193" t="s">
        <v>32</v>
      </c>
      <c r="C344" s="12" t="s">
        <v>71</v>
      </c>
      <c r="D344" s="88" t="s">
        <v>296</v>
      </c>
      <c r="E344" s="193" t="s">
        <v>210</v>
      </c>
      <c r="F344" s="193" t="s">
        <v>111</v>
      </c>
    </row>
    <row r="345" spans="1:6">
      <c r="A345" s="12" t="str">
        <f t="shared" si="18"/>
        <v>captaIlimitada infinita GB con internacionalTABLETS</v>
      </c>
      <c r="B345" s="193" t="s">
        <v>32</v>
      </c>
      <c r="C345" s="12" t="s">
        <v>71</v>
      </c>
      <c r="D345" s="88" t="s">
        <v>297</v>
      </c>
      <c r="E345" s="193" t="s">
        <v>210</v>
      </c>
      <c r="F345" s="193" t="s">
        <v>146</v>
      </c>
    </row>
    <row r="346" spans="1:6">
      <c r="A346" s="12" t="str">
        <f t="shared" si="18"/>
        <v>portabilidadEMPRESAS VOZ -BUN SPH + OC</v>
      </c>
      <c r="B346" s="193" t="s">
        <v>32</v>
      </c>
      <c r="C346" s="13" t="s">
        <v>70</v>
      </c>
      <c r="D346" s="88" t="s">
        <v>317</v>
      </c>
      <c r="E346" s="193" t="s">
        <v>207</v>
      </c>
      <c r="F346" s="238" t="s">
        <v>145</v>
      </c>
    </row>
    <row r="347" spans="1:6">
      <c r="A347" s="12" t="str">
        <f t="shared" si="18"/>
        <v>portabilidad150 minBUN SPH + OC</v>
      </c>
      <c r="B347" s="193" t="s">
        <v>32</v>
      </c>
      <c r="C347" s="13" t="s">
        <v>70</v>
      </c>
      <c r="D347" s="88" t="s">
        <v>292</v>
      </c>
      <c r="E347" s="193" t="s">
        <v>207</v>
      </c>
      <c r="F347" s="193" t="s">
        <v>108</v>
      </c>
    </row>
    <row r="348" spans="1:6">
      <c r="A348" s="12" t="str">
        <f t="shared" si="18"/>
        <v>portabilidadilimitada / 1GBBUN SPH + OC</v>
      </c>
      <c r="B348" s="193" t="s">
        <v>32</v>
      </c>
      <c r="C348" s="13" t="s">
        <v>70</v>
      </c>
      <c r="D348" s="88" t="s">
        <v>293</v>
      </c>
      <c r="E348" s="193" t="s">
        <v>207</v>
      </c>
      <c r="F348" s="193" t="s">
        <v>145</v>
      </c>
    </row>
    <row r="349" spans="1:6">
      <c r="A349" s="12" t="str">
        <f t="shared" si="18"/>
        <v>portabilidadilimitada / 5GBBUN SPH + OC</v>
      </c>
      <c r="B349" s="193" t="s">
        <v>32</v>
      </c>
      <c r="C349" s="13" t="s">
        <v>70</v>
      </c>
      <c r="D349" s="88" t="s">
        <v>294</v>
      </c>
      <c r="E349" s="193" t="s">
        <v>207</v>
      </c>
      <c r="F349" s="193" t="s">
        <v>109</v>
      </c>
    </row>
    <row r="350" spans="1:6">
      <c r="A350" s="12" t="str">
        <f t="shared" si="18"/>
        <v>portabilidadilimitada 20GBBUN SPH + OC</v>
      </c>
      <c r="B350" s="193" t="s">
        <v>32</v>
      </c>
      <c r="C350" s="13" t="s">
        <v>70</v>
      </c>
      <c r="D350" s="88" t="s">
        <v>295</v>
      </c>
      <c r="E350" s="193" t="s">
        <v>207</v>
      </c>
      <c r="F350" s="193" t="s">
        <v>110</v>
      </c>
    </row>
    <row r="351" spans="1:6">
      <c r="A351" s="12" t="str">
        <f t="shared" si="18"/>
        <v>portabilidadIlimitada infinita GB sin internacionalBUN SPH + OC</v>
      </c>
      <c r="B351" s="193" t="s">
        <v>32</v>
      </c>
      <c r="C351" s="13" t="s">
        <v>70</v>
      </c>
      <c r="D351" s="88" t="s">
        <v>296</v>
      </c>
      <c r="E351" s="193" t="s">
        <v>207</v>
      </c>
      <c r="F351" s="193" t="s">
        <v>111</v>
      </c>
    </row>
    <row r="352" spans="1:6">
      <c r="A352" s="12" t="str">
        <f t="shared" si="18"/>
        <v>portabilidadIlimitada infinita GB con internacionalBUN SPH + OC</v>
      </c>
      <c r="B352" s="193" t="s">
        <v>32</v>
      </c>
      <c r="C352" s="13" t="s">
        <v>70</v>
      </c>
      <c r="D352" s="88" t="s">
        <v>297</v>
      </c>
      <c r="E352" s="193" t="s">
        <v>207</v>
      </c>
      <c r="F352" s="193" t="s">
        <v>146</v>
      </c>
    </row>
    <row r="353" spans="1:6">
      <c r="A353" s="12" t="str">
        <f t="shared" si="18"/>
        <v>captaEMPRESAS VOZ -BUN SPH + OC</v>
      </c>
      <c r="B353" s="193" t="s">
        <v>32</v>
      </c>
      <c r="C353" s="12" t="s">
        <v>71</v>
      </c>
      <c r="D353" s="88" t="s">
        <v>317</v>
      </c>
      <c r="E353" s="193" t="s">
        <v>207</v>
      </c>
      <c r="F353" s="238" t="s">
        <v>145</v>
      </c>
    </row>
    <row r="354" spans="1:6">
      <c r="A354" s="12" t="str">
        <f t="shared" si="18"/>
        <v>capta150 minBUN SPH + OC</v>
      </c>
      <c r="B354" s="193" t="s">
        <v>32</v>
      </c>
      <c r="C354" s="12" t="s">
        <v>71</v>
      </c>
      <c r="D354" s="88" t="s">
        <v>292</v>
      </c>
      <c r="E354" s="193" t="s">
        <v>207</v>
      </c>
      <c r="F354" s="193" t="s">
        <v>108</v>
      </c>
    </row>
    <row r="355" spans="1:6">
      <c r="A355" s="12" t="str">
        <f t="shared" si="18"/>
        <v>captailimitada / 1GBBUN SPH + OC</v>
      </c>
      <c r="B355" s="193" t="s">
        <v>32</v>
      </c>
      <c r="C355" s="12" t="s">
        <v>71</v>
      </c>
      <c r="D355" s="88" t="s">
        <v>293</v>
      </c>
      <c r="E355" s="193" t="s">
        <v>207</v>
      </c>
      <c r="F355" s="193" t="s">
        <v>145</v>
      </c>
    </row>
    <row r="356" spans="1:6">
      <c r="A356" s="12" t="str">
        <f t="shared" si="18"/>
        <v>captailimitada / 5GBBUN SPH + OC</v>
      </c>
      <c r="B356" s="193" t="s">
        <v>32</v>
      </c>
      <c r="C356" s="12" t="s">
        <v>71</v>
      </c>
      <c r="D356" s="88" t="s">
        <v>294</v>
      </c>
      <c r="E356" s="193" t="s">
        <v>207</v>
      </c>
      <c r="F356" s="193" t="s">
        <v>109</v>
      </c>
    </row>
    <row r="357" spans="1:6">
      <c r="A357" s="12" t="str">
        <f t="shared" si="18"/>
        <v>captailimitada 20GBBUN SPH + OC</v>
      </c>
      <c r="B357" s="193" t="s">
        <v>32</v>
      </c>
      <c r="C357" s="12" t="s">
        <v>71</v>
      </c>
      <c r="D357" s="88" t="s">
        <v>295</v>
      </c>
      <c r="E357" s="193" t="s">
        <v>207</v>
      </c>
      <c r="F357" s="193" t="s">
        <v>110</v>
      </c>
    </row>
    <row r="358" spans="1:6">
      <c r="A358" s="12" t="str">
        <f t="shared" si="18"/>
        <v>captaIlimitada infinita GB sin internacionalBUN SPH + OC</v>
      </c>
      <c r="B358" s="193" t="s">
        <v>32</v>
      </c>
      <c r="C358" s="12" t="s">
        <v>71</v>
      </c>
      <c r="D358" s="88" t="s">
        <v>296</v>
      </c>
      <c r="E358" s="193" t="s">
        <v>207</v>
      </c>
      <c r="F358" s="193" t="s">
        <v>111</v>
      </c>
    </row>
    <row r="359" spans="1:6">
      <c r="A359" s="12" t="str">
        <f t="shared" si="18"/>
        <v>captaIlimitada infinita GB con internacionalBUN SPH + OC</v>
      </c>
      <c r="B359" s="193" t="s">
        <v>32</v>
      </c>
      <c r="C359" s="12" t="s">
        <v>71</v>
      </c>
      <c r="D359" s="88" t="s">
        <v>297</v>
      </c>
      <c r="E359" s="193" t="s">
        <v>207</v>
      </c>
      <c r="F359" s="193" t="s">
        <v>146</v>
      </c>
    </row>
    <row r="360" spans="1:6">
      <c r="A360" s="12" t="str">
        <f t="shared" si="18"/>
        <v>portabilidadEMPRESAS VOZ --</v>
      </c>
      <c r="B360" s="193" t="s">
        <v>32</v>
      </c>
      <c r="C360" s="13" t="s">
        <v>70</v>
      </c>
      <c r="D360" s="88" t="s">
        <v>317</v>
      </c>
      <c r="E360" s="193" t="s">
        <v>15</v>
      </c>
      <c r="F360" s="238" t="s">
        <v>145</v>
      </c>
    </row>
    <row r="361" spans="1:6">
      <c r="A361" s="12" t="str">
        <f t="shared" si="18"/>
        <v>portabilidad150 min-</v>
      </c>
      <c r="B361" s="193" t="s">
        <v>32</v>
      </c>
      <c r="C361" s="13" t="s">
        <v>70</v>
      </c>
      <c r="D361" s="88" t="s">
        <v>292</v>
      </c>
      <c r="E361" s="193" t="s">
        <v>15</v>
      </c>
      <c r="F361" s="193" t="s">
        <v>108</v>
      </c>
    </row>
    <row r="362" spans="1:6">
      <c r="A362" s="12" t="str">
        <f t="shared" si="18"/>
        <v>portabilidadilimitada / 1GB-</v>
      </c>
      <c r="B362" s="193" t="s">
        <v>32</v>
      </c>
      <c r="C362" s="13" t="s">
        <v>70</v>
      </c>
      <c r="D362" s="88" t="s">
        <v>293</v>
      </c>
      <c r="E362" s="193" t="s">
        <v>15</v>
      </c>
      <c r="F362" s="193" t="s">
        <v>145</v>
      </c>
    </row>
    <row r="363" spans="1:6">
      <c r="A363" s="12" t="str">
        <f t="shared" si="18"/>
        <v>portabilidadilimitada / 5GB-</v>
      </c>
      <c r="B363" s="193" t="s">
        <v>32</v>
      </c>
      <c r="C363" s="13" t="s">
        <v>70</v>
      </c>
      <c r="D363" s="88" t="s">
        <v>294</v>
      </c>
      <c r="E363" s="193" t="s">
        <v>15</v>
      </c>
      <c r="F363" s="193" t="s">
        <v>109</v>
      </c>
    </row>
    <row r="364" spans="1:6">
      <c r="A364" s="12" t="str">
        <f t="shared" si="18"/>
        <v>portabilidadilimitada 20GB-</v>
      </c>
      <c r="B364" s="193" t="s">
        <v>32</v>
      </c>
      <c r="C364" s="13" t="s">
        <v>70</v>
      </c>
      <c r="D364" s="88" t="s">
        <v>295</v>
      </c>
      <c r="E364" s="193" t="s">
        <v>15</v>
      </c>
      <c r="F364" s="193" t="s">
        <v>110</v>
      </c>
    </row>
    <row r="365" spans="1:6">
      <c r="A365" s="12" t="str">
        <f t="shared" si="18"/>
        <v>portabilidadIlimitada infinita GB sin internacional-</v>
      </c>
      <c r="B365" s="193" t="s">
        <v>32</v>
      </c>
      <c r="C365" s="13" t="s">
        <v>70</v>
      </c>
      <c r="D365" s="88" t="s">
        <v>296</v>
      </c>
      <c r="E365" s="193" t="s">
        <v>15</v>
      </c>
      <c r="F365" s="193" t="s">
        <v>111</v>
      </c>
    </row>
    <row r="366" spans="1:6">
      <c r="A366" s="12" t="str">
        <f t="shared" si="18"/>
        <v>portabilidadIlimitada infinita GB con internacional-</v>
      </c>
      <c r="B366" s="193" t="s">
        <v>32</v>
      </c>
      <c r="C366" s="13" t="s">
        <v>70</v>
      </c>
      <c r="D366" s="88" t="s">
        <v>297</v>
      </c>
      <c r="E366" s="193" t="s">
        <v>15</v>
      </c>
      <c r="F366" s="193" t="s">
        <v>146</v>
      </c>
    </row>
    <row r="367" spans="1:6">
      <c r="A367" s="12" t="str">
        <f t="shared" si="18"/>
        <v>captaEMPRESAS VOZ --</v>
      </c>
      <c r="B367" s="193" t="s">
        <v>32</v>
      </c>
      <c r="C367" s="12" t="s">
        <v>71</v>
      </c>
      <c r="D367" s="88" t="s">
        <v>317</v>
      </c>
      <c r="E367" s="193" t="s">
        <v>15</v>
      </c>
      <c r="F367" s="238" t="s">
        <v>145</v>
      </c>
    </row>
    <row r="368" spans="1:6">
      <c r="A368" s="12" t="str">
        <f t="shared" si="18"/>
        <v>capta150 min-</v>
      </c>
      <c r="B368" s="193" t="s">
        <v>32</v>
      </c>
      <c r="C368" s="12" t="s">
        <v>71</v>
      </c>
      <c r="D368" s="88" t="s">
        <v>292</v>
      </c>
      <c r="E368" s="193" t="s">
        <v>15</v>
      </c>
      <c r="F368" s="193" t="s">
        <v>108</v>
      </c>
    </row>
    <row r="369" spans="1:6">
      <c r="A369" s="12" t="str">
        <f t="shared" si="18"/>
        <v>captailimitada / 1GB-</v>
      </c>
      <c r="B369" s="193" t="s">
        <v>32</v>
      </c>
      <c r="C369" s="12" t="s">
        <v>71</v>
      </c>
      <c r="D369" s="88" t="s">
        <v>293</v>
      </c>
      <c r="E369" s="193" t="s">
        <v>15</v>
      </c>
      <c r="F369" s="193" t="s">
        <v>145</v>
      </c>
    </row>
    <row r="370" spans="1:6">
      <c r="A370" s="12" t="str">
        <f t="shared" si="18"/>
        <v>captailimitada / 5GB-</v>
      </c>
      <c r="B370" s="193" t="s">
        <v>32</v>
      </c>
      <c r="C370" s="12" t="s">
        <v>71</v>
      </c>
      <c r="D370" s="88" t="s">
        <v>294</v>
      </c>
      <c r="E370" s="193" t="s">
        <v>15</v>
      </c>
      <c r="F370" s="193" t="s">
        <v>109</v>
      </c>
    </row>
    <row r="371" spans="1:6">
      <c r="A371" s="12" t="str">
        <f t="shared" si="18"/>
        <v>captailimitada 20GB-</v>
      </c>
      <c r="B371" s="193" t="s">
        <v>32</v>
      </c>
      <c r="C371" s="12" t="s">
        <v>71</v>
      </c>
      <c r="D371" s="88" t="s">
        <v>295</v>
      </c>
      <c r="E371" s="193" t="s">
        <v>15</v>
      </c>
      <c r="F371" s="193" t="s">
        <v>110</v>
      </c>
    </row>
    <row r="372" spans="1:6">
      <c r="A372" s="12" t="str">
        <f t="shared" si="18"/>
        <v>captaIlimitada infinita GB sin internacional-</v>
      </c>
      <c r="B372" s="193" t="s">
        <v>32</v>
      </c>
      <c r="C372" s="12" t="s">
        <v>71</v>
      </c>
      <c r="D372" s="88" t="s">
        <v>296</v>
      </c>
      <c r="E372" s="193" t="s">
        <v>15</v>
      </c>
      <c r="F372" s="193" t="s">
        <v>111</v>
      </c>
    </row>
    <row r="373" spans="1:6">
      <c r="A373" s="12" t="str">
        <f t="shared" si="18"/>
        <v>captaIlimitada infinita GB con internacional-</v>
      </c>
      <c r="B373" s="193" t="s">
        <v>32</v>
      </c>
      <c r="C373" s="12" t="s">
        <v>71</v>
      </c>
      <c r="D373" s="88" t="s">
        <v>297</v>
      </c>
      <c r="E373" s="193" t="s">
        <v>15</v>
      </c>
      <c r="F373" s="193" t="s">
        <v>146</v>
      </c>
    </row>
    <row r="374" spans="1:6">
      <c r="A374" s="12" t="str">
        <f t="shared" si="18"/>
        <v>portabilidadEMPRESAS VOZ -FIXED STYLE</v>
      </c>
      <c r="B374" s="193" t="s">
        <v>32</v>
      </c>
      <c r="C374" s="13" t="s">
        <v>70</v>
      </c>
      <c r="D374" s="88" t="s">
        <v>317</v>
      </c>
      <c r="E374" s="193" t="s">
        <v>284</v>
      </c>
      <c r="F374" s="238" t="s">
        <v>145</v>
      </c>
    </row>
    <row r="375" spans="1:6">
      <c r="A375" s="12" t="str">
        <f t="shared" si="18"/>
        <v>portabilidad150 minFIXED STYLE</v>
      </c>
      <c r="B375" s="193" t="s">
        <v>32</v>
      </c>
      <c r="C375" s="13" t="s">
        <v>70</v>
      </c>
      <c r="D375" s="88" t="s">
        <v>292</v>
      </c>
      <c r="E375" s="193" t="s">
        <v>284</v>
      </c>
      <c r="F375" s="193" t="s">
        <v>108</v>
      </c>
    </row>
    <row r="376" spans="1:6">
      <c r="A376" s="12" t="str">
        <f t="shared" si="18"/>
        <v>portabilidadilimitada / 1GBFIXED STYLE</v>
      </c>
      <c r="B376" s="193" t="s">
        <v>32</v>
      </c>
      <c r="C376" s="13" t="s">
        <v>70</v>
      </c>
      <c r="D376" s="88" t="s">
        <v>293</v>
      </c>
      <c r="E376" s="193" t="s">
        <v>284</v>
      </c>
      <c r="F376" s="193" t="s">
        <v>145</v>
      </c>
    </row>
    <row r="377" spans="1:6">
      <c r="A377" s="12" t="str">
        <f t="shared" si="18"/>
        <v>portabilidadilimitada / 5GBFIXED STYLE</v>
      </c>
      <c r="B377" s="193" t="s">
        <v>32</v>
      </c>
      <c r="C377" s="13" t="s">
        <v>70</v>
      </c>
      <c r="D377" s="88" t="s">
        <v>294</v>
      </c>
      <c r="E377" s="193" t="s">
        <v>284</v>
      </c>
      <c r="F377" s="193" t="s">
        <v>109</v>
      </c>
    </row>
    <row r="378" spans="1:6">
      <c r="A378" s="12" t="str">
        <f t="shared" si="18"/>
        <v>portabilidadilimitada 20GBFIXED STYLE</v>
      </c>
      <c r="B378" s="193" t="s">
        <v>32</v>
      </c>
      <c r="C378" s="13" t="s">
        <v>70</v>
      </c>
      <c r="D378" s="88" t="s">
        <v>295</v>
      </c>
      <c r="E378" s="193" t="s">
        <v>284</v>
      </c>
      <c r="F378" s="193" t="s">
        <v>110</v>
      </c>
    </row>
    <row r="379" spans="1:6">
      <c r="A379" s="12" t="str">
        <f t="shared" si="18"/>
        <v>portabilidadIlimitada infinita GB sin internacionalFIXED STYLE</v>
      </c>
      <c r="B379" s="193" t="s">
        <v>32</v>
      </c>
      <c r="C379" s="13" t="s">
        <v>70</v>
      </c>
      <c r="D379" s="88" t="s">
        <v>296</v>
      </c>
      <c r="E379" s="193" t="s">
        <v>284</v>
      </c>
      <c r="F379" s="193" t="s">
        <v>111</v>
      </c>
    </row>
    <row r="380" spans="1:6">
      <c r="A380" s="12" t="str">
        <f t="shared" si="18"/>
        <v>portabilidadIlimitada infinita GB con internacionalFIXED STYLE</v>
      </c>
      <c r="B380" s="193" t="s">
        <v>32</v>
      </c>
      <c r="C380" s="13" t="s">
        <v>70</v>
      </c>
      <c r="D380" s="88" t="s">
        <v>297</v>
      </c>
      <c r="E380" s="193" t="s">
        <v>284</v>
      </c>
      <c r="F380" s="193" t="s">
        <v>146</v>
      </c>
    </row>
    <row r="381" spans="1:6">
      <c r="A381" s="12" t="str">
        <f t="shared" si="18"/>
        <v>captaEMPRESAS VOZ -FIXED STYLE</v>
      </c>
      <c r="B381" s="193" t="s">
        <v>32</v>
      </c>
      <c r="C381" s="12" t="s">
        <v>71</v>
      </c>
      <c r="D381" s="88" t="s">
        <v>317</v>
      </c>
      <c r="E381" s="193" t="s">
        <v>284</v>
      </c>
      <c r="F381" s="238" t="s">
        <v>145</v>
      </c>
    </row>
    <row r="382" spans="1:6">
      <c r="A382" s="12" t="str">
        <f t="shared" si="18"/>
        <v>capta150 minFIXED STYLE</v>
      </c>
      <c r="B382" s="193" t="s">
        <v>32</v>
      </c>
      <c r="C382" s="12" t="s">
        <v>71</v>
      </c>
      <c r="D382" s="88" t="s">
        <v>292</v>
      </c>
      <c r="E382" s="193" t="s">
        <v>284</v>
      </c>
      <c r="F382" s="193" t="s">
        <v>108</v>
      </c>
    </row>
    <row r="383" spans="1:6">
      <c r="A383" s="12" t="str">
        <f t="shared" si="18"/>
        <v>captailimitada / 1GBFIXED STYLE</v>
      </c>
      <c r="B383" s="193" t="s">
        <v>32</v>
      </c>
      <c r="C383" s="12" t="s">
        <v>71</v>
      </c>
      <c r="D383" s="88" t="s">
        <v>293</v>
      </c>
      <c r="E383" s="193" t="s">
        <v>284</v>
      </c>
      <c r="F383" s="193" t="s">
        <v>145</v>
      </c>
    </row>
    <row r="384" spans="1:6">
      <c r="A384" s="12" t="str">
        <f t="shared" si="18"/>
        <v>captailimitada / 5GBFIXED STYLE</v>
      </c>
      <c r="B384" s="193" t="s">
        <v>32</v>
      </c>
      <c r="C384" s="12" t="s">
        <v>71</v>
      </c>
      <c r="D384" s="88" t="s">
        <v>294</v>
      </c>
      <c r="E384" s="193" t="s">
        <v>284</v>
      </c>
      <c r="F384" s="193" t="s">
        <v>109</v>
      </c>
    </row>
    <row r="385" spans="1:6">
      <c r="A385" s="12" t="str">
        <f t="shared" si="18"/>
        <v>captailimitada 20GBFIXED STYLE</v>
      </c>
      <c r="B385" s="193" t="s">
        <v>32</v>
      </c>
      <c r="C385" s="12" t="s">
        <v>71</v>
      </c>
      <c r="D385" s="88" t="s">
        <v>295</v>
      </c>
      <c r="E385" s="193" t="s">
        <v>284</v>
      </c>
      <c r="F385" s="193" t="s">
        <v>110</v>
      </c>
    </row>
    <row r="386" spans="1:6">
      <c r="A386" s="12" t="str">
        <f t="shared" si="18"/>
        <v>captaIlimitada infinita GB sin internacionalFIXED STYLE</v>
      </c>
      <c r="B386" s="193" t="s">
        <v>32</v>
      </c>
      <c r="C386" s="12" t="s">
        <v>71</v>
      </c>
      <c r="D386" s="88" t="s">
        <v>296</v>
      </c>
      <c r="E386" s="193" t="s">
        <v>284</v>
      </c>
      <c r="F386" s="193" t="s">
        <v>111</v>
      </c>
    </row>
    <row r="387" spans="1:6">
      <c r="A387" s="12" t="str">
        <f t="shared" si="18"/>
        <v>captaIlimitada infinita GB con internacionalFIXED STYLE</v>
      </c>
      <c r="B387" s="193" t="s">
        <v>32</v>
      </c>
      <c r="C387" s="12" t="s">
        <v>71</v>
      </c>
      <c r="D387" s="88" t="s">
        <v>297</v>
      </c>
      <c r="E387" s="193" t="s">
        <v>284</v>
      </c>
      <c r="F387" s="193" t="s">
        <v>146</v>
      </c>
    </row>
    <row r="388" spans="1:6" hidden="1"/>
    <row r="389" spans="1:6" hidden="1"/>
    <row r="390" spans="1:6" hidden="1"/>
    <row r="391" spans="1:6" hidden="1"/>
    <row r="392" spans="1:6" hidden="1"/>
    <row r="393" spans="1:6" hidden="1"/>
    <row r="394" spans="1:6" hidden="1"/>
    <row r="395" spans="1:6" hidden="1"/>
    <row r="396" spans="1:6" hidden="1"/>
    <row r="397" spans="1:6" hidden="1"/>
    <row r="398" spans="1:6" hidden="1"/>
    <row r="399" spans="1:6" hidden="1"/>
    <row r="400" spans="1:6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</sheetData>
  <autoFilter ref="A1:F387" xr:uid="{00000000-0009-0000-0000-00000C000000}"/>
  <pageMargins left="0.7" right="0.7" top="0.75" bottom="0.75" header="0.3" footer="0.3"/>
  <pageSetup paperSize="9" orientation="portrait" horizontalDpi="90" verticalDpi="90" r:id="rId1"/>
  <headerFooter>
    <oddFooter>&amp;C&amp;1#&amp;"Calibri"&amp;8&amp;KED7D31Orange Restricted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7"/>
  <dimension ref="A1:D9"/>
  <sheetViews>
    <sheetView showGridLines="0" workbookViewId="0">
      <selection activeCell="B16" sqref="B16"/>
    </sheetView>
  </sheetViews>
  <sheetFormatPr baseColWidth="10" defaultColWidth="11.453125" defaultRowHeight="12.5"/>
  <cols>
    <col min="1" max="1" width="25.453125" style="46" bestFit="1" customWidth="1"/>
    <col min="2" max="2" width="27.453125" style="46" customWidth="1"/>
    <col min="3" max="3" width="13.453125" style="46" bestFit="1" customWidth="1"/>
    <col min="4" max="4" width="14.1796875" style="46" bestFit="1" customWidth="1"/>
    <col min="5" max="16384" width="11.453125" style="46"/>
  </cols>
  <sheetData>
    <row r="1" spans="1:4">
      <c r="A1" s="44" t="s">
        <v>69</v>
      </c>
      <c r="B1" s="45" t="s">
        <v>68</v>
      </c>
      <c r="C1" s="45" t="s">
        <v>19</v>
      </c>
      <c r="D1" s="45" t="s">
        <v>67</v>
      </c>
    </row>
    <row r="2" spans="1:4">
      <c r="A2" s="47" t="str">
        <f t="shared" ref="A2:A8" si="0">B2</f>
        <v>Internet Móvil 3GB Empresas</v>
      </c>
      <c r="B2" s="48" t="s">
        <v>153</v>
      </c>
      <c r="C2" s="49" t="s">
        <v>32</v>
      </c>
      <c r="D2" s="48" t="s">
        <v>108</v>
      </c>
    </row>
    <row r="3" spans="1:4">
      <c r="A3" s="47" t="str">
        <f t="shared" si="0"/>
        <v>Internet Móvil Pro 8GB</v>
      </c>
      <c r="B3" s="48" t="s">
        <v>117</v>
      </c>
      <c r="C3" s="49" t="s">
        <v>32</v>
      </c>
      <c r="D3" s="48" t="s">
        <v>109</v>
      </c>
    </row>
    <row r="4" spans="1:4">
      <c r="A4" s="47" t="str">
        <f t="shared" si="0"/>
        <v>IEW Pro 10GB</v>
      </c>
      <c r="B4" s="48" t="s">
        <v>17</v>
      </c>
      <c r="C4" s="49" t="s">
        <v>32</v>
      </c>
      <c r="D4" s="48" t="s">
        <v>109</v>
      </c>
    </row>
    <row r="5" spans="1:4">
      <c r="A5" s="47" t="str">
        <f t="shared" si="0"/>
        <v>Internet Movil 25GB Empresa</v>
      </c>
      <c r="B5" s="48" t="s">
        <v>187</v>
      </c>
      <c r="C5" s="49" t="s">
        <v>32</v>
      </c>
      <c r="D5" s="48" t="s">
        <v>110</v>
      </c>
    </row>
    <row r="6" spans="1:4">
      <c r="A6" s="47" t="str">
        <f t="shared" si="0"/>
        <v>Internet 4G en tu Oficina</v>
      </c>
      <c r="B6" s="48" t="s">
        <v>107</v>
      </c>
      <c r="C6" s="49" t="s">
        <v>32</v>
      </c>
      <c r="D6" s="50" t="s">
        <v>111</v>
      </c>
    </row>
    <row r="7" spans="1:4">
      <c r="A7" s="47" t="str">
        <f t="shared" si="0"/>
        <v>Internet 4G en tu Negocio</v>
      </c>
      <c r="B7" s="48" t="s">
        <v>177</v>
      </c>
      <c r="C7" s="49" t="s">
        <v>32</v>
      </c>
      <c r="D7" s="50" t="s">
        <v>111</v>
      </c>
    </row>
    <row r="8" spans="1:4">
      <c r="A8" s="47" t="str">
        <f t="shared" si="0"/>
        <v>Internet Movil 90GB Empresa</v>
      </c>
      <c r="B8" s="48" t="s">
        <v>188</v>
      </c>
      <c r="C8" s="49" t="s">
        <v>32</v>
      </c>
      <c r="D8" s="50" t="s">
        <v>111</v>
      </c>
    </row>
    <row r="9" spans="1:4">
      <c r="A9" s="47" t="str">
        <f>B9</f>
        <v>Internet Empresa Ilimitado</v>
      </c>
      <c r="B9" s="48" t="s">
        <v>215</v>
      </c>
      <c r="C9" s="49" t="s">
        <v>32</v>
      </c>
      <c r="D9" s="50" t="s">
        <v>111</v>
      </c>
    </row>
  </sheetData>
  <pageMargins left="0.7" right="0.7" top="0.75" bottom="0.75" header="0.3" footer="0.3"/>
  <pageSetup paperSize="9" orientation="portrait" horizontalDpi="90" verticalDpi="90" r:id="rId1"/>
  <headerFooter>
    <oddFooter>&amp;C&amp;1#&amp;"Calibri"&amp;8&amp;KED7D31Orange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7BBAD-4471-4252-BB71-A723341D27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46</vt:i4>
      </vt:variant>
    </vt:vector>
  </HeadingPairs>
  <TitlesOfParts>
    <vt:vector size="60" baseType="lpstr">
      <vt:lpstr>LEEME</vt:lpstr>
      <vt:lpstr>Configurador Operaciones</vt:lpstr>
      <vt:lpstr>PVP VaP - Pyme</vt:lpstr>
      <vt:lpstr>PVP VaP IEW Pro - Pyme</vt:lpstr>
      <vt:lpstr>PVP Subv - Optima Pyme</vt:lpstr>
      <vt:lpstr>PVP Subv - Optima Pyme 36</vt:lpstr>
      <vt:lpstr>PVP Subv - Optima Pyme AAPP</vt:lpstr>
      <vt:lpstr>PVP Subv - Sol Pers Pyme</vt:lpstr>
      <vt:lpstr>PVP Subv - Sol Pers Pyme AAPP</vt:lpstr>
      <vt:lpstr>PVP Subv IEW - Pyme</vt:lpstr>
      <vt:lpstr>PVP Subv IEW - Pyme AAPP</vt:lpstr>
      <vt:lpstr>MR</vt:lpstr>
      <vt:lpstr>MODULOS OT MULTILINEA</vt:lpstr>
      <vt:lpstr>MODULOS OT IEW</vt:lpstr>
      <vt:lpstr>'PVP Subv - Optima Pyme'!Área_de_impresión</vt:lpstr>
      <vt:lpstr>'PVP Subv - Optima Pyme 36'!Área_de_impresión</vt:lpstr>
      <vt:lpstr>'PVP Subv - Optima Pyme AAPP'!Área_de_impresión</vt:lpstr>
      <vt:lpstr>'PVP Subv - Sol Pers Pyme'!Área_de_impresión</vt:lpstr>
      <vt:lpstr>'PVP Subv - Sol Pers Pyme AAPP'!Área_de_impresión</vt:lpstr>
      <vt:lpstr>'PVP Subv IEW - Pyme'!Área_de_impresión</vt:lpstr>
      <vt:lpstr>'PVP Subv IEW - Pyme AAPP'!Área_de_impresión</vt:lpstr>
      <vt:lpstr>'PVP VaP - Pyme'!Área_de_impresión</vt:lpstr>
      <vt:lpstr>'PVP VaP IEW Pro - Pyme'!Área_de_impresión</vt:lpstr>
      <vt:lpstr>CeldadeinicioDxCcaptaCP36</vt:lpstr>
      <vt:lpstr>CeldadeinicioDxCportaCP36</vt:lpstr>
      <vt:lpstr>CeldaInicioDxCCapta</vt:lpstr>
      <vt:lpstr>CeldaInicioDxCCapta9MAS</vt:lpstr>
      <vt:lpstr>CeldaInicioDxCCapta9MASAAPP</vt:lpstr>
      <vt:lpstr>CeldaInicioDxCCaptaAAPP</vt:lpstr>
      <vt:lpstr>CeldaInicioDxCIEW</vt:lpstr>
      <vt:lpstr>CeldaInicioDxCIEWAAPP</vt:lpstr>
      <vt:lpstr>CeldaInicioDxCPorta</vt:lpstr>
      <vt:lpstr>CeldaInicioDxCPorta_36</vt:lpstr>
      <vt:lpstr>CeldaInicioDxCPorta36</vt:lpstr>
      <vt:lpstr>CeldaInicioDxCPorta9MAS</vt:lpstr>
      <vt:lpstr>CeldaInicioDxCPorta9MASAAPP</vt:lpstr>
      <vt:lpstr>CeldaInicioDxCPortaAAPP</vt:lpstr>
      <vt:lpstr>CeldaInicioDxCVAP</vt:lpstr>
      <vt:lpstr>CeldaInicioDxCVAPIEW</vt:lpstr>
      <vt:lpstr>'PVP Subv - Sol Pers Pyme'!CeldaInicioPrecioCesión</vt:lpstr>
      <vt:lpstr>CeldaInicioPrecioCesión</vt:lpstr>
      <vt:lpstr>CeldaInicioPrecioCesiónIEW</vt:lpstr>
      <vt:lpstr>'PVP Subv - Sol Pers Pyme'!CeldaInicioPVPRCapta</vt:lpstr>
      <vt:lpstr>CeldaInicioPVPRCapta</vt:lpstr>
      <vt:lpstr>CeldaInicioPVPRIEW</vt:lpstr>
      <vt:lpstr>'PVP Subv - Sol Pers Pyme'!CeldaInicioPVPRPorta</vt:lpstr>
      <vt:lpstr>CeldaInicioPVPRPorta</vt:lpstr>
      <vt:lpstr>CeldaInicioPVPRVAP</vt:lpstr>
      <vt:lpstr>CeldaInicioPVPRVAPIEW</vt:lpstr>
      <vt:lpstr>cualquiera</vt:lpstr>
      <vt:lpstr>k</vt:lpstr>
      <vt:lpstr>no_aplica</vt:lpstr>
      <vt:lpstr>SIoNO</vt:lpstr>
      <vt:lpstr>ValoresPaqueteVozDatos</vt:lpstr>
      <vt:lpstr>ValoresSVA</vt:lpstr>
      <vt:lpstr>valoresTarifa</vt:lpstr>
      <vt:lpstr>'PVP Subv - Sol Pers Pyme'!valoresTerminal</vt:lpstr>
      <vt:lpstr>valoresTerminal</vt:lpstr>
      <vt:lpstr>valoresTerminalIEW</vt:lpstr>
      <vt:lpstr>valoresTipoAlta</vt:lpstr>
    </vt:vector>
  </TitlesOfParts>
  <Company>AUNA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avidalvi</dc:creator>
  <cp:lastModifiedBy>SANCHEZ ARIAS Carmen MASORANGE</cp:lastModifiedBy>
  <cp:lastPrinted>2021-10-26T08:56:56Z</cp:lastPrinted>
  <dcterms:created xsi:type="dcterms:W3CDTF">2006-02-24T11:48:22Z</dcterms:created>
  <dcterms:modified xsi:type="dcterms:W3CDTF">2025-01-03T08:48:04Z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2025-01-03T08:48:03Z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9cdd4049-d979-4811-a43f-2222caabafb1</vt:lpwstr>
  </property>
  <property fmtid="{D5CDD505-2E9C-101B-9397-08002B2CF9AE}" pid="9" name="MSIP_Label_e6c818a6-e1a0-4a6e-a969-20d857c5dc62_ContentBits">
    <vt:lpwstr>2</vt:lpwstr>
  </property>
</Properties>
</file>